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C:\xampp1\Quantum\0_0_Results_12_April\"/>
    </mc:Choice>
  </mc:AlternateContent>
  <xr:revisionPtr revIDLastSave="0" documentId="13_ncr:1_{37A9F4D9-0C87-4A65-9CC2-FC9E12F781B1}" xr6:coauthVersionLast="47" xr6:coauthVersionMax="47" xr10:uidLastSave="{00000000-0000-0000-0000-000000000000}"/>
  <bookViews>
    <workbookView xWindow="-2880" yWindow="-17388" windowWidth="30936" windowHeight="16896" tabRatio="854" activeTab="2" xr2:uid="{0214F829-416B-417F-A884-792D136A6FF9}"/>
  </bookViews>
  <sheets>
    <sheet name="warm_start_scan_omega1_T1_N16_m" sheetId="16" r:id="rId1"/>
    <sheet name="EpsilonScan" sheetId="15" r:id="rId2"/>
    <sheet name="mehler_kernel_xi0_varying_xf_op" sheetId="14" r:id="rId3"/>
    <sheet name="Diff_End_Pnts" sheetId="13" r:id="rId4"/>
    <sheet name="Omega_1_WarmML_vs_Pet" sheetId="9" r:id="rId5"/>
    <sheet name="Warm_om1_lam_scan00" sheetId="11" r:id="rId6"/>
    <sheet name="Sheet4" sheetId="8" r:id="rId7"/>
    <sheet name="Peturbation Results" sheetId="10" r:id="rId8"/>
    <sheet name="Omega is 2warm" sheetId="5" r:id="rId9"/>
    <sheet name="warm" sheetId="6" r:id="rId10"/>
    <sheet name="Gemini" sheetId="7" r:id="rId11"/>
    <sheet name="Omega is 2" sheetId="3" r:id="rId12"/>
    <sheet name="Omega_1_WarmML_vs_Pet Epsilon" sheetId="12" r:id="rId13"/>
    <sheet name="Sheet1" sheetId="4" r:id="rId14"/>
    <sheet name="nn_loop_startfinish0" sheetId="1" r:id="rId15"/>
    <sheet name="nn_loop_startfinish0 (2)" sheetId="2" r:id="rId16"/>
  </sheets>
  <definedNames>
    <definedName name="_xlnm._FilterDatabase" localSheetId="3" hidden="1">Diff_End_Pnts!$A$1:$AK$157</definedName>
    <definedName name="_xlnm._FilterDatabase" localSheetId="15" hidden="1">'nn_loop_startfinish0 (2)'!$A$1:$AD$55</definedName>
    <definedName name="_xlnm._FilterDatabase" localSheetId="0" hidden="1">warm_start_scan_omega1_T1_N16_m!$A$1:$AA$139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14" l="1"/>
  <c r="Q3" i="14"/>
  <c r="H3" i="14" s="1"/>
  <c r="Q4" i="14"/>
  <c r="H4" i="14" s="1"/>
  <c r="Q5" i="14"/>
  <c r="H5" i="14" s="1"/>
  <c r="Q6" i="14"/>
  <c r="H6" i="14" s="1"/>
  <c r="Q7" i="14"/>
  <c r="H7" i="14" s="1"/>
  <c r="Q8" i="14"/>
  <c r="H8" i="14" s="1"/>
  <c r="Q9" i="14"/>
  <c r="H9" i="14" s="1"/>
  <c r="Q10" i="14"/>
  <c r="H10" i="14" s="1"/>
  <c r="Q11" i="14"/>
  <c r="H11" i="14" s="1"/>
  <c r="Q12" i="14"/>
  <c r="H12" i="14" s="1"/>
  <c r="Q13" i="14"/>
  <c r="H13" i="14" s="1"/>
  <c r="Q14" i="14"/>
  <c r="H14" i="14" s="1"/>
  <c r="Q15" i="14"/>
  <c r="H15" i="14" s="1"/>
  <c r="Q16" i="14"/>
  <c r="H16" i="14" s="1"/>
  <c r="Q17" i="14"/>
  <c r="H17" i="14" s="1"/>
  <c r="Q18" i="14"/>
  <c r="H18" i="14" s="1"/>
  <c r="Q19" i="14"/>
  <c r="H19" i="14" s="1"/>
  <c r="Q20" i="14"/>
  <c r="H20" i="14" s="1"/>
  <c r="Q21" i="14"/>
  <c r="H21" i="14" s="1"/>
  <c r="Q22" i="14"/>
  <c r="H22" i="14" s="1"/>
  <c r="Q23" i="14"/>
  <c r="H23" i="14" s="1"/>
  <c r="Q24" i="14"/>
  <c r="H24" i="14" s="1"/>
  <c r="Q25" i="14"/>
  <c r="H25" i="14" s="1"/>
  <c r="Q26" i="14"/>
  <c r="H26" i="14" s="1"/>
  <c r="Q27" i="14"/>
  <c r="H27" i="14" s="1"/>
  <c r="Q28" i="14"/>
  <c r="H28" i="14" s="1"/>
  <c r="Q29" i="14"/>
  <c r="H29" i="14" s="1"/>
  <c r="Q30" i="14"/>
  <c r="H30" i="14" s="1"/>
  <c r="Q31" i="14"/>
  <c r="H31" i="14" s="1"/>
  <c r="Q32" i="14"/>
  <c r="H32" i="14" s="1"/>
  <c r="Q33" i="14"/>
  <c r="H33" i="14" s="1"/>
  <c r="Q34" i="14"/>
  <c r="H34" i="14" s="1"/>
  <c r="Q35" i="14"/>
  <c r="H35" i="14" s="1"/>
  <c r="Q36" i="14"/>
  <c r="H36" i="14" s="1"/>
  <c r="Q37" i="14"/>
  <c r="H37" i="14" s="1"/>
  <c r="Q38" i="14"/>
  <c r="H38" i="14" s="1"/>
  <c r="Q39" i="14"/>
  <c r="H39" i="14" s="1"/>
  <c r="Q40" i="14"/>
  <c r="H40" i="14" s="1"/>
  <c r="Q41" i="14"/>
  <c r="H41" i="14" s="1"/>
  <c r="Q2" i="14"/>
  <c r="H2" i="14" s="1"/>
  <c r="R19" i="14"/>
  <c r="R18" i="14"/>
  <c r="V19" i="14"/>
  <c r="V22" i="14"/>
  <c r="V18" i="14"/>
  <c r="L21" i="15"/>
  <c r="L20" i="15"/>
  <c r="L19" i="15"/>
  <c r="I5" i="15"/>
  <c r="H5" i="15"/>
  <c r="W4" i="14"/>
  <c r="X4" i="14"/>
  <c r="W5" i="14"/>
  <c r="X5" i="14"/>
  <c r="W6" i="14"/>
  <c r="X6" i="14"/>
  <c r="W7" i="14"/>
  <c r="X7" i="14"/>
  <c r="W8" i="14"/>
  <c r="X8" i="14"/>
  <c r="W9" i="14"/>
  <c r="X9" i="14"/>
  <c r="W10" i="14"/>
  <c r="X10" i="14"/>
  <c r="W11" i="14"/>
  <c r="X11" i="14"/>
  <c r="W12" i="14"/>
  <c r="X12" i="14"/>
  <c r="W13" i="14"/>
  <c r="X13" i="14"/>
  <c r="W14" i="14"/>
  <c r="X14" i="14"/>
  <c r="W15" i="14"/>
  <c r="X15" i="14"/>
  <c r="W16" i="14"/>
  <c r="X16" i="14"/>
  <c r="W17" i="14"/>
  <c r="X17" i="14"/>
  <c r="W18" i="14"/>
  <c r="X18" i="14"/>
  <c r="W19" i="14"/>
  <c r="X19" i="14"/>
  <c r="W20" i="14"/>
  <c r="X20" i="14"/>
  <c r="W21" i="14"/>
  <c r="X21" i="14"/>
  <c r="W22" i="14"/>
  <c r="X22" i="14"/>
  <c r="W23" i="14"/>
  <c r="X23" i="14"/>
  <c r="W24" i="14"/>
  <c r="X24" i="14"/>
  <c r="W25" i="14"/>
  <c r="X25" i="14"/>
  <c r="W26" i="14"/>
  <c r="X26" i="14"/>
  <c r="W27" i="14"/>
  <c r="X27" i="14"/>
  <c r="X3" i="14"/>
  <c r="W3" i="14"/>
  <c r="AA22" i="14"/>
  <c r="Z22" i="14"/>
  <c r="AA21" i="14"/>
  <c r="Z21" i="14"/>
  <c r="AA20" i="14"/>
  <c r="Z20" i="14"/>
  <c r="AA19" i="14"/>
  <c r="Z19" i="14"/>
  <c r="AA18" i="14"/>
  <c r="Z18" i="14"/>
  <c r="AA17" i="14"/>
  <c r="Z17" i="14"/>
  <c r="AA16" i="14"/>
  <c r="Z16" i="14"/>
  <c r="AA15" i="14"/>
  <c r="Z15" i="14"/>
  <c r="AA14" i="14"/>
  <c r="Z14" i="14"/>
  <c r="AA13" i="14"/>
  <c r="Z13" i="14"/>
  <c r="AA12" i="14"/>
  <c r="Z12" i="14"/>
  <c r="AA11" i="14"/>
  <c r="Z11" i="14"/>
  <c r="AA10" i="14"/>
  <c r="Z10" i="14"/>
  <c r="AA9" i="14"/>
  <c r="Z9" i="14"/>
  <c r="AA8" i="14"/>
  <c r="Z8" i="14"/>
  <c r="AA7" i="14"/>
  <c r="Z7" i="14"/>
  <c r="AA6" i="14"/>
  <c r="Z6" i="14"/>
  <c r="AA5" i="14"/>
  <c r="Z5" i="14"/>
  <c r="AA4" i="14"/>
  <c r="Z4" i="14"/>
  <c r="AA3" i="14"/>
  <c r="Z3" i="14"/>
  <c r="U156" i="13"/>
  <c r="T156" i="13"/>
  <c r="H156" i="13" s="1"/>
  <c r="S156" i="13"/>
  <c r="G156" i="13" s="1"/>
  <c r="U154" i="13"/>
  <c r="T154" i="13"/>
  <c r="S154" i="13"/>
  <c r="G154" i="13" s="1"/>
  <c r="H154" i="13"/>
  <c r="U152" i="13"/>
  <c r="T152" i="13"/>
  <c r="H152" i="13" s="1"/>
  <c r="S152" i="13"/>
  <c r="G152" i="13" s="1"/>
  <c r="U150" i="13"/>
  <c r="T150" i="13"/>
  <c r="S150" i="13"/>
  <c r="G150" i="13" s="1"/>
  <c r="H150" i="13"/>
  <c r="U148" i="13"/>
  <c r="T148" i="13"/>
  <c r="H148" i="13" s="1"/>
  <c r="S148" i="13"/>
  <c r="G148" i="13" s="1"/>
  <c r="U146" i="13"/>
  <c r="T146" i="13"/>
  <c r="S146" i="13"/>
  <c r="G146" i="13" s="1"/>
  <c r="H146" i="13"/>
  <c r="U144" i="13"/>
  <c r="T144" i="13"/>
  <c r="H144" i="13" s="1"/>
  <c r="S144" i="13"/>
  <c r="G144" i="13" s="1"/>
  <c r="U142" i="13"/>
  <c r="T142" i="13"/>
  <c r="S142" i="13"/>
  <c r="G142" i="13" s="1"/>
  <c r="H142" i="13"/>
  <c r="U140" i="13"/>
  <c r="T140" i="13"/>
  <c r="H140" i="13" s="1"/>
  <c r="S140" i="13"/>
  <c r="G140" i="13" s="1"/>
  <c r="U138" i="13"/>
  <c r="T138" i="13"/>
  <c r="H138" i="13" s="1"/>
  <c r="S138" i="13"/>
  <c r="G138" i="13" s="1"/>
  <c r="U136" i="13"/>
  <c r="T136" i="13"/>
  <c r="H136" i="13" s="1"/>
  <c r="S136" i="13"/>
  <c r="G136" i="13" s="1"/>
  <c r="U134" i="13"/>
  <c r="T134" i="13"/>
  <c r="H134" i="13" s="1"/>
  <c r="S134" i="13"/>
  <c r="G134" i="13"/>
  <c r="U132" i="13"/>
  <c r="T132" i="13"/>
  <c r="S132" i="13"/>
  <c r="G132" i="13" s="1"/>
  <c r="H132" i="13"/>
  <c r="U130" i="13"/>
  <c r="T130" i="13"/>
  <c r="S130" i="13"/>
  <c r="G130" i="13" s="1"/>
  <c r="H130" i="13"/>
  <c r="U128" i="13"/>
  <c r="T128" i="13"/>
  <c r="H128" i="13" s="1"/>
  <c r="S128" i="13"/>
  <c r="G128" i="13"/>
  <c r="U126" i="13"/>
  <c r="T126" i="13"/>
  <c r="H126" i="13" s="1"/>
  <c r="S126" i="13"/>
  <c r="G126" i="13"/>
  <c r="U124" i="13"/>
  <c r="T124" i="13"/>
  <c r="S124" i="13"/>
  <c r="H124" i="13"/>
  <c r="G124" i="13"/>
  <c r="U122" i="13"/>
  <c r="T122" i="13"/>
  <c r="H122" i="13" s="1"/>
  <c r="S122" i="13"/>
  <c r="G122" i="13" s="1"/>
  <c r="U120" i="13"/>
  <c r="T120" i="13"/>
  <c r="H120" i="13" s="1"/>
  <c r="S120" i="13"/>
  <c r="G120" i="13" s="1"/>
  <c r="U118" i="13"/>
  <c r="T118" i="13"/>
  <c r="H118" i="13" s="1"/>
  <c r="S118" i="13"/>
  <c r="G118" i="13"/>
  <c r="U116" i="13"/>
  <c r="T116" i="13"/>
  <c r="S116" i="13"/>
  <c r="G116" i="13" s="1"/>
  <c r="H116" i="13"/>
  <c r="U114" i="13"/>
  <c r="T114" i="13"/>
  <c r="S114" i="13"/>
  <c r="G114" i="13" s="1"/>
  <c r="H114" i="13"/>
  <c r="U112" i="13"/>
  <c r="T112" i="13"/>
  <c r="H112" i="13" s="1"/>
  <c r="S112" i="13"/>
  <c r="G112" i="13"/>
  <c r="U110" i="13"/>
  <c r="T110" i="13"/>
  <c r="H110" i="13" s="1"/>
  <c r="S110" i="13"/>
  <c r="G110" i="13"/>
  <c r="U108" i="13"/>
  <c r="T108" i="13"/>
  <c r="S108" i="13"/>
  <c r="H108" i="13"/>
  <c r="G108" i="13"/>
  <c r="U106" i="13"/>
  <c r="T106" i="13"/>
  <c r="H106" i="13" s="1"/>
  <c r="S106" i="13"/>
  <c r="G106" i="13" s="1"/>
  <c r="U104" i="13"/>
  <c r="T104" i="13"/>
  <c r="H104" i="13" s="1"/>
  <c r="S104" i="13"/>
  <c r="G104" i="13" s="1"/>
  <c r="U102" i="13"/>
  <c r="T102" i="13"/>
  <c r="H102" i="13" s="1"/>
  <c r="S102" i="13"/>
  <c r="G102" i="13"/>
  <c r="U100" i="13"/>
  <c r="T100" i="13"/>
  <c r="H100" i="13" s="1"/>
  <c r="S100" i="13"/>
  <c r="G100" i="13" s="1"/>
  <c r="U98" i="13"/>
  <c r="T98" i="13"/>
  <c r="S98" i="13"/>
  <c r="G98" i="13" s="1"/>
  <c r="H98" i="13"/>
  <c r="U96" i="13"/>
  <c r="T96" i="13"/>
  <c r="H96" i="13" s="1"/>
  <c r="S96" i="13"/>
  <c r="G96" i="13"/>
  <c r="U94" i="13"/>
  <c r="T94" i="13"/>
  <c r="H94" i="13" s="1"/>
  <c r="S94" i="13"/>
  <c r="G94" i="13"/>
  <c r="U92" i="13"/>
  <c r="T92" i="13"/>
  <c r="H92" i="13" s="1"/>
  <c r="S92" i="13"/>
  <c r="G92" i="13"/>
  <c r="U90" i="13"/>
  <c r="T90" i="13"/>
  <c r="H90" i="13" s="1"/>
  <c r="S90" i="13"/>
  <c r="G90" i="13" s="1"/>
  <c r="U88" i="13"/>
  <c r="T88" i="13"/>
  <c r="H88" i="13" s="1"/>
  <c r="S88" i="13"/>
  <c r="G88" i="13" s="1"/>
  <c r="U86" i="13"/>
  <c r="T86" i="13"/>
  <c r="H86" i="13" s="1"/>
  <c r="S86" i="13"/>
  <c r="G86" i="13"/>
  <c r="U84" i="13"/>
  <c r="T84" i="13"/>
  <c r="H84" i="13" s="1"/>
  <c r="S84" i="13"/>
  <c r="G84" i="13" s="1"/>
  <c r="U82" i="13"/>
  <c r="T82" i="13"/>
  <c r="S82" i="13"/>
  <c r="G82" i="13" s="1"/>
  <c r="H82" i="13"/>
  <c r="U80" i="13"/>
  <c r="T80" i="13"/>
  <c r="H80" i="13" s="1"/>
  <c r="S80" i="13"/>
  <c r="G80" i="13" s="1"/>
  <c r="U78" i="13"/>
  <c r="T78" i="13"/>
  <c r="H78" i="13" s="1"/>
  <c r="S78" i="13"/>
  <c r="G78" i="13"/>
  <c r="U76" i="13"/>
  <c r="T76" i="13"/>
  <c r="H76" i="13" s="1"/>
  <c r="S76" i="13"/>
  <c r="G76" i="13" s="1"/>
  <c r="U74" i="13"/>
  <c r="T74" i="13"/>
  <c r="H74" i="13" s="1"/>
  <c r="S74" i="13"/>
  <c r="G74" i="13" s="1"/>
  <c r="U72" i="13"/>
  <c r="T72" i="13"/>
  <c r="H72" i="13" s="1"/>
  <c r="S72" i="13"/>
  <c r="G72" i="13" s="1"/>
  <c r="U70" i="13"/>
  <c r="T70" i="13"/>
  <c r="H70" i="13" s="1"/>
  <c r="S70" i="13"/>
  <c r="G70" i="13"/>
  <c r="U68" i="13"/>
  <c r="T68" i="13"/>
  <c r="H68" i="13" s="1"/>
  <c r="S68" i="13"/>
  <c r="G68" i="13" s="1"/>
  <c r="U66" i="13"/>
  <c r="T66" i="13"/>
  <c r="S66" i="13"/>
  <c r="G66" i="13" s="1"/>
  <c r="H66" i="13"/>
  <c r="U64" i="13"/>
  <c r="T64" i="13"/>
  <c r="H64" i="13" s="1"/>
  <c r="S64" i="13"/>
  <c r="G64" i="13" s="1"/>
  <c r="U62" i="13"/>
  <c r="T62" i="13"/>
  <c r="H62" i="13" s="1"/>
  <c r="S62" i="13"/>
  <c r="G62" i="13"/>
  <c r="U60" i="13"/>
  <c r="T60" i="13"/>
  <c r="H60" i="13" s="1"/>
  <c r="S60" i="13"/>
  <c r="G60" i="13" s="1"/>
  <c r="U58" i="13"/>
  <c r="T58" i="13"/>
  <c r="H58" i="13" s="1"/>
  <c r="S58" i="13"/>
  <c r="G58" i="13" s="1"/>
  <c r="U56" i="13"/>
  <c r="T56" i="13"/>
  <c r="H56" i="13" s="1"/>
  <c r="S56" i="13"/>
  <c r="G56" i="13" s="1"/>
  <c r="U54" i="13"/>
  <c r="T54" i="13"/>
  <c r="H54" i="13" s="1"/>
  <c r="S54" i="13"/>
  <c r="G54" i="13"/>
  <c r="U52" i="13"/>
  <c r="T52" i="13"/>
  <c r="S52" i="13"/>
  <c r="G52" i="13" s="1"/>
  <c r="H52" i="13"/>
  <c r="U50" i="13"/>
  <c r="T50" i="13"/>
  <c r="S50" i="13"/>
  <c r="G50" i="13" s="1"/>
  <c r="H50" i="13"/>
  <c r="U48" i="13"/>
  <c r="T48" i="13"/>
  <c r="H48" i="13" s="1"/>
  <c r="S48" i="13"/>
  <c r="G48" i="13"/>
  <c r="U46" i="13"/>
  <c r="T46" i="13"/>
  <c r="H46" i="13" s="1"/>
  <c r="S46" i="13"/>
  <c r="G46" i="13"/>
  <c r="U44" i="13"/>
  <c r="T44" i="13"/>
  <c r="S44" i="13"/>
  <c r="G44" i="13" s="1"/>
  <c r="H44" i="13"/>
  <c r="U42" i="13"/>
  <c r="T42" i="13"/>
  <c r="H42" i="13" s="1"/>
  <c r="S42" i="13"/>
  <c r="G42" i="13" s="1"/>
  <c r="U40" i="13"/>
  <c r="T40" i="13"/>
  <c r="H40" i="13" s="1"/>
  <c r="S40" i="13"/>
  <c r="G40" i="13" s="1"/>
  <c r="U38" i="13"/>
  <c r="T38" i="13"/>
  <c r="H38" i="13" s="1"/>
  <c r="S38" i="13"/>
  <c r="G38" i="13"/>
  <c r="U36" i="13"/>
  <c r="T36" i="13"/>
  <c r="S36" i="13"/>
  <c r="G36" i="13" s="1"/>
  <c r="H36" i="13"/>
  <c r="U34" i="13"/>
  <c r="T34" i="13"/>
  <c r="S34" i="13"/>
  <c r="G34" i="13" s="1"/>
  <c r="H34" i="13"/>
  <c r="U32" i="13"/>
  <c r="T32" i="13"/>
  <c r="H32" i="13" s="1"/>
  <c r="S32" i="13"/>
  <c r="G32" i="13"/>
  <c r="U30" i="13"/>
  <c r="T30" i="13"/>
  <c r="H30" i="13" s="1"/>
  <c r="S30" i="13"/>
  <c r="G30" i="13"/>
  <c r="U28" i="13"/>
  <c r="T28" i="13"/>
  <c r="S28" i="13"/>
  <c r="H28" i="13"/>
  <c r="G28" i="13"/>
  <c r="U26" i="13"/>
  <c r="T26" i="13"/>
  <c r="H26" i="13" s="1"/>
  <c r="S26" i="13"/>
  <c r="G26" i="13" s="1"/>
  <c r="U24" i="13"/>
  <c r="T24" i="13"/>
  <c r="H24" i="13" s="1"/>
  <c r="S24" i="13"/>
  <c r="G24" i="13" s="1"/>
  <c r="U22" i="13"/>
  <c r="T22" i="13"/>
  <c r="H22" i="13" s="1"/>
  <c r="S22" i="13"/>
  <c r="G22" i="13"/>
  <c r="U20" i="13"/>
  <c r="T20" i="13"/>
  <c r="S20" i="13"/>
  <c r="G20" i="13" s="1"/>
  <c r="H20" i="13"/>
  <c r="U18" i="13"/>
  <c r="T18" i="13"/>
  <c r="S18" i="13"/>
  <c r="G18" i="13" s="1"/>
  <c r="H18" i="13"/>
  <c r="U16" i="13"/>
  <c r="T16" i="13"/>
  <c r="S16" i="13"/>
  <c r="H16" i="13"/>
  <c r="G16" i="13"/>
  <c r="U14" i="13"/>
  <c r="T14" i="13"/>
  <c r="H14" i="13" s="1"/>
  <c r="S14" i="13"/>
  <c r="G14" i="13" s="1"/>
  <c r="U12" i="13"/>
  <c r="T12" i="13"/>
  <c r="S12" i="13"/>
  <c r="G12" i="13" s="1"/>
  <c r="H12" i="13"/>
  <c r="U10" i="13"/>
  <c r="T10" i="13"/>
  <c r="H10" i="13" s="1"/>
  <c r="S10" i="13"/>
  <c r="G10" i="13" s="1"/>
  <c r="U8" i="13"/>
  <c r="T8" i="13"/>
  <c r="H8" i="13" s="1"/>
  <c r="S8" i="13"/>
  <c r="G8" i="13" s="1"/>
  <c r="U6" i="13"/>
  <c r="T6" i="13"/>
  <c r="H6" i="13" s="1"/>
  <c r="S6" i="13"/>
  <c r="G6" i="13" s="1"/>
  <c r="U4" i="13"/>
  <c r="T4" i="13"/>
  <c r="H4" i="13" s="1"/>
  <c r="S4" i="13"/>
  <c r="G4" i="13" s="1"/>
  <c r="U2" i="13"/>
  <c r="T2" i="13"/>
  <c r="H2" i="13" s="1"/>
  <c r="S2" i="13"/>
  <c r="G2" i="13" s="1"/>
  <c r="V7" i="9"/>
  <c r="V11" i="9"/>
  <c r="V15" i="9"/>
  <c r="V19" i="9"/>
  <c r="AG20" i="12"/>
  <c r="AF20" i="12"/>
  <c r="AC20" i="12"/>
  <c r="AB20" i="12"/>
  <c r="Y20" i="12"/>
  <c r="X20" i="12"/>
  <c r="Q20" i="12"/>
  <c r="S20" i="12" s="1"/>
  <c r="P20" i="12"/>
  <c r="R20" i="12" s="1"/>
  <c r="H20" i="12"/>
  <c r="G20" i="12"/>
  <c r="AG19" i="12"/>
  <c r="AF19" i="12"/>
  <c r="AC19" i="12"/>
  <c r="AB19" i="12"/>
  <c r="Y19" i="12"/>
  <c r="X19" i="12"/>
  <c r="S19" i="12"/>
  <c r="R19" i="12"/>
  <c r="Q19" i="12"/>
  <c r="P19" i="12"/>
  <c r="H19" i="12"/>
  <c r="G19" i="12"/>
  <c r="AG18" i="12"/>
  <c r="AF18" i="12"/>
  <c r="AC18" i="12"/>
  <c r="AB18" i="12"/>
  <c r="Y18" i="12"/>
  <c r="X18" i="12"/>
  <c r="Q18" i="12"/>
  <c r="S18" i="12" s="1"/>
  <c r="P18" i="12"/>
  <c r="R18" i="12" s="1"/>
  <c r="H18" i="12"/>
  <c r="G18" i="12"/>
  <c r="AG17" i="12"/>
  <c r="AF17" i="12"/>
  <c r="AC17" i="12"/>
  <c r="AB17" i="12"/>
  <c r="Y17" i="12"/>
  <c r="X17" i="12"/>
  <c r="S17" i="12"/>
  <c r="R17" i="12"/>
  <c r="Q17" i="12"/>
  <c r="P17" i="12"/>
  <c r="H17" i="12"/>
  <c r="G17" i="12"/>
  <c r="AG16" i="12"/>
  <c r="AF16" i="12"/>
  <c r="AC16" i="12"/>
  <c r="AB16" i="12"/>
  <c r="Y16" i="12"/>
  <c r="X16" i="12"/>
  <c r="Q16" i="12"/>
  <c r="S16" i="12" s="1"/>
  <c r="P16" i="12"/>
  <c r="R16" i="12" s="1"/>
  <c r="H16" i="12"/>
  <c r="G16" i="12"/>
  <c r="AG15" i="12"/>
  <c r="AF15" i="12"/>
  <c r="AC15" i="12"/>
  <c r="AB15" i="12"/>
  <c r="Y15" i="12"/>
  <c r="X15" i="12"/>
  <c r="S15" i="12"/>
  <c r="R15" i="12"/>
  <c r="Q15" i="12"/>
  <c r="P15" i="12"/>
  <c r="H15" i="12"/>
  <c r="G15" i="12"/>
  <c r="AG14" i="12"/>
  <c r="AF14" i="12"/>
  <c r="AC14" i="12"/>
  <c r="AB14" i="12"/>
  <c r="Y14" i="12"/>
  <c r="X14" i="12"/>
  <c r="Q14" i="12"/>
  <c r="S14" i="12" s="1"/>
  <c r="P14" i="12"/>
  <c r="R14" i="12" s="1"/>
  <c r="H14" i="12"/>
  <c r="G14" i="12"/>
  <c r="AG13" i="12"/>
  <c r="AF13" i="12"/>
  <c r="AC13" i="12"/>
  <c r="AB13" i="12"/>
  <c r="Y13" i="12"/>
  <c r="X13" i="12"/>
  <c r="S13" i="12"/>
  <c r="R13" i="12"/>
  <c r="Q13" i="12"/>
  <c r="P13" i="12"/>
  <c r="H13" i="12"/>
  <c r="G13" i="12"/>
  <c r="AG12" i="12"/>
  <c r="AF12" i="12"/>
  <c r="AC12" i="12"/>
  <c r="AB12" i="12"/>
  <c r="Y12" i="12"/>
  <c r="X12" i="12"/>
  <c r="Q12" i="12"/>
  <c r="S12" i="12" s="1"/>
  <c r="P12" i="12"/>
  <c r="R12" i="12" s="1"/>
  <c r="H12" i="12"/>
  <c r="G12" i="12"/>
  <c r="AG11" i="12"/>
  <c r="AF11" i="12"/>
  <c r="AC11" i="12"/>
  <c r="AB11" i="12"/>
  <c r="Y11" i="12"/>
  <c r="X11" i="12"/>
  <c r="S11" i="12"/>
  <c r="R11" i="12"/>
  <c r="Q11" i="12"/>
  <c r="P11" i="12"/>
  <c r="H11" i="12"/>
  <c r="G11" i="12"/>
  <c r="AG10" i="12"/>
  <c r="AF10" i="12"/>
  <c r="AC10" i="12"/>
  <c r="AB10" i="12"/>
  <c r="Y10" i="12"/>
  <c r="X10" i="12"/>
  <c r="Q10" i="12"/>
  <c r="S10" i="12" s="1"/>
  <c r="P10" i="12"/>
  <c r="R10" i="12" s="1"/>
  <c r="H10" i="12"/>
  <c r="G10" i="12"/>
  <c r="AG9" i="12"/>
  <c r="AF9" i="12"/>
  <c r="AC9" i="12"/>
  <c r="AB9" i="12"/>
  <c r="Y9" i="12"/>
  <c r="X9" i="12"/>
  <c r="S9" i="12"/>
  <c r="R9" i="12"/>
  <c r="Q9" i="12"/>
  <c r="P9" i="12"/>
  <c r="H9" i="12"/>
  <c r="G9" i="12"/>
  <c r="AG8" i="12"/>
  <c r="AF8" i="12"/>
  <c r="AC8" i="12"/>
  <c r="AB8" i="12"/>
  <c r="Y8" i="12"/>
  <c r="X8" i="12"/>
  <c r="Q8" i="12"/>
  <c r="S8" i="12" s="1"/>
  <c r="P8" i="12"/>
  <c r="R8" i="12" s="1"/>
  <c r="H8" i="12"/>
  <c r="G8" i="12"/>
  <c r="AG7" i="12"/>
  <c r="AF7" i="12"/>
  <c r="AC7" i="12"/>
  <c r="AB7" i="12"/>
  <c r="Y7" i="12"/>
  <c r="X7" i="12"/>
  <c r="S7" i="12"/>
  <c r="R7" i="12"/>
  <c r="Q7" i="12"/>
  <c r="P7" i="12"/>
  <c r="H7" i="12"/>
  <c r="G7" i="12"/>
  <c r="AG6" i="12"/>
  <c r="AF6" i="12"/>
  <c r="AC6" i="12"/>
  <c r="AB6" i="12"/>
  <c r="Y6" i="12"/>
  <c r="X6" i="12"/>
  <c r="Q6" i="12"/>
  <c r="S6" i="12" s="1"/>
  <c r="P6" i="12"/>
  <c r="R6" i="12" s="1"/>
  <c r="H6" i="12"/>
  <c r="G6" i="12"/>
  <c r="AG5" i="12"/>
  <c r="AF5" i="12"/>
  <c r="AC5" i="12"/>
  <c r="AB5" i="12"/>
  <c r="Y5" i="12"/>
  <c r="X5" i="12"/>
  <c r="S5" i="12"/>
  <c r="R5" i="12"/>
  <c r="Q5" i="12"/>
  <c r="P5" i="12"/>
  <c r="H5" i="12"/>
  <c r="G5" i="12"/>
  <c r="AG4" i="12"/>
  <c r="AF4" i="12"/>
  <c r="AC4" i="12"/>
  <c r="AB4" i="12"/>
  <c r="Y4" i="12"/>
  <c r="X4" i="12"/>
  <c r="Q4" i="12"/>
  <c r="S4" i="12" s="1"/>
  <c r="P4" i="12"/>
  <c r="R4" i="12" s="1"/>
  <c r="H4" i="12"/>
  <c r="G4" i="12"/>
  <c r="AG3" i="12"/>
  <c r="AF3" i="12"/>
  <c r="AC3" i="12"/>
  <c r="AB3" i="12"/>
  <c r="Y3" i="12"/>
  <c r="X3" i="12"/>
  <c r="S3" i="12"/>
  <c r="R3" i="12"/>
  <c r="Q3" i="12"/>
  <c r="P3" i="12"/>
  <c r="H3" i="12"/>
  <c r="G3" i="12"/>
  <c r="AI3" i="9"/>
  <c r="AJ3" i="9"/>
  <c r="AI4" i="9"/>
  <c r="AJ4" i="9"/>
  <c r="AI5" i="9"/>
  <c r="AJ5" i="9"/>
  <c r="AI6" i="9"/>
  <c r="AJ6" i="9"/>
  <c r="AI7" i="9"/>
  <c r="AJ7" i="9"/>
  <c r="AI8" i="9"/>
  <c r="AJ8" i="9"/>
  <c r="AI9" i="9"/>
  <c r="AJ9" i="9"/>
  <c r="AI10" i="9"/>
  <c r="AJ10" i="9"/>
  <c r="AI11" i="9"/>
  <c r="AJ11" i="9"/>
  <c r="AI12" i="9"/>
  <c r="AJ12" i="9"/>
  <c r="AI13" i="9"/>
  <c r="AJ13" i="9"/>
  <c r="AI14" i="9"/>
  <c r="AJ14" i="9"/>
  <c r="AI15" i="9"/>
  <c r="AJ15" i="9"/>
  <c r="AI16" i="9"/>
  <c r="AJ16" i="9"/>
  <c r="AI17" i="9"/>
  <c r="AJ17" i="9"/>
  <c r="AI18" i="9"/>
  <c r="AJ18" i="9"/>
  <c r="AI19" i="9"/>
  <c r="AJ19" i="9"/>
  <c r="AJ20" i="9"/>
  <c r="AI20" i="9"/>
  <c r="AA3" i="9"/>
  <c r="AB3" i="9"/>
  <c r="AA4" i="9"/>
  <c r="AB4" i="9"/>
  <c r="AA5" i="9"/>
  <c r="AB5" i="9"/>
  <c r="AA6" i="9"/>
  <c r="AB6" i="9"/>
  <c r="AA7" i="9"/>
  <c r="AB7" i="9"/>
  <c r="AA8" i="9"/>
  <c r="AB8" i="9"/>
  <c r="AA9" i="9"/>
  <c r="AB9" i="9"/>
  <c r="AA10" i="9"/>
  <c r="AB10" i="9"/>
  <c r="AA11" i="9"/>
  <c r="AB11" i="9"/>
  <c r="AA12" i="9"/>
  <c r="AB12" i="9"/>
  <c r="AA13" i="9"/>
  <c r="AB13" i="9"/>
  <c r="AA14" i="9"/>
  <c r="AB14" i="9"/>
  <c r="AA15" i="9"/>
  <c r="AB15" i="9"/>
  <c r="AA16" i="9"/>
  <c r="AB16" i="9"/>
  <c r="AA17" i="9"/>
  <c r="AB17" i="9"/>
  <c r="AA18" i="9"/>
  <c r="AB18" i="9"/>
  <c r="AA19" i="9"/>
  <c r="AB19" i="9"/>
  <c r="AB20" i="9"/>
  <c r="AA20" i="9"/>
  <c r="AE3" i="9"/>
  <c r="AF3" i="9"/>
  <c r="AE4" i="9"/>
  <c r="AF4" i="9"/>
  <c r="AE5" i="9"/>
  <c r="AF5" i="9"/>
  <c r="AE6" i="9"/>
  <c r="AF6" i="9"/>
  <c r="AE7" i="9"/>
  <c r="AF7" i="9"/>
  <c r="AE8" i="9"/>
  <c r="AF8" i="9"/>
  <c r="AE9" i="9"/>
  <c r="AF9" i="9"/>
  <c r="AE10" i="9"/>
  <c r="AF10" i="9"/>
  <c r="AE11" i="9"/>
  <c r="AF11" i="9"/>
  <c r="AE12" i="9"/>
  <c r="AF12" i="9"/>
  <c r="AE13" i="9"/>
  <c r="AF13" i="9"/>
  <c r="AE14" i="9"/>
  <c r="AF14" i="9"/>
  <c r="AE15" i="9"/>
  <c r="AF15" i="9"/>
  <c r="AE16" i="9"/>
  <c r="AF16" i="9"/>
  <c r="AE17" i="9"/>
  <c r="AF17" i="9"/>
  <c r="AE18" i="9"/>
  <c r="AF18" i="9"/>
  <c r="AE19" i="9"/>
  <c r="AF19" i="9"/>
  <c r="AF20" i="9"/>
  <c r="AE20" i="9"/>
  <c r="G4" i="9"/>
  <c r="H4" i="9"/>
  <c r="G5" i="9"/>
  <c r="H5" i="9"/>
  <c r="G6" i="9"/>
  <c r="H6" i="9"/>
  <c r="G7" i="9"/>
  <c r="H7" i="9"/>
  <c r="G8" i="9"/>
  <c r="H8" i="9"/>
  <c r="G9" i="9"/>
  <c r="H9" i="9"/>
  <c r="G10" i="9"/>
  <c r="H10" i="9"/>
  <c r="G11" i="9"/>
  <c r="H11" i="9"/>
  <c r="G12" i="9"/>
  <c r="H12" i="9"/>
  <c r="G13" i="9"/>
  <c r="H13" i="9"/>
  <c r="G14" i="9"/>
  <c r="H14" i="9"/>
  <c r="G15" i="9"/>
  <c r="H15" i="9"/>
  <c r="G16" i="9"/>
  <c r="H16" i="9"/>
  <c r="G17" i="9"/>
  <c r="H17" i="9"/>
  <c r="G18" i="9"/>
  <c r="H18" i="9"/>
  <c r="G19" i="9"/>
  <c r="H19" i="9"/>
  <c r="G20" i="9"/>
  <c r="H20" i="9"/>
  <c r="H3" i="9"/>
  <c r="G3" i="9"/>
  <c r="Q3" i="9"/>
  <c r="T3" i="9" s="1"/>
  <c r="P4" i="9"/>
  <c r="S4" i="9" s="1"/>
  <c r="P5" i="9"/>
  <c r="S5" i="9" s="1"/>
  <c r="P6" i="9"/>
  <c r="S6" i="9" s="1"/>
  <c r="P7" i="9"/>
  <c r="S7" i="9" s="1"/>
  <c r="P8" i="9"/>
  <c r="S8" i="9" s="1"/>
  <c r="P9" i="9"/>
  <c r="S9" i="9" s="1"/>
  <c r="P10" i="9"/>
  <c r="S10" i="9" s="1"/>
  <c r="P11" i="9"/>
  <c r="S11" i="9" s="1"/>
  <c r="P12" i="9"/>
  <c r="S12" i="9" s="1"/>
  <c r="P13" i="9"/>
  <c r="S13" i="9" s="1"/>
  <c r="P14" i="9"/>
  <c r="S14" i="9" s="1"/>
  <c r="P15" i="9"/>
  <c r="S15" i="9" s="1"/>
  <c r="P16" i="9"/>
  <c r="S16" i="9" s="1"/>
  <c r="P17" i="9"/>
  <c r="S17" i="9" s="1"/>
  <c r="P18" i="9"/>
  <c r="S18" i="9" s="1"/>
  <c r="P19" i="9"/>
  <c r="S19" i="9" s="1"/>
  <c r="P20" i="9"/>
  <c r="S20" i="9" s="1"/>
  <c r="P3" i="9"/>
  <c r="S3" i="9" s="1"/>
  <c r="Q4" i="9"/>
  <c r="T4" i="9" s="1"/>
  <c r="Q5" i="9"/>
  <c r="T5" i="9" s="1"/>
  <c r="Q6" i="9"/>
  <c r="T6" i="9" s="1"/>
  <c r="Q7" i="9"/>
  <c r="T7" i="9" s="1"/>
  <c r="Q8" i="9"/>
  <c r="T8" i="9" s="1"/>
  <c r="Q9" i="9"/>
  <c r="T9" i="9" s="1"/>
  <c r="Q10" i="9"/>
  <c r="T10" i="9" s="1"/>
  <c r="Q11" i="9"/>
  <c r="T11" i="9" s="1"/>
  <c r="Q12" i="9"/>
  <c r="T12" i="9" s="1"/>
  <c r="Q13" i="9"/>
  <c r="T13" i="9" s="1"/>
  <c r="Q14" i="9"/>
  <c r="T14" i="9" s="1"/>
  <c r="Q15" i="9"/>
  <c r="T15" i="9" s="1"/>
  <c r="Q16" i="9"/>
  <c r="T16" i="9" s="1"/>
  <c r="Q17" i="9"/>
  <c r="T17" i="9" s="1"/>
  <c r="Q18" i="9"/>
  <c r="T18" i="9" s="1"/>
  <c r="Q19" i="9"/>
  <c r="T19" i="9" s="1"/>
  <c r="Q20" i="9"/>
  <c r="T20" i="9" s="1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4" i="7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L6" i="5"/>
  <c r="K6" i="5"/>
  <c r="N16" i="5"/>
  <c r="M16" i="5"/>
  <c r="N13" i="5"/>
  <c r="M13" i="5"/>
  <c r="N11" i="5"/>
  <c r="M11" i="5"/>
  <c r="N8" i="5"/>
  <c r="M8" i="5"/>
  <c r="N6" i="5"/>
  <c r="M6" i="5"/>
  <c r="N4" i="5"/>
  <c r="M4" i="5"/>
  <c r="L4" i="5"/>
  <c r="K4" i="5"/>
  <c r="AN10" i="5"/>
  <c r="AM11" i="5"/>
  <c r="AM10" i="5"/>
  <c r="AM8" i="5"/>
  <c r="AL6" i="5"/>
  <c r="AQ4" i="5"/>
  <c r="AP4" i="5"/>
  <c r="AS16" i="5"/>
  <c r="AR16" i="5"/>
  <c r="AS11" i="5"/>
  <c r="AR11" i="5"/>
  <c r="AS8" i="5"/>
  <c r="AR8" i="5"/>
  <c r="AR5" i="5"/>
  <c r="AS5" i="5"/>
  <c r="AR6" i="5"/>
  <c r="AS6" i="5"/>
  <c r="AS4" i="5"/>
  <c r="AR4" i="5"/>
  <c r="AU16" i="5"/>
  <c r="AT16" i="5"/>
  <c r="AU13" i="5"/>
  <c r="AT13" i="5"/>
  <c r="AU11" i="5"/>
  <c r="AT11" i="5"/>
  <c r="AU8" i="5"/>
  <c r="AT8" i="5"/>
  <c r="AT5" i="5"/>
  <c r="AU5" i="5"/>
  <c r="AT6" i="5"/>
  <c r="AU6" i="5"/>
  <c r="AU4" i="5"/>
  <c r="AT4" i="5"/>
  <c r="BF42" i="5"/>
  <c r="BE42" i="5"/>
  <c r="BF41" i="5"/>
  <c r="BE41" i="5"/>
  <c r="BF40" i="5"/>
  <c r="BE40" i="5"/>
  <c r="BF39" i="5"/>
  <c r="BE39" i="5"/>
  <c r="BF38" i="5"/>
  <c r="BE38" i="5"/>
  <c r="BF37" i="5"/>
  <c r="BE37" i="5"/>
  <c r="BF36" i="5"/>
  <c r="BE36" i="5"/>
  <c r="BF35" i="5"/>
  <c r="BE35" i="5"/>
  <c r="BF34" i="5"/>
  <c r="BE34" i="5"/>
  <c r="BF33" i="5"/>
  <c r="BE33" i="5"/>
  <c r="BF32" i="5"/>
  <c r="BE32" i="5"/>
  <c r="BF31" i="5"/>
  <c r="BE31" i="5"/>
  <c r="BF30" i="5"/>
  <c r="BE30" i="5"/>
  <c r="BF29" i="5"/>
  <c r="BE29" i="5"/>
  <c r="BF28" i="5"/>
  <c r="BE28" i="5"/>
  <c r="BF27" i="5"/>
  <c r="BE27" i="5"/>
  <c r="BF26" i="5"/>
  <c r="BE26" i="5"/>
  <c r="BF25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D25" i="5"/>
  <c r="BE25" i="5" s="1"/>
  <c r="BB25" i="5"/>
  <c r="AG5" i="5"/>
  <c r="AH5" i="5"/>
  <c r="AG6" i="5"/>
  <c r="AH6" i="5"/>
  <c r="AG8" i="5"/>
  <c r="AH8" i="5"/>
  <c r="AG11" i="5"/>
  <c r="AH11" i="5"/>
  <c r="AG13" i="5"/>
  <c r="AH13" i="5"/>
  <c r="AG16" i="5"/>
  <c r="AH16" i="5"/>
  <c r="AH4" i="5"/>
  <c r="AG4" i="5"/>
  <c r="BR42" i="5"/>
  <c r="BS42" i="5" s="1"/>
  <c r="BL42" i="5"/>
  <c r="BR41" i="5"/>
  <c r="BN41" i="5" s="1"/>
  <c r="BL41" i="5"/>
  <c r="BH41" i="5" s="1"/>
  <c r="BR40" i="5"/>
  <c r="BS40" i="5" s="1"/>
  <c r="BL40" i="5"/>
  <c r="BH40" i="5" s="1"/>
  <c r="BR39" i="5"/>
  <c r="BS39" i="5" s="1"/>
  <c r="BL39" i="5"/>
  <c r="BH39" i="5" s="1"/>
  <c r="BR38" i="5"/>
  <c r="BS38" i="5" s="1"/>
  <c r="BL38" i="5"/>
  <c r="BH38" i="5" s="1"/>
  <c r="BR37" i="5"/>
  <c r="BN37" i="5" s="1"/>
  <c r="BL37" i="5"/>
  <c r="BH37" i="5" s="1"/>
  <c r="BR36" i="5"/>
  <c r="BS36" i="5" s="1"/>
  <c r="BL36" i="5"/>
  <c r="BH36" i="5" s="1"/>
  <c r="BR35" i="5"/>
  <c r="BS35" i="5" s="1"/>
  <c r="BL35" i="5"/>
  <c r="BH35" i="5" s="1"/>
  <c r="BR34" i="5"/>
  <c r="BS34" i="5" s="1"/>
  <c r="BL34" i="5"/>
  <c r="BH34" i="5" s="1"/>
  <c r="BR33" i="5"/>
  <c r="BN33" i="5" s="1"/>
  <c r="BL33" i="5"/>
  <c r="BR32" i="5"/>
  <c r="BS32" i="5" s="1"/>
  <c r="BL32" i="5"/>
  <c r="BH32" i="5" s="1"/>
  <c r="BR31" i="5"/>
  <c r="BS31" i="5" s="1"/>
  <c r="BL31" i="5"/>
  <c r="BH31" i="5" s="1"/>
  <c r="BR30" i="5"/>
  <c r="BS30" i="5" s="1"/>
  <c r="BL30" i="5"/>
  <c r="BH30" i="5" s="1"/>
  <c r="BR29" i="5"/>
  <c r="BS29" i="5" s="1"/>
  <c r="BL29" i="5"/>
  <c r="BH29" i="5" s="1"/>
  <c r="BR28" i="5"/>
  <c r="BS28" i="5" s="1"/>
  <c r="BL28" i="5"/>
  <c r="BH28" i="5" s="1"/>
  <c r="BR27" i="5"/>
  <c r="BS27" i="5" s="1"/>
  <c r="BL27" i="5"/>
  <c r="BH27" i="5" s="1"/>
  <c r="BR26" i="5"/>
  <c r="BS26" i="5" s="1"/>
  <c r="BL26" i="5"/>
  <c r="BH26" i="5" s="1"/>
  <c r="CA25" i="5"/>
  <c r="BY25" i="5"/>
  <c r="BR25" i="5"/>
  <c r="BU25" i="5" s="1"/>
  <c r="BL25" i="5"/>
  <c r="BH25" i="5" s="1"/>
  <c r="AD21" i="5"/>
  <c r="AC21" i="5"/>
  <c r="AB21" i="5"/>
  <c r="U21" i="5"/>
  <c r="T21" i="5"/>
  <c r="AD20" i="5"/>
  <c r="AC20" i="5"/>
  <c r="AB20" i="5"/>
  <c r="U20" i="5"/>
  <c r="T20" i="5"/>
  <c r="AD19" i="5"/>
  <c r="AC19" i="5"/>
  <c r="AB19" i="5"/>
  <c r="U19" i="5"/>
  <c r="T19" i="5"/>
  <c r="AD18" i="5"/>
  <c r="AC18" i="5"/>
  <c r="AB18" i="5"/>
  <c r="U18" i="5"/>
  <c r="T18" i="5"/>
  <c r="AD17" i="5"/>
  <c r="AC17" i="5"/>
  <c r="AB17" i="5"/>
  <c r="U17" i="5"/>
  <c r="T17" i="5"/>
  <c r="AD16" i="5"/>
  <c r="AC16" i="5"/>
  <c r="AB16" i="5"/>
  <c r="U16" i="5"/>
  <c r="T16" i="5"/>
  <c r="AD15" i="5"/>
  <c r="AC15" i="5"/>
  <c r="AB15" i="5"/>
  <c r="U15" i="5"/>
  <c r="T15" i="5"/>
  <c r="AD14" i="5"/>
  <c r="AC14" i="5"/>
  <c r="AB14" i="5"/>
  <c r="U14" i="5"/>
  <c r="T14" i="5"/>
  <c r="AF13" i="5"/>
  <c r="AE13" i="5"/>
  <c r="AD13" i="5"/>
  <c r="AC13" i="5"/>
  <c r="AB13" i="5"/>
  <c r="Z13" i="5"/>
  <c r="Y13" i="5"/>
  <c r="W13" i="5"/>
  <c r="V13" i="5"/>
  <c r="U13" i="5"/>
  <c r="T13" i="5"/>
  <c r="AF12" i="5"/>
  <c r="AE12" i="5"/>
  <c r="AD12" i="5"/>
  <c r="AC12" i="5"/>
  <c r="AB12" i="5"/>
  <c r="Z12" i="5"/>
  <c r="Y12" i="5"/>
  <c r="W12" i="5"/>
  <c r="V12" i="5"/>
  <c r="U12" i="5"/>
  <c r="T12" i="5"/>
  <c r="AF11" i="5"/>
  <c r="AE11" i="5"/>
  <c r="AD11" i="5"/>
  <c r="AC11" i="5"/>
  <c r="AB11" i="5"/>
  <c r="Z11" i="5"/>
  <c r="Y11" i="5"/>
  <c r="W11" i="5"/>
  <c r="V11" i="5"/>
  <c r="U11" i="5"/>
  <c r="T11" i="5"/>
  <c r="AF10" i="5"/>
  <c r="AE10" i="5"/>
  <c r="AD10" i="5"/>
  <c r="AC10" i="5"/>
  <c r="AB10" i="5"/>
  <c r="Z10" i="5"/>
  <c r="Y10" i="5"/>
  <c r="W10" i="5"/>
  <c r="V10" i="5"/>
  <c r="U10" i="5"/>
  <c r="T10" i="5"/>
  <c r="AF9" i="5"/>
  <c r="AE9" i="5"/>
  <c r="AD9" i="5"/>
  <c r="AC9" i="5"/>
  <c r="AB9" i="5"/>
  <c r="Z9" i="5"/>
  <c r="Y9" i="5"/>
  <c r="W9" i="5"/>
  <c r="V9" i="5"/>
  <c r="U9" i="5"/>
  <c r="T9" i="5"/>
  <c r="AF8" i="5"/>
  <c r="AE8" i="5"/>
  <c r="AD8" i="5"/>
  <c r="AC8" i="5"/>
  <c r="AB8" i="5"/>
  <c r="Z8" i="5"/>
  <c r="Y8" i="5"/>
  <c r="W8" i="5"/>
  <c r="V8" i="5"/>
  <c r="U8" i="5"/>
  <c r="T8" i="5"/>
  <c r="AF7" i="5"/>
  <c r="AE7" i="5"/>
  <c r="AD7" i="5"/>
  <c r="AC7" i="5"/>
  <c r="AB7" i="5"/>
  <c r="Z7" i="5"/>
  <c r="Y7" i="5"/>
  <c r="W7" i="5"/>
  <c r="V7" i="5"/>
  <c r="U7" i="5"/>
  <c r="T7" i="5"/>
  <c r="AF6" i="5"/>
  <c r="AE6" i="5"/>
  <c r="AD6" i="5"/>
  <c r="AC6" i="5"/>
  <c r="AB6" i="5"/>
  <c r="Z6" i="5"/>
  <c r="Y6" i="5"/>
  <c r="W6" i="5"/>
  <c r="V6" i="5"/>
  <c r="U6" i="5"/>
  <c r="T6" i="5"/>
  <c r="AF5" i="5"/>
  <c r="AE5" i="5"/>
  <c r="AD5" i="5"/>
  <c r="AC5" i="5"/>
  <c r="AB5" i="5"/>
  <c r="Z5" i="5"/>
  <c r="Y5" i="5"/>
  <c r="W5" i="5"/>
  <c r="V5" i="5"/>
  <c r="U5" i="5"/>
  <c r="T5" i="5"/>
  <c r="AF4" i="5"/>
  <c r="AE4" i="5"/>
  <c r="AD4" i="5"/>
  <c r="AC4" i="5"/>
  <c r="AB4" i="5"/>
  <c r="Z4" i="5"/>
  <c r="Y4" i="5"/>
  <c r="W4" i="5"/>
  <c r="V4" i="5"/>
  <c r="U4" i="5"/>
  <c r="T4" i="5"/>
  <c r="H12" i="3"/>
  <c r="J12" i="3" s="1"/>
  <c r="I12" i="3"/>
  <c r="H13" i="3"/>
  <c r="I13" i="3"/>
  <c r="J13" i="3" s="1"/>
  <c r="I11" i="3"/>
  <c r="H11" i="3"/>
  <c r="M4" i="3"/>
  <c r="I5" i="3"/>
  <c r="I6" i="3"/>
  <c r="I7" i="3"/>
  <c r="I8" i="3"/>
  <c r="I9" i="3"/>
  <c r="I10" i="3"/>
  <c r="H8" i="3"/>
  <c r="J8" i="3" s="1"/>
  <c r="K5" i="3"/>
  <c r="M5" i="3" s="1"/>
  <c r="L5" i="3"/>
  <c r="K6" i="3"/>
  <c r="L6" i="3"/>
  <c r="K7" i="3"/>
  <c r="L7" i="3"/>
  <c r="M7" i="3" s="1"/>
  <c r="K8" i="3"/>
  <c r="M8" i="3" s="1"/>
  <c r="L8" i="3"/>
  <c r="K9" i="3"/>
  <c r="M9" i="3" s="1"/>
  <c r="L9" i="3"/>
  <c r="K10" i="3"/>
  <c r="L10" i="3"/>
  <c r="K11" i="3"/>
  <c r="L11" i="3"/>
  <c r="K12" i="3"/>
  <c r="M12" i="3" s="1"/>
  <c r="L12" i="3"/>
  <c r="K13" i="3"/>
  <c r="M13" i="3" s="1"/>
  <c r="L13" i="3"/>
  <c r="L4" i="3"/>
  <c r="K4" i="3"/>
  <c r="H9" i="3"/>
  <c r="J9" i="3" s="1"/>
  <c r="H10" i="3"/>
  <c r="J10" i="3" s="1"/>
  <c r="H5" i="3"/>
  <c r="J5" i="3" s="1"/>
  <c r="H6" i="3"/>
  <c r="J6" i="3" s="1"/>
  <c r="H7" i="3"/>
  <c r="J7" i="3" s="1"/>
  <c r="I4" i="3"/>
  <c r="H4" i="3"/>
  <c r="Q11" i="3"/>
  <c r="R11" i="3"/>
  <c r="Q12" i="3"/>
  <c r="R12" i="3"/>
  <c r="Q13" i="3"/>
  <c r="R13" i="3"/>
  <c r="Q9" i="3"/>
  <c r="R9" i="3"/>
  <c r="Q10" i="3"/>
  <c r="R10" i="3"/>
  <c r="Q5" i="3"/>
  <c r="R5" i="3"/>
  <c r="Q6" i="3"/>
  <c r="R6" i="3"/>
  <c r="Q7" i="3"/>
  <c r="R7" i="3"/>
  <c r="Q8" i="3"/>
  <c r="R8" i="3"/>
  <c r="R4" i="3"/>
  <c r="Q4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5" i="3"/>
  <c r="O5" i="3"/>
  <c r="P5" i="3"/>
  <c r="N6" i="3"/>
  <c r="O6" i="3"/>
  <c r="P6" i="3"/>
  <c r="N7" i="3"/>
  <c r="O7" i="3"/>
  <c r="P7" i="3"/>
  <c r="N8" i="3"/>
  <c r="O8" i="3"/>
  <c r="P8" i="3"/>
  <c r="P4" i="3"/>
  <c r="O4" i="3"/>
  <c r="N4" i="3"/>
  <c r="AF26" i="3"/>
  <c r="AB26" i="3" s="1"/>
  <c r="AF27" i="3"/>
  <c r="AG27" i="3" s="1"/>
  <c r="AF28" i="3"/>
  <c r="AG28" i="3" s="1"/>
  <c r="AF29" i="3"/>
  <c r="AF30" i="3"/>
  <c r="AG30" i="3" s="1"/>
  <c r="AF31" i="3"/>
  <c r="AB31" i="3" s="1"/>
  <c r="AF32" i="3"/>
  <c r="AF33" i="3"/>
  <c r="AG33" i="3" s="1"/>
  <c r="AF34" i="3"/>
  <c r="AB34" i="3" s="1"/>
  <c r="AF35" i="3"/>
  <c r="AG35" i="3" s="1"/>
  <c r="AF36" i="3"/>
  <c r="AG36" i="3" s="1"/>
  <c r="AF37" i="3"/>
  <c r="AB37" i="3" s="1"/>
  <c r="AF38" i="3"/>
  <c r="AB38" i="3" s="1"/>
  <c r="AF39" i="3"/>
  <c r="AG39" i="3" s="1"/>
  <c r="AF40" i="3"/>
  <c r="AF41" i="3"/>
  <c r="AG41" i="3" s="1"/>
  <c r="AF42" i="3"/>
  <c r="AB42" i="3" s="1"/>
  <c r="Z26" i="3"/>
  <c r="V26" i="3" s="1"/>
  <c r="Z27" i="3"/>
  <c r="V27" i="3" s="1"/>
  <c r="Z28" i="3"/>
  <c r="V28" i="3" s="1"/>
  <c r="Z29" i="3"/>
  <c r="V29" i="3" s="1"/>
  <c r="Z30" i="3"/>
  <c r="V30" i="3" s="1"/>
  <c r="Z31" i="3"/>
  <c r="Z32" i="3"/>
  <c r="V32" i="3" s="1"/>
  <c r="Z33" i="3"/>
  <c r="V33" i="3" s="1"/>
  <c r="Z34" i="3"/>
  <c r="V34" i="3" s="1"/>
  <c r="Z35" i="3"/>
  <c r="V35" i="3" s="1"/>
  <c r="Z36" i="3"/>
  <c r="V36" i="3" s="1"/>
  <c r="Z37" i="3"/>
  <c r="V37" i="3" s="1"/>
  <c r="Z38" i="3"/>
  <c r="V38" i="3" s="1"/>
  <c r="Z39" i="3"/>
  <c r="V39" i="3" s="1"/>
  <c r="Z40" i="3"/>
  <c r="V40" i="3" s="1"/>
  <c r="Z41" i="3"/>
  <c r="V41" i="3" s="1"/>
  <c r="Z42" i="3"/>
  <c r="V42" i="3" s="1"/>
  <c r="Z25" i="3"/>
  <c r="V25" i="3" s="1"/>
  <c r="AF25" i="3"/>
  <c r="AI25" i="3" s="1"/>
  <c r="AO25" i="3"/>
  <c r="AM2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G6" i="3"/>
  <c r="G5" i="3"/>
  <c r="G4" i="3"/>
  <c r="F5" i="3"/>
  <c r="F4" i="3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23" i="1"/>
  <c r="M24" i="1"/>
  <c r="M25" i="1"/>
  <c r="M26" i="1"/>
  <c r="M27" i="1"/>
  <c r="M28" i="1"/>
  <c r="M29" i="1"/>
  <c r="M30" i="1"/>
  <c r="M31" i="1"/>
  <c r="M32" i="1"/>
  <c r="M33" i="1"/>
  <c r="M14" i="1"/>
  <c r="M15" i="1"/>
  <c r="M16" i="1"/>
  <c r="M17" i="1"/>
  <c r="M18" i="1"/>
  <c r="M19" i="1"/>
  <c r="M20" i="1"/>
  <c r="M21" i="1"/>
  <c r="M22" i="1"/>
  <c r="M3" i="1"/>
  <c r="M4" i="1"/>
  <c r="M5" i="1"/>
  <c r="M6" i="1"/>
  <c r="M7" i="1"/>
  <c r="M8" i="1"/>
  <c r="M9" i="1"/>
  <c r="M10" i="1"/>
  <c r="M11" i="1"/>
  <c r="M12" i="1"/>
  <c r="M13" i="1"/>
  <c r="M2" i="1"/>
  <c r="W19" i="9" l="1"/>
  <c r="W15" i="9"/>
  <c r="W11" i="9"/>
  <c r="W7" i="9"/>
  <c r="W18" i="9"/>
  <c r="W14" i="9"/>
  <c r="W10" i="9"/>
  <c r="W6" i="9"/>
  <c r="U18" i="9"/>
  <c r="V18" i="9"/>
  <c r="V14" i="9"/>
  <c r="V10" i="9"/>
  <c r="V6" i="9"/>
  <c r="U14" i="9"/>
  <c r="W17" i="9"/>
  <c r="W13" i="9"/>
  <c r="W9" i="9"/>
  <c r="W5" i="9"/>
  <c r="U10" i="9"/>
  <c r="V17" i="9"/>
  <c r="V13" i="9"/>
  <c r="V9" i="9"/>
  <c r="V5" i="9"/>
  <c r="V3" i="9"/>
  <c r="W16" i="9"/>
  <c r="W12" i="9"/>
  <c r="W8" i="9"/>
  <c r="W4" i="9"/>
  <c r="W3" i="9"/>
  <c r="V16" i="9"/>
  <c r="V12" i="9"/>
  <c r="V8" i="9"/>
  <c r="V4" i="9"/>
  <c r="U13" i="9"/>
  <c r="U19" i="9"/>
  <c r="U11" i="9"/>
  <c r="U17" i="9"/>
  <c r="U9" i="9"/>
  <c r="U16" i="9"/>
  <c r="U8" i="9"/>
  <c r="U15" i="9"/>
  <c r="U7" i="9"/>
  <c r="U6" i="9"/>
  <c r="U5" i="9"/>
  <c r="U3" i="9"/>
  <c r="U20" i="9"/>
  <c r="U12" i="9"/>
  <c r="U4" i="9"/>
  <c r="AA4" i="5"/>
  <c r="AA12" i="5"/>
  <c r="X11" i="5"/>
  <c r="X12" i="5"/>
  <c r="BM42" i="5"/>
  <c r="BM33" i="5"/>
  <c r="BM37" i="5"/>
  <c r="AA10" i="5"/>
  <c r="AA8" i="5"/>
  <c r="X10" i="5"/>
  <c r="AA5" i="5"/>
  <c r="AA6" i="5"/>
  <c r="AA11" i="5"/>
  <c r="X5" i="5"/>
  <c r="AA7" i="5"/>
  <c r="X8" i="5"/>
  <c r="BM29" i="5"/>
  <c r="BM27" i="5"/>
  <c r="BN29" i="5"/>
  <c r="AA13" i="5"/>
  <c r="BM39" i="5"/>
  <c r="X6" i="5"/>
  <c r="BM28" i="5"/>
  <c r="BH33" i="5"/>
  <c r="BM35" i="5"/>
  <c r="BM40" i="5"/>
  <c r="X4" i="5"/>
  <c r="X9" i="5"/>
  <c r="X13" i="5"/>
  <c r="BM25" i="5"/>
  <c r="BM31" i="5"/>
  <c r="BM36" i="5"/>
  <c r="BM41" i="5"/>
  <c r="X7" i="5"/>
  <c r="AA9" i="5"/>
  <c r="BN25" i="5"/>
  <c r="BS25" i="5"/>
  <c r="BM32" i="5"/>
  <c r="BN28" i="5"/>
  <c r="BN32" i="5"/>
  <c r="BS33" i="5"/>
  <c r="BN36" i="5"/>
  <c r="BS37" i="5"/>
  <c r="BN40" i="5"/>
  <c r="BS41" i="5"/>
  <c r="BH42" i="5"/>
  <c r="BN27" i="5"/>
  <c r="BN31" i="5"/>
  <c r="BN35" i="5"/>
  <c r="BN39" i="5"/>
  <c r="BM26" i="5"/>
  <c r="BM30" i="5"/>
  <c r="BM34" i="5"/>
  <c r="BM38" i="5"/>
  <c r="BN26" i="5"/>
  <c r="BN30" i="5"/>
  <c r="BN34" i="5"/>
  <c r="BN38" i="5"/>
  <c r="BN42" i="5"/>
  <c r="M11" i="3"/>
  <c r="M6" i="3"/>
  <c r="M10" i="3"/>
  <c r="J4" i="3"/>
  <c r="J11" i="3"/>
  <c r="AA31" i="3"/>
  <c r="AA32" i="3"/>
  <c r="AA27" i="3"/>
  <c r="AB36" i="3"/>
  <c r="AG34" i="3"/>
  <c r="AA37" i="3"/>
  <c r="AA29" i="3"/>
  <c r="AA40" i="3"/>
  <c r="AB29" i="3"/>
  <c r="AB28" i="3"/>
  <c r="AB40" i="3"/>
  <c r="AG31" i="3"/>
  <c r="AA42" i="3"/>
  <c r="AA34" i="3"/>
  <c r="AA26" i="3"/>
  <c r="AB39" i="3"/>
  <c r="AG32" i="3"/>
  <c r="AG29" i="3"/>
  <c r="AA39" i="3"/>
  <c r="AB30" i="3"/>
  <c r="AG40" i="3"/>
  <c r="AA38" i="3"/>
  <c r="AB25" i="3"/>
  <c r="AB35" i="3"/>
  <c r="AB27" i="3"/>
  <c r="V31" i="3"/>
  <c r="AG37" i="3"/>
  <c r="AB41" i="3"/>
  <c r="AB33" i="3"/>
  <c r="AB32" i="3"/>
  <c r="AG38" i="3"/>
  <c r="AA41" i="3"/>
  <c r="AA33" i="3"/>
  <c r="AG42" i="3"/>
  <c r="AG26" i="3"/>
  <c r="AA30" i="3"/>
  <c r="AA36" i="3"/>
  <c r="AA28" i="3"/>
  <c r="AA35" i="3"/>
  <c r="AG25" i="3"/>
  <c r="AA2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tc={78CFF5CA-D11B-47E9-9F6D-9B6E9F9FB33C}</author>
  </authors>
  <commentList>
    <comment ref="K14" authorId="0" shapeId="0" xr:uid="{78CFF5CA-D11B-47E9-9F6D-9B6E9F9FB33C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tc={0FFA1B5E-9B4F-4E89-9997-33DA58A38FE2}</author>
  </authors>
  <commentList>
    <comment ref="K1" authorId="0" shapeId="0" xr:uid="{0FFA1B5E-9B4F-4E89-9997-33DA58A38FE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tc={32517F2F-615E-42CF-994F-A7E278AE82C5}</author>
  </authors>
  <commentList>
    <comment ref="K1" authorId="0" shapeId="0" xr:uid="{32517F2F-615E-42CF-994F-A7E278AE82C5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sharedStrings.xml><?xml version="1.0" encoding="utf-8"?>
<sst xmlns="http://schemas.openxmlformats.org/spreadsheetml/2006/main" count="2201" uniqueCount="627">
  <si>
    <t>lam</t>
  </si>
  <si>
    <t>x_i</t>
  </si>
  <si>
    <t>x_f</t>
  </si>
  <si>
    <t>seed</t>
  </si>
  <si>
    <t>best</t>
  </si>
  <si>
    <t>K_ml_re</t>
  </si>
  <si>
    <t>K_ml_im</t>
  </si>
  <si>
    <t>abs_K_ml</t>
  </si>
  <si>
    <t>std_err</t>
  </si>
  <si>
    <t>final_loss</t>
  </si>
  <si>
    <t>ess_n</t>
  </si>
  <si>
    <t>K_basis_re</t>
  </si>
  <si>
    <t>K_basis_im</t>
  </si>
  <si>
    <t>abs_K_basis</t>
  </si>
  <si>
    <t>K_basis_unc</t>
  </si>
  <si>
    <t>rel_diff_ml_basis</t>
  </si>
  <si>
    <t>K_mehler_re</t>
  </si>
  <si>
    <t>K_mehler_im</t>
  </si>
  <si>
    <t>N</t>
  </si>
  <si>
    <t>T</t>
  </si>
  <si>
    <t>m</t>
  </si>
  <si>
    <t>omega</t>
  </si>
  <si>
    <t>eps</t>
  </si>
  <si>
    <t>rank</t>
  </si>
  <si>
    <t>epochs</t>
  </si>
  <si>
    <t>time_s</t>
  </si>
  <si>
    <t>Y</t>
  </si>
  <si>
    <t>Basis Diff</t>
  </si>
  <si>
    <t>lambda</t>
  </si>
  <si>
    <t>Im_K</t>
  </si>
  <si>
    <t>abs_K</t>
  </si>
  <si>
    <t>Re_K_Ross</t>
  </si>
  <si>
    <t>K_basis_re check</t>
  </si>
  <si>
    <t>Omega</t>
  </si>
  <si>
    <t>epsilon 0.01</t>
  </si>
  <si>
    <t>epsilon 0.0001</t>
  </si>
  <si>
    <t>ep = 0</t>
  </si>
  <si>
    <t>ep = 0.01</t>
  </si>
  <si>
    <t>lam = 0.5</t>
  </si>
  <si>
    <t>lam = 0.6</t>
  </si>
  <si>
    <t>lam = 0.7</t>
  </si>
  <si>
    <t>Epsion check</t>
  </si>
  <si>
    <t>Carl Bender</t>
  </si>
  <si>
    <t>K_complex</t>
  </si>
  <si>
    <t>K_real</t>
  </si>
  <si>
    <t>K_imag</t>
  </si>
  <si>
    <t>0.307521507728162 - 0.307521507728162i</t>
  </si>
  <si>
    <t>0.307969197925209 - 0.307073817531114i</t>
  </si>
  <si>
    <t>0.308416888122257 - 0.306626127334067i</t>
  </si>
  <si>
    <t>0.308864578319305 - 0.306178437137019i</t>
  </si>
  <si>
    <t>0.309312268516352 - 0.305730746939972i</t>
  </si>
  <si>
    <t>0.418366676216620 - 0.418366676216620i</t>
  </si>
  <si>
    <t>0.419501579650881 - 0.417231772782358i</t>
  </si>
  <si>
    <t>0.420636483085143 - 0.416096869348097i</t>
  </si>
  <si>
    <t>0.421771386519404 - 0.414961965913835i</t>
  </si>
  <si>
    <t>0.422906289953666 - 0.413827062479573i</t>
  </si>
  <si>
    <t>Anna Okopińska</t>
  </si>
  <si>
    <t>ross</t>
  </si>
  <si>
    <t>ml</t>
  </si>
  <si>
    <t>tq basis</t>
  </si>
  <si>
    <t>Lamda</t>
  </si>
  <si>
    <t>Muler than olipinska</t>
  </si>
  <si>
    <t>Real</t>
  </si>
  <si>
    <t>Imaginary</t>
  </si>
  <si>
    <t>abs</t>
  </si>
  <si>
    <t>K_re Warm</t>
  </si>
  <si>
    <t>K_im Warm</t>
  </si>
  <si>
    <t>abs_K Warm</t>
  </si>
  <si>
    <t>K_real Okopińska</t>
  </si>
  <si>
    <t>K_imag Okopińska</t>
  </si>
  <si>
    <t>abs_K Okopińska</t>
  </si>
  <si>
    <t>ML - Okop</t>
  </si>
  <si>
    <t>Real diff</t>
  </si>
  <si>
    <t>IM diff</t>
  </si>
  <si>
    <t>PETURBATION GPT</t>
  </si>
  <si>
    <t>IM</t>
  </si>
  <si>
    <t>Ok</t>
  </si>
  <si>
    <t>λ\lambdaλ</t>
  </si>
  <si>
    <t>Re K\mathrm{Re}\,KReK</t>
  </si>
  <si>
    <t>Im K\mathrm{Im}\,KImK</t>
  </si>
  <si>
    <t>Peturbation ChatGPT</t>
  </si>
  <si>
    <t>λ</t>
  </si>
  <si>
    <t>OKIN</t>
  </si>
  <si>
    <t>ML</t>
  </si>
  <si>
    <t>LAMDA PETURBATION GPT</t>
  </si>
  <si>
    <t>LAMDA/4 PETURBATION GPT</t>
  </si>
  <si>
    <t>Re(K)</t>
  </si>
  <si>
    <t>Im(K)</t>
  </si>
  <si>
    <t>Re_K_pert</t>
  </si>
  <si>
    <t>Im_K_pert</t>
  </si>
  <si>
    <t xml:space="preserve">Recompute all the values ( for lam/4 again) </t>
  </si>
  <si>
    <t>ladder_step</t>
  </si>
  <si>
    <t>warm_start</t>
  </si>
  <si>
    <t>source_lam</t>
  </si>
  <si>
    <t>K_re</t>
  </si>
  <si>
    <t>K_im</t>
  </si>
  <si>
    <t>epochs_used</t>
  </si>
  <si>
    <t>weight_file</t>
  </si>
  <si>
    <t>warm_start_weights\seed42_step00_lam0.0000_xi0_xf0.pt</t>
  </si>
  <si>
    <t>warm_start_weights\seed45_step00_lam0.0000_xi0_xf0.pt</t>
  </si>
  <si>
    <t>warm_start_weights\seed99_step00_lam0.0000_xi0_xf0.pt</t>
  </si>
  <si>
    <t>warm_start_weights\seed42_step01_lam0.0500_xi0_xf0.pt</t>
  </si>
  <si>
    <t>warm_start_weights\seed45_step01_lam0.0500_xi0_xf0.pt</t>
  </si>
  <si>
    <t>warm_start_weights\seed99_step01_lam0.0500_xi0_xf0.pt</t>
  </si>
  <si>
    <t>warm_start_weights\seed42_step02_lam0.1000_xi0_xf0.pt</t>
  </si>
  <si>
    <t>warm_start_weights\seed45_step02_lam0.1000_xi0_xf0.pt</t>
  </si>
  <si>
    <t>warm_start_weights\seed99_step02_lam0.1000_xi0_xf0.pt</t>
  </si>
  <si>
    <t>warm_start_weights\seed42_step03_lam0.2000_xi0_xf0.pt</t>
  </si>
  <si>
    <t>warm_start_weights\seed45_step03_lam0.2000_xi0_xf0.pt</t>
  </si>
  <si>
    <t>warm_start_weights\seed99_step03_lam0.2000_xi0_xf0.pt</t>
  </si>
  <si>
    <t>warm_start_weights\seed42_step04_lam0.3500_xi0_xf0.pt</t>
  </si>
  <si>
    <t>warm_start_weights\seed45_step04_lam0.3500_xi0_xf0.pt</t>
  </si>
  <si>
    <t>warm_start_weights\seed99_step04_lam0.3500_xi0_xf0.pt</t>
  </si>
  <si>
    <t>warm_start_weights\seed42_step05_lam0.5000_xi0_xf0.pt</t>
  </si>
  <si>
    <t>warm_start_weights\seed45_step05_lam0.5000_xi0_xf0.pt</t>
  </si>
  <si>
    <t>warm_start_weights\seed99_step05_lam0.5000_xi0_xf0.pt</t>
  </si>
  <si>
    <t>warm_start_weights\seed42_step06_lam0.7000_xi0_xf0.pt</t>
  </si>
  <si>
    <t>warm_start_weights\seed45_step06_lam0.7000_xi0_xf0.pt</t>
  </si>
  <si>
    <t>warm_start_weights\seed99_step06_lam0.7000_xi0_xf0.pt</t>
  </si>
  <si>
    <t>warm_start_weights\seed42_step07_lam1.0000_xi0_xf0.pt</t>
  </si>
  <si>
    <t>warm_start_weights\seed45_step07_lam1.0000_xi0_xf0.pt</t>
  </si>
  <si>
    <t>warm_start_weights\seed99_step07_lam1.0000_xi0_xf0.pt</t>
  </si>
  <si>
    <t>Seed variablity for lam = 0.2</t>
  </si>
  <si>
    <t>high lambda</t>
  </si>
  <si>
    <t>warm_start_weights\seed42_step00_lam1.2000_xi0_xf0.pt</t>
  </si>
  <si>
    <t>warm_start_weights\seed45_step00_lam1.2000_xi0_xf0.pt</t>
  </si>
  <si>
    <t>warm_start_weights\seed99_step00_lam1.2000_xi0_xf0.pt</t>
  </si>
  <si>
    <t>warm_start_weights\seed42_step01_lam1.5000_xi0_xf0.pt</t>
  </si>
  <si>
    <t>warm_start_weights\seed45_step01_lam1.5000_xi0_xf0.pt</t>
  </si>
  <si>
    <t>warm_start_weights\seed99_step01_lam1.5000_xi0_xf0.pt</t>
  </si>
  <si>
    <t>warm_start_weights\seed42_step02_lam2.0000_xi0_xf0.pt</t>
  </si>
  <si>
    <t>warm_start_weights\seed45_step02_lam2.0000_xi0_xf0.pt</t>
  </si>
  <si>
    <t>warm_start_weights\seed99_step02_lam2.0000_xi0_xf0.pt</t>
  </si>
  <si>
    <t>warm_start_weights\seed42_step03_lam2.5000_xi0_xf0.pt</t>
  </si>
  <si>
    <t>warm_start_weights\seed45_step03_lam2.5000_xi0_xf0.pt</t>
  </si>
  <si>
    <t>warm_start_weights\seed99_step03_lam2.5000_xi0_xf0.pt</t>
  </si>
  <si>
    <t>warm_start_weights\seed42_step04_lam3.0000_xi0_xf0.pt</t>
  </si>
  <si>
    <t>warm_start_weights\seed45_step04_lam3.0000_xi0_xf0.pt</t>
  </si>
  <si>
    <t>warm_start_weights\seed99_step04_lam3.0000_xi0_xf0.pt</t>
  </si>
  <si>
    <t>warm_start_weights\seed42_step05_lam3.5000_xi0_xf0.pt</t>
  </si>
  <si>
    <t>warm_start_weights\seed45_step05_lam3.5000_xi0_xf0.pt</t>
  </si>
  <si>
    <t>warm_start_weights\seed99_step05_lam3.5000_xi0_xf0.pt</t>
  </si>
  <si>
    <t>warm_start_weights\seed42_step06_lam4.0000_xi0_xf0.pt</t>
  </si>
  <si>
    <t>warm_start_weights\seed45_step06_lam4.0000_xi0_xf0.pt</t>
  </si>
  <si>
    <t>warm_start_weights\seed99_step06_lam4.0000_xi0_xf0.pt</t>
  </si>
  <si>
    <t>warm_start_weights\seed42_step07_lam4.5000_xi0_xf0.pt</t>
  </si>
  <si>
    <t>warm_start_weights\seed45_step07_lam4.5000_xi0_xf0.pt</t>
  </si>
  <si>
    <t>warm_start_weights\seed99_step07_lam4.5000_xi0_xf0.pt</t>
  </si>
  <si>
    <t>warm_start_weights\seed42_step08_lam5.0000_xi0_xf0.pt</t>
  </si>
  <si>
    <t>warm_start_weights\seed45_step08_lam5.0000_xi0_xf0.pt</t>
  </si>
  <si>
    <t>warm_start_weights\seed99_step08_lam5.0000_xi0_xf0.pt</t>
  </si>
  <si>
    <t>warm_start_weights\seed42_step09_lam6.0000_xi0_xf0.pt</t>
  </si>
  <si>
    <t>warm_start_weights\seed45_step09_lam6.0000_xi0_xf0.pt</t>
  </si>
  <si>
    <t>warm_start_weights\seed99_step09_lam6.0000_xi0_xf0.pt</t>
  </si>
  <si>
    <t>warm_start_weights\seed42_step10_lam7.0000_xi0_xf0.pt</t>
  </si>
  <si>
    <t>warm_start_weights\seed45_step10_lam7.0000_xi0_xf0.pt</t>
  </si>
  <si>
    <t>warm_start_weights\seed99_step10_lam7.0000_xi0_xf0.pt</t>
  </si>
  <si>
    <t>warm_start_weights\seed42_step11_lam8.0000_xi0_xf0.pt</t>
  </si>
  <si>
    <t>warm_start_weights\seed45_step11_lam8.0000_xi0_xf0.pt</t>
  </si>
  <si>
    <t>warm_start_weights\seed99_step11_lam8.0000_xi0_xf0.pt</t>
  </si>
  <si>
    <t>Get AI to do peturbations for these lada values</t>
  </si>
  <si>
    <t>Consider re-running for omega =1 as its easier! Better seed convergence</t>
  </si>
  <si>
    <t>warm_start_weights/seed45_step00_lam0.0000_xi0_xf0.pt</t>
  </si>
  <si>
    <t>warm_start_weights/seed45_step01_lam0.0100_xi0_xf0.pt</t>
  </si>
  <si>
    <t>warm_start_weights/seed45_step02_lam0.0500_xi0_xf0.pt</t>
  </si>
  <si>
    <t>warm_start_weights/seed45_step03_lam0.1000_xi0_xf0.pt</t>
  </si>
  <si>
    <t>warm_start_weights/seed45_step04_lam0.1500_xi0_xf0.pt</t>
  </si>
  <si>
    <t>warm_start_weights/seed45_step05_lam0.2000_xi0_xf0.pt</t>
  </si>
  <si>
    <t>warm_start_weights/seed45_step06_lam0.3000_xi0_xf0.pt</t>
  </si>
  <si>
    <t>warm_start_weights/seed45_step07_lam0.4000_xi0_xf0.pt</t>
  </si>
  <si>
    <t>warm_start_weights/seed45_step08_lam0.5000_xi0_xf0.pt</t>
  </si>
  <si>
    <t>warm_start_weights/seed45_step09_lam0.6000_xi0_xf0.pt</t>
  </si>
  <si>
    <t>warm_start_weights/seed45_step10_lam0.8000_xi0_xf0.pt</t>
  </si>
  <si>
    <t>warm_start_weights/seed45_step11_lam1.0000_xi0_xf0.pt</t>
  </si>
  <si>
    <t>warm_start_weights/seed45_step12_lam1.5000_xi0_xf0.pt</t>
  </si>
  <si>
    <t>warm_start_weights/seed45_step13_lam2.0000_xi0_xf0.pt</t>
  </si>
  <si>
    <t>warm_start_weights/seed45_step14_lam3.0000_xi0_xf0.pt</t>
  </si>
  <si>
    <t>warm_start_weights/seed45_step15_lam4.0000_xi0_xf0.pt</t>
  </si>
  <si>
    <t>warm_start_weights/seed45_step16_lam6.0000_xi0_xf0.pt</t>
  </si>
  <si>
    <t>warm_start_weights/seed45_step17_lam8.0000_xi0_xf0.pt</t>
  </si>
  <si>
    <t>ML Resuls</t>
  </si>
  <si>
    <t>Here is the table for ω=1\omega=1ω=1, m=1m=1m=1, t=1t=1t=1, xa=xb=0x_a=x_b=0xa​=xb​=0, with potential (λ/4)x4(\lambda/4)x^4(λ/4)x4.</t>
  </si>
  <si>
    <t>PETURBATION</t>
  </si>
  <si>
    <t>ML IM x -1</t>
  </si>
  <si>
    <t>ML R x -1</t>
  </si>
  <si>
    <t>Pet - ML</t>
  </si>
  <si>
    <t>warm_start_weights/seed42_step00_lam0.0000_xi0_xf0.pt</t>
  </si>
  <si>
    <t>warm_start_weights/seed99_step00_lam0.0000_xi0_xf0.pt</t>
  </si>
  <si>
    <t>warm_start_weights/seed42_step01_lam0.0100_xi0_xf0.pt</t>
  </si>
  <si>
    <t>warm_start_weights/seed99_step01_lam0.0100_xi0_xf0.pt</t>
  </si>
  <si>
    <t>warm_start_weights/seed42_step02_lam0.0500_xi0_xf0.pt</t>
  </si>
  <si>
    <t>warm_start_weights/seed99_step02_lam0.0500_xi0_xf0.pt</t>
  </si>
  <si>
    <t>warm_start_weights/seed42_step03_lam0.1000_xi0_xf0.pt</t>
  </si>
  <si>
    <t>warm_start_weights/seed99_step03_lam0.1000_xi0_xf0.pt</t>
  </si>
  <si>
    <t>warm_start_weights/seed42_step04_lam0.1500_xi0_xf0.pt</t>
  </si>
  <si>
    <t>warm_start_weights/seed99_step04_lam0.1500_xi0_xf0.pt</t>
  </si>
  <si>
    <t>warm_start_weights/seed42_step05_lam0.2000_xi0_xf0.pt</t>
  </si>
  <si>
    <t>warm_start_weights/seed99_step05_lam0.2000_xi0_xf0.pt</t>
  </si>
  <si>
    <t>warm_start_weights/seed42_step06_lam0.3000_xi0_xf0.pt</t>
  </si>
  <si>
    <t>warm_start_weights/seed99_step06_lam0.3000_xi0_xf0.pt</t>
  </si>
  <si>
    <t>warm_start_weights/seed42_step07_lam0.4000_xi0_xf0.pt</t>
  </si>
  <si>
    <t>warm_start_weights/seed99_step07_lam0.4000_xi0_xf0.pt</t>
  </si>
  <si>
    <t>warm_start_weights/seed42_step08_lam0.5000_xi0_xf0.pt</t>
  </si>
  <si>
    <t>warm_start_weights/seed99_step08_lam0.5000_xi0_xf0.pt</t>
  </si>
  <si>
    <t>warm_start_weights/seed42_step09_lam0.6000_xi0_xf0.pt</t>
  </si>
  <si>
    <t>warm_start_weights/seed99_step09_lam0.6000_xi0_xf0.pt</t>
  </si>
  <si>
    <t>warm_start_weights/seed42_step10_lam0.8000_xi0_xf0.pt</t>
  </si>
  <si>
    <t>warm_start_weights/seed99_step10_lam0.8000_xi0_xf0.pt</t>
  </si>
  <si>
    <t>warm_start_weights/seed42_step11_lam1.0000_xi0_xf0.pt</t>
  </si>
  <si>
    <t>warm_start_weights/seed99_step11_lam1.0000_xi0_xf0.pt</t>
  </si>
  <si>
    <t>warm_start_weights/seed42_step12_lam1.5000_xi0_xf0.pt</t>
  </si>
  <si>
    <t>warm_start_weights/seed99_step12_lam1.5000_xi0_xf0.pt</t>
  </si>
  <si>
    <t>warm_start_weights/seed42_step13_lam2.0000_xi0_xf0.pt</t>
  </si>
  <si>
    <t>warm_start_weights/seed99_step13_lam2.0000_xi0_xf0.pt</t>
  </si>
  <si>
    <t>warm_start_weights/seed42_step14_lam3.0000_xi0_xf0.pt</t>
  </si>
  <si>
    <t>warm_start_weights/seed99_step14_lam3.0000_xi0_xf0.pt</t>
  </si>
  <si>
    <t>warm_start_weights/seed42_step15_lam4.0000_xi0_xf0.pt</t>
  </si>
  <si>
    <t>warm_start_weights/seed99_step15_lam4.0000_xi0_xf0.pt</t>
  </si>
  <si>
    <t>warm_start_weights/seed42_step16_lam6.0000_xi0_xf0.pt</t>
  </si>
  <si>
    <t>warm_start_weights/seed99_step16_lam6.0000_xi0_xf0.pt</t>
  </si>
  <si>
    <t>warm_start_weights/seed42_step17_lam8.0000_xi0_xf0.pt</t>
  </si>
  <si>
    <t>warm_start_weights/seed99_step17_lam8.0000_xi0_xf0.pt</t>
  </si>
  <si>
    <t>Re(K) pert</t>
  </si>
  <si>
    <t>Im(K) pert</t>
  </si>
  <si>
    <t>OPUS 1st order</t>
  </si>
  <si>
    <t>OPUS 2nd order</t>
  </si>
  <si>
    <t>CHATGPT AGREES EXACTLY ON 2ND ORDER  AS WELL</t>
  </si>
  <si>
    <t>2nd-1st</t>
  </si>
  <si>
    <t xml:space="preserve">1st CHECKED WITH OPUS </t>
  </si>
  <si>
    <t>REAL</t>
  </si>
  <si>
    <t xml:space="preserve">DOUBLE CHECK </t>
  </si>
  <si>
    <t>K_real_1st_plus_2nd</t>
  </si>
  <si>
    <t>K_imag_1st_plus_2nd</t>
  </si>
  <si>
    <t>CHATGPT THINKING</t>
  </si>
  <si>
    <t>PET 2nd Check</t>
  </si>
  <si>
    <t>Exact Mehler Result</t>
  </si>
  <si>
    <t>absML_RL</t>
  </si>
  <si>
    <t>xf_from_filename</t>
  </si>
  <si>
    <t>source_csv</t>
  </si>
  <si>
    <t>warm_start_weights_vary_end_points/seed42_step00_lam0.0000_xi0_xf0.25.pt</t>
  </si>
  <si>
    <t>warm_start_scan_xi0_xf0.25.csv</t>
  </si>
  <si>
    <t>warm_start_weights_vary_end_points/seed42_step01_lam0.1000_xi0_xf0.25.pt</t>
  </si>
  <si>
    <t>warm_start_weights_vary_end_points/seed45_step00_lam0.0000_xi0_xf0.25.pt</t>
  </si>
  <si>
    <t>warm_start_weights_vary_end_points/seed45_step01_lam0.1000_xi0_xf0.25.pt</t>
  </si>
  <si>
    <t>warm_start_weights_vary_end_points/seed42_step00_lam0.0000_xi0_xf0.5.pt</t>
  </si>
  <si>
    <t>warm_start_scan_xi0_xf0.5.csv</t>
  </si>
  <si>
    <t>warm_start_weights_vary_end_points/seed42_step01_lam0.1000_xi0_xf0.5.pt</t>
  </si>
  <si>
    <t>warm_start_weights_vary_end_points/seed45_step00_lam0.0000_xi0_xf0.5.pt</t>
  </si>
  <si>
    <t>warm_start_weights_vary_end_points/seed45_step01_lam0.1000_xi0_xf0.5.pt</t>
  </si>
  <si>
    <t>warm_start_weights_vary_end_points/seed42_step00_lam0.0000_xi0_xf0.75.pt</t>
  </si>
  <si>
    <t>warm_start_scan_xi0_xf0.75.csv</t>
  </si>
  <si>
    <t>warm_start_weights_vary_end_points/seed42_step01_lam0.1000_xi0_xf0.75.pt</t>
  </si>
  <si>
    <t>warm_start_weights_vary_end_points/seed45_step00_lam0.0000_xi0_xf0.75.pt</t>
  </si>
  <si>
    <t>warm_start_weights_vary_end_points/seed45_step01_lam0.1000_xi0_xf0.75.pt</t>
  </si>
  <si>
    <t>warm_start_weights_vary_end_points/seed42_step00_lam0.0000_xi0_xf1.0.pt</t>
  </si>
  <si>
    <t>warm_start_scan_xi0_xf1.0.csv</t>
  </si>
  <si>
    <t>warm_start_weights_vary_end_points/seed42_step01_lam0.1000_xi0_xf1.0.pt</t>
  </si>
  <si>
    <t>warm_start_weights_vary_end_points/seed45_step00_lam0.0000_xi0_xf1.0.pt</t>
  </si>
  <si>
    <t>warm_start_weights_vary_end_points/seed45_step01_lam0.1000_xi0_xf1.0.pt</t>
  </si>
  <si>
    <t>warm_start_weights_vary_end_points/seed42_step00_lam0.0000_xi0_xf1.25.pt</t>
  </si>
  <si>
    <t>warm_start_scan_xi0_xf1.25.csv</t>
  </si>
  <si>
    <t>warm_start_weights_vary_end_points/seed42_step01_lam0.1000_xi0_xf1.25.pt</t>
  </si>
  <si>
    <t>warm_start_weights_vary_end_points/seed45_step00_lam0.0000_xi0_xf1.25.pt</t>
  </si>
  <si>
    <t>warm_start_weights_vary_end_points/seed45_step01_lam0.1000_xi0_xf1.25.pt</t>
  </si>
  <si>
    <t>warm_start_weights_vary_end_points/seed42_step00_lam0.0000_xi0_xf1.5.pt</t>
  </si>
  <si>
    <t>warm_start_scan_xi0_xf1.5.csv</t>
  </si>
  <si>
    <t>warm_start_weights_vary_end_points/seed42_step01_lam0.1000_xi0_xf1.5.pt</t>
  </si>
  <si>
    <t>warm_start_weights_vary_end_points/seed45_step00_lam0.0000_xi0_xf1.5.pt</t>
  </si>
  <si>
    <t>warm_start_weights_vary_end_points/seed45_step01_lam0.1000_xi0_xf1.5.pt</t>
  </si>
  <si>
    <t>warm_start_weights_vary_end_points/seed42_step00_lam0.0000_xi0_xf1.75.pt</t>
  </si>
  <si>
    <t>warm_start_scan_xi0_xf1.75.csv</t>
  </si>
  <si>
    <t>warm_start_weights_vary_end_points/seed42_step01_lam0.1000_xi0_xf1.75.pt</t>
  </si>
  <si>
    <t>warm_start_weights_vary_end_points/seed45_step00_lam0.0000_xi0_xf1.75.pt</t>
  </si>
  <si>
    <t>warm_start_weights_vary_end_points/seed45_step01_lam0.1000_xi0_xf1.75.pt</t>
  </si>
  <si>
    <t>warm_start_weights_vary_end_points/seed42_step00_lam0.0000_xi0_xf2.0.pt</t>
  </si>
  <si>
    <t>warm_start_scan_xi0_xf2.0.csv</t>
  </si>
  <si>
    <t>warm_start_weights_vary_end_points/seed42_step01_lam0.1000_xi0_xf2.0.pt</t>
  </si>
  <si>
    <t>warm_start_weights_vary_end_points/seed45_step00_lam0.0000_xi0_xf2.0.pt</t>
  </si>
  <si>
    <t>warm_start_weights_vary_end_points/seed45_step01_lam0.1000_xi0_xf2.0.pt</t>
  </si>
  <si>
    <t>warm_start_weights_vary_end_points/seed42_step00_lam0.0000_xi0_xf2.25.pt</t>
  </si>
  <si>
    <t>warm_start_scan_xi0_xf2.25.csv</t>
  </si>
  <si>
    <t>warm_start_weights_vary_end_points/seed42_step01_lam0.1000_xi0_xf2.25.pt</t>
  </si>
  <si>
    <t>warm_start_weights_vary_end_points/seed45_step00_lam0.0000_xi0_xf2.25.pt</t>
  </si>
  <si>
    <t>warm_start_weights_vary_end_points/seed45_step01_lam0.1000_xi0_xf2.25.pt</t>
  </si>
  <si>
    <t>warm_start_weights_vary_end_points/seed42_step00_lam0.0000_xi0_xf2.5.pt</t>
  </si>
  <si>
    <t>warm_start_scan_xi0_xf2.5.csv</t>
  </si>
  <si>
    <t>warm_start_weights_vary_end_points/seed42_step01_lam0.1000_xi0_xf2.5.pt</t>
  </si>
  <si>
    <t>warm_start_weights_vary_end_points/seed45_step00_lam0.0000_xi0_xf2.5.pt</t>
  </si>
  <si>
    <t>warm_start_weights_vary_end_points/seed45_step01_lam0.1000_xi0_xf2.5.pt</t>
  </si>
  <si>
    <t>warm_start_weights_vary_end_points/seed42_step00_lam0.0000_xi0_xf2.75.pt</t>
  </si>
  <si>
    <t>warm_start_scan_xi0_xf2.75.csv</t>
  </si>
  <si>
    <t>warm_start_weights_vary_end_points/seed42_step01_lam0.1000_xi0_xf2.75.pt</t>
  </si>
  <si>
    <t>warm_start_weights_vary_end_points/seed45_step00_lam0.0000_xi0_xf2.75.pt</t>
  </si>
  <si>
    <t>warm_start_weights_vary_end_points/seed45_step01_lam0.1000_xi0_xf2.75.pt</t>
  </si>
  <si>
    <t>warm_start_weights_vary_end_points/seed42_step00_lam0.0000_xi0_xf3.0.pt</t>
  </si>
  <si>
    <t>warm_start_scan_xi0_xf3.0.csv</t>
  </si>
  <si>
    <t>warm_start_weights_vary_end_points/seed42_step01_lam0.1000_xi0_xf3.0.pt</t>
  </si>
  <si>
    <t>warm_start_weights_vary_end_points/seed45_step00_lam0.0000_xi0_xf3.0.pt</t>
  </si>
  <si>
    <t>warm_start_weights_vary_end_points/seed45_step01_lam0.1000_xi0_xf3.0.pt</t>
  </si>
  <si>
    <t>warm_start_weights_vary_end_points/seed42_step00_lam0.0000_xi0_xf3.25.pt</t>
  </si>
  <si>
    <t>warm_start_scan_xi0_xf3.25.csv</t>
  </si>
  <si>
    <t>warm_start_weights_vary_end_points/seed42_step01_lam0.1000_xi0_xf3.25.pt</t>
  </si>
  <si>
    <t>warm_start_weights_vary_end_points/seed45_step00_lam0.0000_xi0_xf3.25.pt</t>
  </si>
  <si>
    <t>warm_start_weights_vary_end_points/seed45_step01_lam0.1000_xi0_xf3.25.pt</t>
  </si>
  <si>
    <t>warm_start_weights_vary_end_points/seed42_step00_lam0.0000_xi0_xf3.5.pt</t>
  </si>
  <si>
    <t>warm_start_scan_xi0_xf3.5.csv</t>
  </si>
  <si>
    <t>warm_start_weights_vary_end_points/seed42_step01_lam0.1000_xi0_xf3.5.pt</t>
  </si>
  <si>
    <t>warm_start_weights_vary_end_points/seed45_step00_lam0.0000_xi0_xf3.5.pt</t>
  </si>
  <si>
    <t>warm_start_weights_vary_end_points/seed45_step01_lam0.1000_xi0_xf3.5.pt</t>
  </si>
  <si>
    <t>warm_start_weights_vary_end_points/seed42_step00_lam0.0000_xi0_xf3.75.pt</t>
  </si>
  <si>
    <t>warm_start_scan_xi0_xf3.75.csv</t>
  </si>
  <si>
    <t>warm_start_weights_vary_end_points/seed42_step01_lam0.1000_xi0_xf3.75.pt</t>
  </si>
  <si>
    <t>warm_start_weights_vary_end_points/seed45_step00_lam0.0000_xi0_xf3.75.pt</t>
  </si>
  <si>
    <t>warm_start_weights_vary_end_points/seed45_step01_lam0.1000_xi0_xf3.75.pt</t>
  </si>
  <si>
    <t>warm_start_weights_vary_end_points/seed42_step00_lam0.0000_xi0_xf4.0.pt</t>
  </si>
  <si>
    <t>warm_start_scan_xi0_xf4.0.csv</t>
  </si>
  <si>
    <t>warm_start_weights_vary_end_points/seed42_step01_lam0.1000_xi0_xf4.0.pt</t>
  </si>
  <si>
    <t>warm_start_weights_vary_end_points/seed45_step00_lam0.0000_xi0_xf4.0.pt</t>
  </si>
  <si>
    <t>warm_start_weights_vary_end_points/seed45_step01_lam0.1000_xi0_xf4.0.pt</t>
  </si>
  <si>
    <t>warm_start_weights_vary_end_points/seed42_step00_lam0.0000_xi0_xf4.25.pt</t>
  </si>
  <si>
    <t>warm_start_scan_xi0_xf4.25.csv</t>
  </si>
  <si>
    <t>warm_start_weights_vary_end_points/seed42_step01_lam0.1000_xi0_xf4.25.pt</t>
  </si>
  <si>
    <t>warm_start_weights_vary_end_points/seed45_step00_lam0.0000_xi0_xf4.25.pt</t>
  </si>
  <si>
    <t>warm_start_weights_vary_end_points/seed45_step01_lam0.1000_xi0_xf4.25.pt</t>
  </si>
  <si>
    <t>warm_start_weights_vary_end_points/seed42_step00_lam0.0000_xi0_xf4.5.pt</t>
  </si>
  <si>
    <t>warm_start_scan_xi0_xf4.5.csv</t>
  </si>
  <si>
    <t>warm_start_weights_vary_end_points/seed42_step01_lam0.1000_xi0_xf4.5.pt</t>
  </si>
  <si>
    <t>warm_start_weights_vary_end_points/seed45_step00_lam0.0000_xi0_xf4.5.pt</t>
  </si>
  <si>
    <t>warm_start_weights_vary_end_points/seed45_step01_lam0.1000_xi0_xf4.5.pt</t>
  </si>
  <si>
    <t>warm_start_weights_vary_end_points/seed42_step00_lam0.0000_xi0_xf4.75.pt</t>
  </si>
  <si>
    <t>warm_start_scan_xi0_xf4.75.csv</t>
  </si>
  <si>
    <t>warm_start_weights_vary_end_points/seed42_step01_lam0.1000_xi0_xf4.75.pt</t>
  </si>
  <si>
    <t>warm_start_weights_vary_end_points/seed45_step00_lam0.0000_xi0_xf4.75.pt</t>
  </si>
  <si>
    <t>warm_start_weights_vary_end_points/seed45_step01_lam0.1000_xi0_xf4.75.pt</t>
  </si>
  <si>
    <t>warm_start_weights_vary_end_points/seed42_step00_lam0.0000_xi0_xf5.0.pt</t>
  </si>
  <si>
    <t>warm_start_scan_xi0_xf5.0.csv</t>
  </si>
  <si>
    <t>warm_start_weights_vary_end_points/seed42_step01_lam0.1000_xi0_xf5.0.pt</t>
  </si>
  <si>
    <t>warm_start_weights_vary_end_points/seed45_step00_lam0.0000_xi0_xf5.0.pt</t>
  </si>
  <si>
    <t>warm_start_weights_vary_end_points/seed45_step01_lam0.1000_xi0_xf5.0.pt</t>
  </si>
  <si>
    <t>warm_start_weights_vary_end_points/seed42_step00_lam0.0000_xi0_xf5.25.pt</t>
  </si>
  <si>
    <t>warm_start_scan_xi0_xf5.25.csv</t>
  </si>
  <si>
    <t>warm_start_weights_vary_end_points/seed42_step01_lam0.1000_xi0_xf5.25.pt</t>
  </si>
  <si>
    <t>warm_start_weights_vary_end_points/seed45_step00_lam0.0000_xi0_xf5.25.pt</t>
  </si>
  <si>
    <t>warm_start_weights_vary_end_points/seed45_step01_lam0.1000_xi0_xf5.25.pt</t>
  </si>
  <si>
    <t>warm_start_weights_vary_end_points/seed42_step00_lam0.0000_xi0_xf5.5.pt</t>
  </si>
  <si>
    <t>warm_start_scan_xi0_xf5.5.csv</t>
  </si>
  <si>
    <t>warm_start_weights_vary_end_points/seed42_step01_lam0.1000_xi0_xf5.5.pt</t>
  </si>
  <si>
    <t>warm_start_weights_vary_end_points/seed45_step00_lam0.0000_xi0_xf5.5.pt</t>
  </si>
  <si>
    <t>warm_start_weights_vary_end_points/seed45_step01_lam0.1000_xi0_xf5.5.pt</t>
  </si>
  <si>
    <t>warm_start_weights_vary_end_points/seed42_step00_lam0.0000_xi0_xf5.75.pt</t>
  </si>
  <si>
    <t>warm_start_scan_xi0_xf5.75.csv</t>
  </si>
  <si>
    <t>warm_start_weights_vary_end_points/seed42_step01_lam0.1000_xi0_xf5.75.pt</t>
  </si>
  <si>
    <t>warm_start_weights_vary_end_points/seed45_step00_lam0.0000_xi0_xf5.75.pt</t>
  </si>
  <si>
    <t>warm_start_weights_vary_end_points/seed45_step01_lam0.1000_xi0_xf5.75.pt</t>
  </si>
  <si>
    <t>warm_start_weights_vary_end_points/seed42_step00_lam0.0000_xi0_xf6.0.pt</t>
  </si>
  <si>
    <t>warm_start_scan_xi0_xf6.0.csv</t>
  </si>
  <si>
    <t>warm_start_weights_vary_end_points/seed42_step01_lam0.1000_xi0_xf6.0.pt</t>
  </si>
  <si>
    <t>warm_start_weights_vary_end_points/seed45_step00_lam0.0000_xi0_xf6.0.pt</t>
  </si>
  <si>
    <t>warm_start_weights_vary_end_points/seed45_step01_lam0.1000_xi0_xf6.0.pt</t>
  </si>
  <si>
    <t>warm_start_weights_vary_end_points/seed42_step00_lam0.0000_xi0_xf6.25.pt</t>
  </si>
  <si>
    <t>warm_start_scan_xi0_xf6.25.csv</t>
  </si>
  <si>
    <t>warm_start_weights_vary_end_points/seed42_step01_lam0.1000_xi0_xf6.25.pt</t>
  </si>
  <si>
    <t>warm_start_weights_vary_end_points/seed45_step00_lam0.0000_xi0_xf6.25.pt</t>
  </si>
  <si>
    <t>warm_start_weights_vary_end_points/seed45_step01_lam0.1000_xi0_xf6.25.pt</t>
  </si>
  <si>
    <t>warm_start_weights_vary_end_points/seed42_step00_lam0.0000_xi0_xf6.5.pt</t>
  </si>
  <si>
    <t>warm_start_scan_xi0_xf6.5.csv</t>
  </si>
  <si>
    <t>warm_start_weights_vary_end_points/seed42_step01_lam0.1000_xi0_xf6.5.pt</t>
  </si>
  <si>
    <t>warm_start_weights_vary_end_points/seed45_step00_lam0.0000_xi0_xf6.5.pt</t>
  </si>
  <si>
    <t>warm_start_weights_vary_end_points/seed45_step01_lam0.1000_xi0_xf6.5.pt</t>
  </si>
  <si>
    <t>warm_start_weights_vary_end_points/seed42_step00_lam0.0000_xi0_xf6.75.pt</t>
  </si>
  <si>
    <t>warm_start_scan_xi0_xf6.75.csv</t>
  </si>
  <si>
    <t>warm_start_weights_vary_end_points/seed42_step01_lam0.1000_xi0_xf6.75.pt</t>
  </si>
  <si>
    <t>warm_start_weights_vary_end_points/seed45_step00_lam0.0000_xi0_xf6.75.pt</t>
  </si>
  <si>
    <t>warm_start_weights_vary_end_points/seed45_step01_lam0.1000_xi0_xf6.75.pt</t>
  </si>
  <si>
    <t>warm_start_weights_vary_end_points/seed42_step00_lam0.0000_xi0_xf7.0.pt</t>
  </si>
  <si>
    <t>warm_start_scan_xi0_xf7.0.csv</t>
  </si>
  <si>
    <t>warm_start_weights_vary_end_points/seed42_step01_lam0.1000_xi0_xf7.0.pt</t>
  </si>
  <si>
    <t>warm_start_weights_vary_end_points/seed45_step00_lam0.0000_xi0_xf7.0.pt</t>
  </si>
  <si>
    <t>warm_start_weights_vary_end_points/seed45_step01_lam0.1000_xi0_xf7.0.pt</t>
  </si>
  <si>
    <t>warm_start_weights_vary_end_points/seed42_step00_lam0.0000_xi0_xf7.25.pt</t>
  </si>
  <si>
    <t>warm_start_scan_xi0_xf7.25.csv</t>
  </si>
  <si>
    <t>warm_start_weights_vary_end_points/seed42_step01_lam0.1000_xi0_xf7.25.pt</t>
  </si>
  <si>
    <t>warm_start_weights_vary_end_points/seed45_step00_lam0.0000_xi0_xf7.25.pt</t>
  </si>
  <si>
    <t>warm_start_weights_vary_end_points/seed45_step01_lam0.1000_xi0_xf7.25.pt</t>
  </si>
  <si>
    <t>warm_start_weights_vary_end_points/seed42_step00_lam0.0000_xi0_xf7.5.pt</t>
  </si>
  <si>
    <t>warm_start_scan_xi0_xf7.5.csv</t>
  </si>
  <si>
    <t>warm_start_weights_vary_end_points/seed42_step01_lam0.1000_xi0_xf7.5.pt</t>
  </si>
  <si>
    <t>warm_start_weights_vary_end_points/seed45_step00_lam0.0000_xi0_xf7.5.pt</t>
  </si>
  <si>
    <t>warm_start_weights_vary_end_points/seed45_step01_lam0.1000_xi0_xf7.5.pt</t>
  </si>
  <si>
    <t>warm_start_weights_vary_end_points/seed42_step00_lam0.0000_xi0_xf7.75.pt</t>
  </si>
  <si>
    <t>warm_start_scan_xi0_xf7.75.csv</t>
  </si>
  <si>
    <t>warm_start_weights_vary_end_points/seed42_step01_lam0.1000_xi0_xf7.75.pt</t>
  </si>
  <si>
    <t>warm_start_weights_vary_end_points/seed45_step00_lam0.0000_xi0_xf7.75.pt</t>
  </si>
  <si>
    <t>warm_start_weights_vary_end_points/seed45_step01_lam0.1000_xi0_xf7.75.pt</t>
  </si>
  <si>
    <t>warm_start_weights_vary_end_points/seed42_step00_lam0.0000_xi0_xf8.0.pt</t>
  </si>
  <si>
    <t>warm_start_scan_xi0_xf8.0.csv</t>
  </si>
  <si>
    <t>warm_start_weights_vary_end_points/seed42_step01_lam0.1000_xi0_xf8.0.pt</t>
  </si>
  <si>
    <t>warm_start_weights_vary_end_points/seed45_step00_lam0.0000_xi0_xf8.0.pt</t>
  </si>
  <si>
    <t>warm_start_weights_vary_end_points/seed45_step01_lam0.1000_xi0_xf8.0.pt</t>
  </si>
  <si>
    <t>warm_start_weights_vary_end_points/seed42_step00_lam0.0000_xi0_xf8.25.pt</t>
  </si>
  <si>
    <t>warm_start_scan_xi0_xf8.25.csv</t>
  </si>
  <si>
    <t>warm_start_weights_vary_end_points/seed42_step01_lam0.1000_xi0_xf8.25.pt</t>
  </si>
  <si>
    <t>warm_start_weights_vary_end_points/seed45_step00_lam0.0000_xi0_xf8.25.pt</t>
  </si>
  <si>
    <t>warm_start_weights_vary_end_points/seed45_step01_lam0.1000_xi0_xf8.25.pt</t>
  </si>
  <si>
    <t>warm_start_weights_vary_end_points/seed42_step00_lam0.0000_xi0_xf8.5.pt</t>
  </si>
  <si>
    <t>warm_start_scan_xi0_xf8.5.csv</t>
  </si>
  <si>
    <t>warm_start_weights_vary_end_points/seed42_step01_lam0.1000_xi0_xf8.5.pt</t>
  </si>
  <si>
    <t>warm_start_weights_vary_end_points/seed45_step00_lam0.0000_xi0_xf8.5.pt</t>
  </si>
  <si>
    <t>warm_start_weights_vary_end_points/seed45_step01_lam0.1000_xi0_xf8.5.pt</t>
  </si>
  <si>
    <t>warm_start_weights_vary_end_points/seed42_step00_lam0.0000_xi0_xf8.75.pt</t>
  </si>
  <si>
    <t>warm_start_scan_xi0_xf8.75.csv</t>
  </si>
  <si>
    <t>warm_start_weights_vary_end_points/seed42_step01_lam0.1000_xi0_xf8.75.pt</t>
  </si>
  <si>
    <t>warm_start_weights_vary_end_points/seed45_step00_lam0.0000_xi0_xf8.75.pt</t>
  </si>
  <si>
    <t>warm_start_weights_vary_end_points/seed45_step01_lam0.1000_xi0_xf8.75.pt</t>
  </si>
  <si>
    <t>warm_start_weights_vary_end_points/seed42_step00_lam0.0000_xi0_xf9.0.pt</t>
  </si>
  <si>
    <t>warm_start_scan_xi0_xf9.0.csv</t>
  </si>
  <si>
    <t>warm_start_weights_vary_end_points/seed42_step01_lam0.1000_xi0_xf9.0.pt</t>
  </si>
  <si>
    <t>warm_start_weights_vary_end_points/seed45_step00_lam0.0000_xi0_xf9.0.pt</t>
  </si>
  <si>
    <t>warm_start_weights_vary_end_points/seed45_step01_lam0.1000_xi0_xf9.0.pt</t>
  </si>
  <si>
    <t>warm_start_weights_vary_end_points/seed42_step00_lam0.0000_xi0_xf9.25.pt</t>
  </si>
  <si>
    <t>warm_start_scan_xi0_xf9.25.csv</t>
  </si>
  <si>
    <t>warm_start_weights_vary_end_points/seed42_step01_lam0.1000_xi0_xf9.25.pt</t>
  </si>
  <si>
    <t>warm_start_weights_vary_end_points/seed45_step00_lam0.0000_xi0_xf9.25.pt</t>
  </si>
  <si>
    <t>warm_start_weights_vary_end_points/seed45_step01_lam0.1000_xi0_xf9.25.pt</t>
  </si>
  <si>
    <t>warm_start_weights_vary_end_points/seed42_step00_lam0.0000_xi0_xf9.5.pt</t>
  </si>
  <si>
    <t>warm_start_scan_xi0_xf9.5.csv</t>
  </si>
  <si>
    <t>warm_start_weights_vary_end_points/seed42_step01_lam0.1000_xi0_xf9.5.pt</t>
  </si>
  <si>
    <t>warm_start_weights_vary_end_points/seed45_step00_lam0.0000_xi0_xf9.5.pt</t>
  </si>
  <si>
    <t>warm_start_weights_vary_end_points/seed45_step01_lam0.1000_xi0_xf9.5.pt</t>
  </si>
  <si>
    <t>warm_start_weights_vary_end_points/seed42_step00_lam0.0000_xi0_xf9.75.pt</t>
  </si>
  <si>
    <t>warm_start_scan_xi0_xf9.75.csv</t>
  </si>
  <si>
    <t>warm_start_weights_vary_end_points/seed42_step01_lam0.1000_xi0_xf9.75.pt</t>
  </si>
  <si>
    <t>warm_start_weights_vary_end_points/seed45_step00_lam0.0000_xi0_xf9.75.pt</t>
  </si>
  <si>
    <t>warm_start_weights_vary_end_points/seed45_step01_lam0.1000_xi0_xf9.75.pt</t>
  </si>
  <si>
    <t>Need to sort the sign swithing and IM+Real Swithing</t>
  </si>
  <si>
    <t>DIFF Mehl vs ML</t>
  </si>
  <si>
    <t>Re(K0)</t>
  </si>
  <si>
    <t>Im(K0)</t>
  </si>
  <si>
    <t>|K0|</t>
  </si>
  <si>
    <t>min_marker</t>
  </si>
  <si>
    <t>init_type</t>
  </si>
  <si>
    <t>MIN</t>
  </si>
  <si>
    <t>default</t>
  </si>
  <si>
    <t>runs/20260511_215115_omega1_T1_N16_m1.0_eps0.01_40eps_xf0to9.75/weights/seed45_step00_lam0.0000_xi0_xf0_omega1_T1_N16_m1.0_eps0.01.pt</t>
  </si>
  <si>
    <t>hessian+classical</t>
  </si>
  <si>
    <t>runs/20260511_215115_omega1_T1_N16_m1.0_eps0.01_40eps_xf0to9.75/weights/seed45_step00_lam0.0000_xi0_xf0.25_omega1_T1_N16_m1.0_eps0.01.pt</t>
  </si>
  <si>
    <t>runs/20260511_215115_omega1_T1_N16_m1.0_eps0.01_40eps_xf0to9.75/weights/seed99_step00_lam0.0000_xi0_xf0.5_omega1_T1_N16_m1.0_eps0.01.pt</t>
  </si>
  <si>
    <t>runs/20260511_215115_omega1_T1_N16_m1.0_eps0.01_40eps_xf0to9.75/weights/seed45_step00_lam0.0000_xi0_xf0.75_omega1_T1_N16_m1.0_eps0.01.pt</t>
  </si>
  <si>
    <t>runs/20260511_215115_omega1_T1_N16_m1.0_eps0.01_40eps_xf0to9.75/weights/seed99_step00_lam0.0000_xi0_xf1.0_omega1_T1_N16_m1.0_eps0.01.pt</t>
  </si>
  <si>
    <t>runs/20260511_215115_omega1_T1_N16_m1.0_eps0.01_40eps_xf0to9.75/weights/seed99_step00_lam0.0000_xi0_xf1.25_omega1_T1_N16_m1.0_eps0.01.pt</t>
  </si>
  <si>
    <t>runs/20260511_215115_omega1_T1_N16_m1.0_eps0.01_40eps_xf0to9.75/weights/seed45_step00_lam0.0000_xi0_xf1.5_omega1_T1_N16_m1.0_eps0.01.pt</t>
  </si>
  <si>
    <t>runs/20260511_215115_omega1_T1_N16_m1.0_eps0.01_40eps_xf0to9.75/weights/seed45_step00_lam0.0000_xi0_xf1.75_omega1_T1_N16_m1.0_eps0.01.pt</t>
  </si>
  <si>
    <t>runs/20260511_215115_omega1_T1_N16_m1.0_eps0.01_40eps_xf0to9.75/weights/seed99_step00_lam0.0000_xi0_xf2.0_omega1_T1_N16_m1.0_eps0.01.pt</t>
  </si>
  <si>
    <t>runs/20260511_215115_omega1_T1_N16_m1.0_eps0.01_40eps_xf0to9.75/weights/seed45_step00_lam0.0000_xi0_xf2.25_omega1_T1_N16_m1.0_eps0.01.pt</t>
  </si>
  <si>
    <t>runs/20260511_215115_omega1_T1_N16_m1.0_eps0.01_40eps_xf0to9.75/weights/seed45_step00_lam0.0000_xi0_xf2.5_omega1_T1_N16_m1.0_eps0.01.pt</t>
  </si>
  <si>
    <t>runs/20260511_215115_omega1_T1_N16_m1.0_eps0.01_40eps_xf0to9.75/weights/seed45_step00_lam0.0000_xi0_xf2.75_omega1_T1_N16_m1.0_eps0.01.pt</t>
  </si>
  <si>
    <t>runs/20260511_215115_omega1_T1_N16_m1.0_eps0.01_40eps_xf0to9.75/weights/seed45_step00_lam0.0000_xi0_xf3.0_omega1_T1_N16_m1.0_eps0.01.pt</t>
  </si>
  <si>
    <t>runs/20260511_215115_omega1_T1_N16_m1.0_eps0.01_40eps_xf0to9.75/weights/seed99_step00_lam0.0000_xi0_xf3.25_omega1_T1_N16_m1.0_eps0.01.pt</t>
  </si>
  <si>
    <t>runs/20260511_215115_omega1_T1_N16_m1.0_eps0.01_40eps_xf0to9.75/weights/seed99_step00_lam0.0000_xi0_xf3.5_omega1_T1_N16_m1.0_eps0.01.pt</t>
  </si>
  <si>
    <t>runs/20260511_215115_omega1_T1_N16_m1.0_eps0.01_40eps_xf0to9.75/weights/seed99_step00_lam0.0000_xi0_xf3.75_omega1_T1_N16_m1.0_eps0.01.pt</t>
  </si>
  <si>
    <t>runs/20260511_215115_omega1_T1_N16_m1.0_eps0.01_40eps_xf0to9.75/weights/seed45_step00_lam0.0000_xi0_xf4.0_omega1_T1_N16_m1.0_eps0.01.pt</t>
  </si>
  <si>
    <t>runs/20260511_215115_omega1_T1_N16_m1.0_eps0.01_40eps_xf0to9.75/weights/seed99_step00_lam0.0000_xi0_xf4.25_omega1_T1_N16_m1.0_eps0.01.pt</t>
  </si>
  <si>
    <t>runs/20260511_215115_omega1_T1_N16_m1.0_eps0.01_40eps_xf0to9.75/weights/seed99_step00_lam0.0000_xi0_xf4.5_omega1_T1_N16_m1.0_eps0.01.pt</t>
  </si>
  <si>
    <t>runs/20260511_215115_omega1_T1_N16_m1.0_eps0.01_40eps_xf0to9.75/weights/seed99_step00_lam0.0000_xi0_xf4.75_omega1_T1_N16_m1.0_eps0.01.pt</t>
  </si>
  <si>
    <t>runs/20260511_215115_omega1_T1_N16_m1.0_eps0.01_40eps_xf0to9.75/weights/seed45_step00_lam0.0000_xi0_xf5.0_omega1_T1_N16_m1.0_eps0.01.pt</t>
  </si>
  <si>
    <t>Re[K]</t>
  </si>
  <si>
    <t>Im[K]</t>
  </si>
  <si>
    <t>Matchig well for nr end points BUT not for higher</t>
  </si>
  <si>
    <t>And this is for HARMONIC OSCILATOR</t>
  </si>
  <si>
    <t xml:space="preserve">Using </t>
  </si>
  <si>
    <t>https://chatgpt.com/c/6a05900e-64d4-8391-b5ad-00fce84d1b2a</t>
  </si>
  <si>
    <t>warm_start_scan_omega1_T1_N16_m</t>
  </si>
  <si>
    <t>best_loss_for_seed</t>
  </si>
  <si>
    <t>runs\20260514_112516_omega1_T1_N16_m1.0_eps0.001_0.0001_xi0_xf0\warm_start_weights_Epsilon_Scan\seed42_step00_lam0.0000_eps0.001_xi0_xf0.pt</t>
  </si>
  <si>
    <t>runs\20260514_112516_omega1_T1_N16_m1.0_eps0.001_0.0001_xi0_xf0\warm_start_weights_Epsilon_Scan\seed42_step01_lam0.0500_eps0.001_xi0_xf0.pt</t>
  </si>
  <si>
    <t>runs\20260514_112516_omega1_T1_N16_m1.0_eps0.001_0.0001_xi0_xf0\warm_start_weights_Epsilon_Scan\seed42_step02_lam0.1000_eps0.001_xi0_xf0.pt</t>
  </si>
  <si>
    <t>runs\20260514_112516_omega1_T1_N16_m1.0_eps0.001_0.0001_xi0_xf0\warm_start_weights_Epsilon_Scan\seed42_step00_lam0.0000_eps0.0001_xi0_xf0.pt</t>
  </si>
  <si>
    <t>runs\20260514_112516_omega1_T1_N16_m1.0_eps0.001_0.0001_xi0_xf0\warm_start_weights_Epsilon_Scan\seed42_step01_lam0.0500_eps0.0001_xi0_xf0.pt</t>
  </si>
  <si>
    <t>runs\20260514_112516_omega1_T1_N16_m1.0_eps0.001_0.0001_xi0_xf0\warm_start_weights_Epsilon_Scan\seed42_step02_lam0.1000_eps0.0001_xi0_xf0.pt</t>
  </si>
  <si>
    <t>Epsilon</t>
  </si>
  <si>
    <t>Lam</t>
  </si>
  <si>
    <t xml:space="preserve">2nd of peturbation </t>
  </si>
  <si>
    <t>Diff</t>
  </si>
  <si>
    <t>60000 epochs</t>
  </si>
  <si>
    <t>32 nuerons</t>
  </si>
  <si>
    <t>same layers</t>
  </si>
  <si>
    <t>Horizontal Warm Starts</t>
  </si>
  <si>
    <t>runs/20260517_232235_omega1_T1_N16_m1.0_eps0.001_0.0001_40ep_xf0to9.75/warm_start_weights_Epsilon_Scan/seed42_step00_lam0.0000_eps0.001_xi0_xf0.pt</t>
  </si>
  <si>
    <t>runs/20260517_232235_omega1_T1_N16_m1.0_eps0.001_0.0001_40ep_xf0to9.75/warm_start_weights_Epsilon_Scan/seed45_step00_lam0.0000_eps0.001_xi0_xf0.pt</t>
  </si>
  <si>
    <t>runs/20260517_232235_omega1_T1_N16_m1.0_eps0.001_0.0001_40ep_xf0to9.75/warm_start_weights_Epsilon_Scan/seed42_step00_lam0.0000_eps0.001_xi0_xf0.25.pt</t>
  </si>
  <si>
    <t>runs/20260517_232235_omega1_T1_N16_m1.0_eps0.001_0.0001_40ep_xf0to9.75/warm_start_weights_Epsilon_Scan/seed45_step00_lam0.0000_eps0.001_xi0_xf0.25.pt</t>
  </si>
  <si>
    <t>runs/20260517_232235_omega1_T1_N16_m1.0_eps0.001_0.0001_40ep_xf0to9.75/warm_start_weights_Epsilon_Scan/seed42_step00_lam0.0000_eps0.001_xi0_xf0.5.pt</t>
  </si>
  <si>
    <t>runs/20260517_232235_omega1_T1_N16_m1.0_eps0.001_0.0001_40ep_xf0to9.75/warm_start_weights_Epsilon_Scan/seed45_step00_lam0.0000_eps0.001_xi0_xf0.5.pt</t>
  </si>
  <si>
    <t>runs/20260517_232235_omega1_T1_N16_m1.0_eps0.001_0.0001_40ep_xf0to9.75/warm_start_weights_Epsilon_Scan/seed42_step00_lam0.0000_eps0.001_xi0_xf0.75.pt</t>
  </si>
  <si>
    <t>runs/20260517_232235_omega1_T1_N16_m1.0_eps0.001_0.0001_40ep_xf0to9.75/warm_start_weights_Epsilon_Scan/seed45_step00_lam0.0000_eps0.001_xi0_xf0.75.pt</t>
  </si>
  <si>
    <t>runs/20260517_232235_omega1_T1_N16_m1.0_eps0.001_0.0001_40ep_xf0to9.75/warm_start_weights_Epsilon_Scan/seed42_step00_lam0.0000_eps0.001_xi0_xf1.0.pt</t>
  </si>
  <si>
    <t>runs/20260517_232235_omega1_T1_N16_m1.0_eps0.001_0.0001_40ep_xf0to9.75/warm_start_weights_Epsilon_Scan/seed45_step00_lam0.0000_eps0.001_xi0_xf1.0.pt</t>
  </si>
  <si>
    <t>runs/20260517_232235_omega1_T1_N16_m1.0_eps0.001_0.0001_40ep_xf0to9.75/warm_start_weights_Epsilon_Scan/seed42_step00_lam0.0000_eps0.001_xi0_xf1.25.pt</t>
  </si>
  <si>
    <t>runs/20260517_232235_omega1_T1_N16_m1.0_eps0.001_0.0001_40ep_xf0to9.75/warm_start_weights_Epsilon_Scan/seed45_step00_lam0.0000_eps0.001_xi0_xf1.25.pt</t>
  </si>
  <si>
    <t>runs/20260517_232235_omega1_T1_N16_m1.0_eps0.001_0.0001_40ep_xf0to9.75/warm_start_weights_Epsilon_Scan/seed42_step00_lam0.0000_eps0.001_xi0_xf1.5.pt</t>
  </si>
  <si>
    <t>runs/20260517_232235_omega1_T1_N16_m1.0_eps0.001_0.0001_40ep_xf0to9.75/warm_start_weights_Epsilon_Scan/seed45_step00_lam0.0000_eps0.001_xi0_xf1.5.pt</t>
  </si>
  <si>
    <t>runs/20260517_232235_omega1_T1_N16_m1.0_eps0.001_0.0001_40ep_xf0to9.75/warm_start_weights_Epsilon_Scan/seed42_step00_lam0.0000_eps0.001_xi0_xf1.75.pt</t>
  </si>
  <si>
    <t>runs/20260517_232235_omega1_T1_N16_m1.0_eps0.001_0.0001_40ep_xf0to9.75/warm_start_weights_Epsilon_Scan/seed45_step00_lam0.0000_eps0.001_xi0_xf1.75.pt</t>
  </si>
  <si>
    <t>runs/20260517_232235_omega1_T1_N16_m1.0_eps0.001_0.0001_40ep_xf0to9.75/warm_start_weights_Epsilon_Scan/seed42_step00_lam0.0000_eps0.001_xi0_xf2.0.pt</t>
  </si>
  <si>
    <t>runs/20260517_232235_omega1_T1_N16_m1.0_eps0.001_0.0001_40ep_xf0to9.75/warm_start_weights_Epsilon_Scan/seed45_step00_lam0.0000_eps0.001_xi0_xf2.0.pt</t>
  </si>
  <si>
    <t>runs/20260517_232235_omega1_T1_N16_m1.0_eps0.001_0.0001_40ep_xf0to9.75/warm_start_weights_Epsilon_Scan/seed42_step00_lam0.0000_eps0.001_xi0_xf2.25.pt</t>
  </si>
  <si>
    <t>runs/20260517_232235_omega1_T1_N16_m1.0_eps0.001_0.0001_40ep_xf0to9.75/warm_start_weights_Epsilon_Scan/seed45_step00_lam0.0000_eps0.001_xi0_xf2.25.pt</t>
  </si>
  <si>
    <t>runs/20260517_232235_omega1_T1_N16_m1.0_eps0.001_0.0001_40ep_xf0to9.75/warm_start_weights_Epsilon_Scan/seed42_step00_lam0.0000_eps0.001_xi0_xf2.5.pt</t>
  </si>
  <si>
    <t>runs/20260517_232235_omega1_T1_N16_m1.0_eps0.001_0.0001_40ep_xf0to9.75/warm_start_weights_Epsilon_Scan/seed45_step00_lam0.0000_eps0.001_xi0_xf2.5.pt</t>
  </si>
  <si>
    <t>runs/20260517_232235_omega1_T1_N16_m1.0_eps0.001_0.0001_40ep_xf0to9.75/warm_start_weights_Epsilon_Scan/seed42_step00_lam0.0000_eps0.001_xi0_xf2.75.pt</t>
  </si>
  <si>
    <t>runs/20260517_232235_omega1_T1_N16_m1.0_eps0.001_0.0001_40ep_xf0to9.75/warm_start_weights_Epsilon_Scan/seed45_step00_lam0.0000_eps0.001_xi0_xf2.75.pt</t>
  </si>
  <si>
    <t>runs/20260517_232235_omega1_T1_N16_m1.0_eps0.001_0.0001_40ep_xf0to9.75/warm_start_weights_Epsilon_Scan/seed42_step00_lam0.0000_eps0.001_xi0_xf3.0.pt</t>
  </si>
  <si>
    <t>runs/20260517_232235_omega1_T1_N16_m1.0_eps0.001_0.0001_40ep_xf0to9.75/warm_start_weights_Epsilon_Scan/seed45_step00_lam0.0000_eps0.001_xi0_xf3.0.pt</t>
  </si>
  <si>
    <t>runs/20260517_232235_omega1_T1_N16_m1.0_eps0.001_0.0001_40ep_xf0to9.75/warm_start_weights_Epsilon_Scan/seed42_step00_lam0.0000_eps0.001_xi0_xf3.25.pt</t>
  </si>
  <si>
    <t>runs/20260517_232235_omega1_T1_N16_m1.0_eps0.001_0.0001_40ep_xf0to9.75/warm_start_weights_Epsilon_Scan/seed45_step00_lam0.0000_eps0.001_xi0_xf3.25.pt</t>
  </si>
  <si>
    <t>runs/20260517_232235_omega1_T1_N16_m1.0_eps0.001_0.0001_40ep_xf0to9.75/warm_start_weights_Epsilon_Scan/seed42_step00_lam0.0000_eps0.001_xi0_xf3.5.pt</t>
  </si>
  <si>
    <t>runs/20260517_232235_omega1_T1_N16_m1.0_eps0.001_0.0001_40ep_xf0to9.75/warm_start_weights_Epsilon_Scan/seed45_step00_lam0.0000_eps0.001_xi0_xf3.5.pt</t>
  </si>
  <si>
    <t>runs/20260517_232235_omega1_T1_N16_m1.0_eps0.001_0.0001_40ep_xf0to9.75/warm_start_weights_Epsilon_Scan/seed42_step00_lam0.0000_eps0.001_xi0_xf3.75.pt</t>
  </si>
  <si>
    <t>runs/20260517_232235_omega1_T1_N16_m1.0_eps0.001_0.0001_40ep_xf0to9.75/warm_start_weights_Epsilon_Scan/seed45_step00_lam0.0000_eps0.001_xi0_xf3.75.pt</t>
  </si>
  <si>
    <t>runs/20260517_232235_omega1_T1_N16_m1.0_eps0.001_0.0001_40ep_xf0to9.75/warm_start_weights_Epsilon_Scan/seed42_step00_lam0.0000_eps0.001_xi0_xf4.0.pt</t>
  </si>
  <si>
    <t>runs/20260517_232235_omega1_T1_N16_m1.0_eps0.001_0.0001_40ep_xf0to9.75/warm_start_weights_Epsilon_Scan/seed45_step00_lam0.0000_eps0.001_xi0_xf4.0.pt</t>
  </si>
  <si>
    <t>runs/20260517_232235_omega1_T1_N16_m1.0_eps0.001_0.0001_40ep_xf0to9.75/warm_start_weights_Epsilon_Scan/seed42_step00_lam0.0000_eps0.001_xi0_xf4.25.pt</t>
  </si>
  <si>
    <t>runs/20260517_232235_omega1_T1_N16_m1.0_eps0.001_0.0001_40ep_xf0to9.75/warm_start_weights_Epsilon_Scan/seed45_step00_lam0.0000_eps0.001_xi0_xf4.25.pt</t>
  </si>
  <si>
    <t>runs/20260517_232235_omega1_T1_N16_m1.0_eps0.001_0.0001_40ep_xf0to9.75/warm_start_weights_Epsilon_Scan/seed42_step00_lam0.0000_eps0.001_xi0_xf4.5.pt</t>
  </si>
  <si>
    <t>runs/20260517_232235_omega1_T1_N16_m1.0_eps0.001_0.0001_40ep_xf0to9.75/warm_start_weights_Epsilon_Scan/seed45_step00_lam0.0000_eps0.001_xi0_xf4.5.pt</t>
  </si>
  <si>
    <t>runs/20260517_232235_omega1_T1_N16_m1.0_eps0.001_0.0001_40ep_xf0to9.75/warm_start_weights_Epsilon_Scan/seed42_step00_lam0.0000_eps0.001_xi0_xf4.75.pt</t>
  </si>
  <si>
    <t>runs/20260517_232235_omega1_T1_N16_m1.0_eps0.001_0.0001_40ep_xf0to9.75/warm_start_weights_Epsilon_Scan/seed45_step00_lam0.0000_eps0.001_xi0_xf4.75.pt</t>
  </si>
  <si>
    <t>runs/20260517_232235_omega1_T1_N16_m1.0_eps0.001_0.0001_40ep_xf0to9.75/warm_start_weights_Epsilon_Scan/seed42_step00_lam0.0000_eps0.001_xi0_xf5.0.pt</t>
  </si>
  <si>
    <t>runs/20260517_232235_omega1_T1_N16_m1.0_eps0.001_0.0001_40ep_xf0to9.75/warm_start_weights_Epsilon_Scan/seed45_step00_lam0.0000_eps0.001_xi0_xf5.0.pt</t>
  </si>
  <si>
    <t>runs/20260517_232235_omega1_T1_N16_m1.0_eps0.001_0.0001_40ep_xf0to9.75/warm_start_weights_Epsilon_Scan/seed42_step00_lam0.0000_eps0.001_xi0_xf5.25.pt</t>
  </si>
  <si>
    <t>runs/20260517_232235_omega1_T1_N16_m1.0_eps0.001_0.0001_40ep_xf0to9.75/warm_start_weights_Epsilon_Scan/seed45_step00_lam0.0000_eps0.001_xi0_xf5.25.pt</t>
  </si>
  <si>
    <t>runs/20260517_232235_omega1_T1_N16_m1.0_eps0.001_0.0001_40ep_xf0to9.75/warm_start_weights_Epsilon_Scan/seed42_step00_lam0.0000_eps0.001_xi0_xf5.5.pt</t>
  </si>
  <si>
    <t>runs/20260517_232235_omega1_T1_N16_m1.0_eps0.001_0.0001_40ep_xf0to9.75/warm_start_weights_Epsilon_Scan/seed45_step00_lam0.0000_eps0.001_xi0_xf5.5.pt</t>
  </si>
  <si>
    <t>runs/20260517_232235_omega1_T1_N16_m1.0_eps0.001_0.0001_40ep_xf0to9.75/warm_start_weights_Epsilon_Scan/seed42_step00_lam0.0000_eps0.001_xi0_xf5.75.pt</t>
  </si>
  <si>
    <t>runs/20260517_232235_omega1_T1_N16_m1.0_eps0.001_0.0001_40ep_xf0to9.75/warm_start_weights_Epsilon_Scan/seed45_step00_lam0.0000_eps0.001_xi0_xf5.75.pt</t>
  </si>
  <si>
    <t>runs/20260517_232235_omega1_T1_N16_m1.0_eps0.001_0.0001_40ep_xf0to9.75/warm_start_weights_Epsilon_Scan/seed42_step00_lam0.0000_eps0.001_xi0_xf6.0.pt</t>
  </si>
  <si>
    <t>runs/20260517_232235_omega1_T1_N16_m1.0_eps0.001_0.0001_40ep_xf0to9.75/warm_start_weights_Epsilon_Scan/seed45_step00_lam0.0000_eps0.001_xi0_xf6.0.pt</t>
  </si>
  <si>
    <t>runs/20260517_232235_omega1_T1_N16_m1.0_eps0.001_0.0001_40ep_xf0to9.75/warm_start_weights_Epsilon_Scan/seed42_step00_lam0.0000_eps0.001_xi0_xf6.25.pt</t>
  </si>
  <si>
    <t>runs/20260517_232235_omega1_T1_N16_m1.0_eps0.001_0.0001_40ep_xf0to9.75/warm_start_weights_Epsilon_Scan/seed45_step00_lam0.0000_eps0.001_xi0_xf6.25.pt</t>
  </si>
  <si>
    <t>runs/20260517_232235_omega1_T1_N16_m1.0_eps0.001_0.0001_40ep_xf0to9.75/warm_start_weights_Epsilon_Scan/seed42_step00_lam0.0000_eps0.001_xi0_xf6.5.pt</t>
  </si>
  <si>
    <t>runs/20260517_232235_omega1_T1_N16_m1.0_eps0.001_0.0001_40ep_xf0to9.75/warm_start_weights_Epsilon_Scan/seed45_step00_lam0.0000_eps0.001_xi0_xf6.5.pt</t>
  </si>
  <si>
    <t>runs/20260517_232235_omega1_T1_N16_m1.0_eps0.001_0.0001_40ep_xf0to9.75/warm_start_weights_Epsilon_Scan/seed42_step00_lam0.0000_eps0.001_xi0_xf6.75.pt</t>
  </si>
  <si>
    <t>runs/20260517_232235_omega1_T1_N16_m1.0_eps0.001_0.0001_40ep_xf0to9.75/warm_start_weights_Epsilon_Scan/seed45_step00_lam0.0000_eps0.001_xi0_xf6.75.pt</t>
  </si>
  <si>
    <t>runs/20260517_232235_omega1_T1_N16_m1.0_eps0.001_0.0001_40ep_xf0to9.75/warm_start_weights_Epsilon_Scan/seed42_step00_lam0.0000_eps0.001_xi0_xf7.0.pt</t>
  </si>
  <si>
    <t>runs/20260517_232235_omega1_T1_N16_m1.0_eps0.001_0.0001_40ep_xf0to9.75/warm_start_weights_Epsilon_Scan/seed45_step00_lam0.0000_eps0.001_xi0_xf7.0.pt</t>
  </si>
  <si>
    <t>runs/20260517_232235_omega1_T1_N16_m1.0_eps0.001_0.0001_40ep_xf0to9.75/warm_start_weights_Epsilon_Scan/seed42_step00_lam0.0000_eps0.001_xi0_xf7.25.pt</t>
  </si>
  <si>
    <t>runs/20260517_232235_omega1_T1_N16_m1.0_eps0.001_0.0001_40ep_xf0to9.75/warm_start_weights_Epsilon_Scan/seed45_step00_lam0.0000_eps0.001_xi0_xf7.25.pt</t>
  </si>
  <si>
    <t>runs/20260517_232235_omega1_T1_N16_m1.0_eps0.001_0.0001_40ep_xf0to9.75/warm_start_weights_Epsilon_Scan/seed42_step00_lam0.0000_eps0.001_xi0_xf7.5.pt</t>
  </si>
  <si>
    <t>runs/20260517_232235_omega1_T1_N16_m1.0_eps0.001_0.0001_40ep_xf0to9.75/warm_start_weights_Epsilon_Scan/seed45_step00_lam0.0000_eps0.001_xi0_xf7.5.pt</t>
  </si>
  <si>
    <t>runs/20260517_232235_omega1_T1_N16_m1.0_eps0.001_0.0001_40ep_xf0to9.75/warm_start_weights_Epsilon_Scan/seed42_step00_lam0.0000_eps0.001_xi0_xf7.75.pt</t>
  </si>
  <si>
    <t>runs/20260517_232235_omega1_T1_N16_m1.0_eps0.001_0.0001_40ep_xf0to9.75/warm_start_weights_Epsilon_Scan/seed45_step00_lam0.0000_eps0.001_xi0_xf7.75.pt</t>
  </si>
  <si>
    <t>runs/20260517_232235_omega1_T1_N16_m1.0_eps0.001_0.0001_40ep_xf0to9.75/warm_start_weights_Epsilon_Scan/seed42_step00_lam0.0000_eps0.001_xi0_xf8.0.pt</t>
  </si>
  <si>
    <t>runs/20260517_232235_omega1_T1_N16_m1.0_eps0.001_0.0001_40ep_xf0to9.75/warm_start_weights_Epsilon_Scan/seed45_step00_lam0.0000_eps0.001_xi0_xf8.0.pt</t>
  </si>
  <si>
    <t>runs/20260517_232235_omega1_T1_N16_m1.0_eps0.001_0.0001_40ep_xf0to9.75/warm_start_weights_Epsilon_Scan/seed42_step00_lam0.0000_eps0.001_xi0_xf8.25.pt</t>
  </si>
  <si>
    <t>runs/20260517_232235_omega1_T1_N16_m1.0_eps0.001_0.0001_40ep_xf0to9.75/warm_start_weights_Epsilon_Scan/seed45_step00_lam0.0000_eps0.001_xi0_xf8.25.pt</t>
  </si>
  <si>
    <t>runs/20260517_232235_omega1_T1_N16_m1.0_eps0.001_0.0001_40ep_xf0to9.75/warm_start_weights_Epsilon_Scan/seed42_step00_lam0.0000_eps0.001_xi0_xf8.5.pt</t>
  </si>
  <si>
    <t>runs/20260517_232235_omega1_T1_N16_m1.0_eps0.001_0.0001_40ep_xf0to9.75/warm_start_weights_Epsilon_Scan/seed45_step00_lam0.0000_eps0.001_xi0_xf8.5.pt</t>
  </si>
  <si>
    <t>runs/20260517_232235_omega1_T1_N16_m1.0_eps0.001_0.0001_40ep_xf0to9.75/warm_start_weights_Epsilon_Scan/seed42_step00_lam0.0000_eps0.001_xi0_xf8.75.pt</t>
  </si>
  <si>
    <t>runs/20260517_232235_omega1_T1_N16_m1.0_eps0.001_0.0001_40ep_xf0to9.75/warm_start_weights_Epsilon_Scan/seed45_step00_lam0.0000_eps0.001_xi0_xf8.75.pt</t>
  </si>
  <si>
    <t>runs/20260517_232235_omega1_T1_N16_m1.0_eps0.001_0.0001_40ep_xf0to9.75/warm_start_weights_Epsilon_Scan/seed42_step00_lam0.0000_eps0.001_xi0_xf9.0.pt</t>
  </si>
  <si>
    <t>runs/20260517_232235_omega1_T1_N16_m1.0_eps0.001_0.0001_40ep_xf0to9.75/warm_start_weights_Epsilon_Scan/seed45_step00_lam0.0000_eps0.001_xi0_xf9.0.pt</t>
  </si>
  <si>
    <t>runs/20260517_232235_omega1_T1_N16_m1.0_eps0.001_0.0001_40ep_xf0to9.75/warm_start_weights_Epsilon_Scan/seed42_step00_lam0.0000_eps0.001_xi0_xf9.25.pt</t>
  </si>
  <si>
    <t>runs/20260517_232235_omega1_T1_N16_m1.0_eps0.001_0.0001_40ep_xf0to9.75/warm_start_weights_Epsilon_Scan/seed45_step00_lam0.0000_eps0.001_xi0_xf9.25.pt</t>
  </si>
  <si>
    <t>runs/20260517_232235_omega1_T1_N16_m1.0_eps0.001_0.0001_40ep_xf0to9.75/warm_start_weights_Epsilon_Scan/seed42_step00_lam0.0000_eps0.001_xi0_xf9.5.pt</t>
  </si>
  <si>
    <t>runs/20260517_232235_omega1_T1_N16_m1.0_eps0.001_0.0001_40ep_xf0to9.75/warm_start_weights_Epsilon_Scan/seed45_step00_lam0.0000_eps0.001_xi0_xf9.5.pt</t>
  </si>
  <si>
    <t>runs/20260517_232235_omega1_T1_N16_m1.0_eps0.001_0.0001_40ep_xf0to9.75/warm_start_weights_Epsilon_Scan/seed42_step00_lam0.0000_eps0.001_xi0_xf9.75.pt</t>
  </si>
  <si>
    <t>runs/20260517_232235_omega1_T1_N16_m1.0_eps0.001_0.0001_40ep_xf0to9.75/warm_start_weights_Epsilon_Scan/seed45_step00_lam0.0000_eps0.001_xi0_xf9.75.pt</t>
  </si>
  <si>
    <t>runs/20260517_232235_omega1_T1_N16_m1.0_eps0.001_0.0001_40ep_xf0to9.75/warm_start_weights_Epsilon_Scan/seed42_step00_lam0.0000_eps0.0001_xi0_xf0.pt</t>
  </si>
  <si>
    <t>runs/20260517_232235_omega1_T1_N16_m1.0_eps0.001_0.0001_40ep_xf0to9.75/warm_start_weights_Epsilon_Scan/seed45_step00_lam0.0000_eps0.0001_xi0_xf0.pt</t>
  </si>
  <si>
    <t>runs/20260517_232235_omega1_T1_N16_m1.0_eps0.001_0.0001_40ep_xf0to9.75/warm_start_weights_Epsilon_Scan/seed42_step00_lam0.0000_eps0.0001_xi0_xf0.25.pt</t>
  </si>
  <si>
    <t>runs/20260517_232235_omega1_T1_N16_m1.0_eps0.001_0.0001_40ep_xf0to9.75/warm_start_weights_Epsilon_Scan/seed45_step00_lam0.0000_eps0.0001_xi0_xf0.25.pt</t>
  </si>
  <si>
    <t>runs/20260517_232235_omega1_T1_N16_m1.0_eps0.001_0.0001_40ep_xf0to9.75/warm_start_weights_Epsilon_Scan/seed42_step00_lam0.0000_eps0.0001_xi0_xf0.5.pt</t>
  </si>
  <si>
    <t>runs/20260517_232235_omega1_T1_N16_m1.0_eps0.001_0.0001_40ep_xf0to9.75/warm_start_weights_Epsilon_Scan/seed45_step00_lam0.0000_eps0.0001_xi0_xf0.5.pt</t>
  </si>
  <si>
    <t>runs/20260517_232235_omega1_T1_N16_m1.0_eps0.001_0.0001_40ep_xf0to9.75/warm_start_weights_Epsilon_Scan/seed42_step00_lam0.0000_eps0.0001_xi0_xf0.75.pt</t>
  </si>
  <si>
    <t>runs/20260517_232235_omega1_T1_N16_m1.0_eps0.001_0.0001_40ep_xf0to9.75/warm_start_weights_Epsilon_Scan/seed45_step00_lam0.0000_eps0.0001_xi0_xf0.75.pt</t>
  </si>
  <si>
    <t>runs/20260517_232235_omega1_T1_N16_m1.0_eps0.001_0.0001_40ep_xf0to9.75/warm_start_weights_Epsilon_Scan/seed42_step00_lam0.0000_eps0.0001_xi0_xf1.0.pt</t>
  </si>
  <si>
    <t>runs/20260517_232235_omega1_T1_N16_m1.0_eps0.001_0.0001_40ep_xf0to9.75/warm_start_weights_Epsilon_Scan/seed45_step00_lam0.0000_eps0.0001_xi0_xf1.0.pt</t>
  </si>
  <si>
    <t>runs/20260517_232235_omega1_T1_N16_m1.0_eps0.001_0.0001_40ep_xf0to9.75/warm_start_weights_Epsilon_Scan/seed42_step00_lam0.0000_eps0.0001_xi0_xf1.25.pt</t>
  </si>
  <si>
    <t>runs/20260517_232235_omega1_T1_N16_m1.0_eps0.001_0.0001_40ep_xf0to9.75/warm_start_weights_Epsilon_Scan/seed45_step00_lam0.0000_eps0.0001_xi0_xf1.25.pt</t>
  </si>
  <si>
    <t>runs/20260517_232235_omega1_T1_N16_m1.0_eps0.001_0.0001_40ep_xf0to9.75/warm_start_weights_Epsilon_Scan/seed42_step00_lam0.0000_eps0.0001_xi0_xf1.5.pt</t>
  </si>
  <si>
    <t>runs/20260517_232235_omega1_T1_N16_m1.0_eps0.001_0.0001_40ep_xf0to9.75/warm_start_weights_Epsilon_Scan/seed45_step00_lam0.0000_eps0.0001_xi0_xf1.5.pt</t>
  </si>
  <si>
    <t>runs/20260517_232235_omega1_T1_N16_m1.0_eps0.001_0.0001_40ep_xf0to9.75/warm_start_weights_Epsilon_Scan/seed42_step00_lam0.0000_eps0.0001_xi0_xf1.75.pt</t>
  </si>
  <si>
    <t>runs/20260517_232235_omega1_T1_N16_m1.0_eps0.001_0.0001_40ep_xf0to9.75/warm_start_weights_Epsilon_Scan/seed45_step00_lam0.0000_eps0.0001_xi0_xf1.75.pt</t>
  </si>
  <si>
    <t>runs/20260517_232235_omega1_T1_N16_m1.0_eps0.001_0.0001_40ep_xf0to9.75/warm_start_weights_Epsilon_Scan/seed42_step00_lam0.0000_eps0.0001_xi0_xf2.0.pt</t>
  </si>
  <si>
    <t>runs/20260517_232235_omega1_T1_N16_m1.0_eps0.001_0.0001_40ep_xf0to9.75/warm_start_weights_Epsilon_Scan/seed45_step00_lam0.0000_eps0.0001_xi0_xf2.0.pt</t>
  </si>
  <si>
    <t>runs/20260517_232235_omega1_T1_N16_m1.0_eps0.001_0.0001_40ep_xf0to9.75/warm_start_weights_Epsilon_Scan/seed42_step00_lam0.0000_eps0.0001_xi0_xf2.25.pt</t>
  </si>
  <si>
    <t>runs/20260517_232235_omega1_T1_N16_m1.0_eps0.001_0.0001_40ep_xf0to9.75/warm_start_weights_Epsilon_Scan/seed45_step00_lam0.0000_eps0.0001_xi0_xf2.25.pt</t>
  </si>
  <si>
    <t>runs/20260517_232235_omega1_T1_N16_m1.0_eps0.001_0.0001_40ep_xf0to9.75/warm_start_weights_Epsilon_Scan/seed42_step00_lam0.0000_eps0.0001_xi0_xf2.5.pt</t>
  </si>
  <si>
    <t>runs/20260517_232235_omega1_T1_N16_m1.0_eps0.001_0.0001_40ep_xf0to9.75/warm_start_weights_Epsilon_Scan/seed45_step00_lam0.0000_eps0.0001_xi0_xf2.5.pt</t>
  </si>
  <si>
    <t>runs/20260517_232235_omega1_T1_N16_m1.0_eps0.001_0.0001_40ep_xf0to9.75/warm_start_weights_Epsilon_Scan/seed42_step00_lam0.0000_eps0.0001_xi0_xf2.75.pt</t>
  </si>
  <si>
    <t>runs/20260517_232235_omega1_T1_N16_m1.0_eps0.001_0.0001_40ep_xf0to9.75/warm_start_weights_Epsilon_Scan/seed45_step00_lam0.0000_eps0.0001_xi0_xf2.75.pt</t>
  </si>
  <si>
    <t>runs/20260517_232235_omega1_T1_N16_m1.0_eps0.001_0.0001_40ep_xf0to9.75/warm_start_weights_Epsilon_Scan/seed42_step00_lam0.0000_eps0.0001_xi0_xf3.0.pt</t>
  </si>
  <si>
    <t>runs/20260517_232235_omega1_T1_N16_m1.0_eps0.001_0.0001_40ep_xf0to9.75/warm_start_weights_Epsilon_Scan/seed45_step00_lam0.0000_eps0.0001_xi0_xf3.0.pt</t>
  </si>
  <si>
    <t>runs/20260517_232235_omega1_T1_N16_m1.0_eps0.001_0.0001_40ep_xf0to9.75/warm_start_weights_Epsilon_Scan/seed42_step00_lam0.0000_eps0.0001_xi0_xf3.25.pt</t>
  </si>
  <si>
    <t>runs/20260517_232235_omega1_T1_N16_m1.0_eps0.001_0.0001_40ep_xf0to9.75/warm_start_weights_Epsilon_Scan/seed45_step00_lam0.0000_eps0.0001_xi0_xf3.25.pt</t>
  </si>
  <si>
    <t>runs/20260517_232235_omega1_T1_N16_m1.0_eps0.001_0.0001_40ep_xf0to9.75/warm_start_weights_Epsilon_Scan/seed42_step00_lam0.0000_eps0.0001_xi0_xf3.5.pt</t>
  </si>
  <si>
    <t>runs/20260517_232235_omega1_T1_N16_m1.0_eps0.001_0.0001_40ep_xf0to9.75/warm_start_weights_Epsilon_Scan/seed45_step00_lam0.0000_eps0.0001_xi0_xf3.5.pt</t>
  </si>
  <si>
    <t>runs/20260517_232235_omega1_T1_N16_m1.0_eps0.001_0.0001_40ep_xf0to9.75/warm_start_weights_Epsilon_Scan/seed42_step00_lam0.0000_eps0.0001_xi0_xf3.75.pt</t>
  </si>
  <si>
    <t>runs/20260517_232235_omega1_T1_N16_m1.0_eps0.001_0.0001_40ep_xf0to9.75/warm_start_weights_Epsilon_Scan/seed45_step00_lam0.0000_eps0.0001_xi0_xf3.75.pt</t>
  </si>
  <si>
    <t>runs/20260517_232235_omega1_T1_N16_m1.0_eps0.001_0.0001_40ep_xf0to9.75/warm_start_weights_Epsilon_Scan/seed42_step00_lam0.0000_eps0.0001_xi0_xf4.0.pt</t>
  </si>
  <si>
    <t>runs/20260517_232235_omega1_T1_N16_m1.0_eps0.001_0.0001_40ep_xf0to9.75/warm_start_weights_Epsilon_Scan/seed45_step00_lam0.0000_eps0.0001_xi0_xf4.0.pt</t>
  </si>
  <si>
    <t>runs/20260517_232235_omega1_T1_N16_m1.0_eps0.001_0.0001_40ep_xf0to9.75/warm_start_weights_Epsilon_Scan/seed42_step00_lam0.0000_eps0.0001_xi0_xf4.25.pt</t>
  </si>
  <si>
    <t>runs/20260517_232235_omega1_T1_N16_m1.0_eps0.001_0.0001_40ep_xf0to9.75/warm_start_weights_Epsilon_Scan/seed45_step00_lam0.0000_eps0.0001_xi0_xf4.25.pt</t>
  </si>
  <si>
    <t>runs/20260517_232235_omega1_T1_N16_m1.0_eps0.001_0.0001_40ep_xf0to9.75/warm_start_weights_Epsilon_Scan/seed42_step00_lam0.0000_eps0.0001_xi0_xf4.5.pt</t>
  </si>
  <si>
    <t>runs/20260517_232235_omega1_T1_N16_m1.0_eps0.001_0.0001_40ep_xf0to9.75/warm_start_weights_Epsilon_Scan/seed45_step00_lam0.0000_eps0.0001_xi0_xf4.5.pt</t>
  </si>
  <si>
    <t>runs/20260517_232235_omega1_T1_N16_m1.0_eps0.001_0.0001_40ep_xf0to9.75/warm_start_weights_Epsilon_Scan/seed42_step00_lam0.0000_eps0.0001_xi0_xf4.75.pt</t>
  </si>
  <si>
    <t>runs/20260517_232235_omega1_T1_N16_m1.0_eps0.001_0.0001_40ep_xf0to9.75/warm_start_weights_Epsilon_Scan/seed45_step00_lam0.0000_eps0.0001_xi0_xf4.75.pt</t>
  </si>
  <si>
    <t>runs/20260517_232235_omega1_T1_N16_m1.0_eps0.001_0.0001_40ep_xf0to9.75/warm_start_weights_Epsilon_Scan/seed42_step00_lam0.0000_eps0.0001_xi0_xf5.0.pt</t>
  </si>
  <si>
    <t>runs/20260517_232235_omega1_T1_N16_m1.0_eps0.001_0.0001_40ep_xf0to9.75/warm_start_weights_Epsilon_Scan/seed45_step00_lam0.0000_eps0.0001_xi0_xf5.0.pt</t>
  </si>
  <si>
    <t>runs/20260517_232235_omega1_T1_N16_m1.0_eps0.001_0.0001_40ep_xf0to9.75/warm_start_weights_Epsilon_Scan/seed42_step00_lam0.0000_eps0.0001_xi0_xf5.25.pt</t>
  </si>
  <si>
    <t>runs/20260517_232235_omega1_T1_N16_m1.0_eps0.001_0.0001_40ep_xf0to9.75/warm_start_weights_Epsilon_Scan/seed45_step00_lam0.0000_eps0.0001_xi0_xf5.25.pt</t>
  </si>
  <si>
    <t>runs/20260517_232235_omega1_T1_N16_m1.0_eps0.001_0.0001_40ep_xf0to9.75/warm_start_weights_Epsilon_Scan/seed42_step00_lam0.0000_eps0.0001_xi0_xf5.5.pt</t>
  </si>
  <si>
    <t>runs/20260517_232235_omega1_T1_N16_m1.0_eps0.001_0.0001_40ep_xf0to9.75/warm_start_weights_Epsilon_Scan/seed45_step00_lam0.0000_eps0.0001_xi0_xf5.5.pt</t>
  </si>
  <si>
    <t>runs/20260517_232235_omega1_T1_N16_m1.0_eps0.001_0.0001_40ep_xf0to9.75/warm_start_weights_Epsilon_Scan/seed42_step00_lam0.0000_eps0.0001_xi0_xf5.75.pt</t>
  </si>
  <si>
    <t>runs/20260517_232235_omega1_T1_N16_m1.0_eps0.001_0.0001_40ep_xf0to9.75/warm_start_weights_Epsilon_Scan/seed45_step00_lam0.0000_eps0.0001_xi0_xf5.75.pt</t>
  </si>
  <si>
    <t>runs/20260517_232235_omega1_T1_N16_m1.0_eps0.001_0.0001_40ep_xf0to9.75/warm_start_weights_Epsilon_Scan/seed42_step00_lam0.0000_eps0.0001_xi0_xf6.0.pt</t>
  </si>
  <si>
    <t>runs/20260517_232235_omega1_T1_N16_m1.0_eps0.001_0.0001_40ep_xf0to9.75/warm_start_weights_Epsilon_Scan/seed45_step00_lam0.0000_eps0.0001_xi0_xf6.0.pt</t>
  </si>
  <si>
    <t>runs/20260517_232235_omega1_T1_N16_m1.0_eps0.001_0.0001_40ep_xf0to9.75/warm_start_weights_Epsilon_Scan/seed42_step00_lam0.0000_eps0.0001_xi0_xf6.25.pt</t>
  </si>
  <si>
    <t>runs/20260517_232235_omega1_T1_N16_m1.0_eps0.001_0.0001_40ep_xf0to9.75/warm_start_weights_Epsilon_Scan/seed45_step00_lam0.0000_eps0.0001_xi0_xf6.25.pt</t>
  </si>
  <si>
    <t>runs/20260517_232235_omega1_T1_N16_m1.0_eps0.001_0.0001_40ep_xf0to9.75/warm_start_weights_Epsilon_Scan/seed42_step00_lam0.0000_eps0.0001_xi0_xf6.5.pt</t>
  </si>
  <si>
    <t>runs/20260517_232235_omega1_T1_N16_m1.0_eps0.001_0.0001_40ep_xf0to9.75/warm_start_weights_Epsilon_Scan/seed45_step00_lam0.0000_eps0.0001_xi0_xf6.5.pt</t>
  </si>
  <si>
    <t>runs/20260517_232235_omega1_T1_N16_m1.0_eps0.001_0.0001_40ep_xf0to9.75/warm_start_weights_Epsilon_Scan/seed42_step00_lam0.0000_eps0.0001_xi0_xf6.75.pt</t>
  </si>
  <si>
    <t>runs/20260517_232235_omega1_T1_N16_m1.0_eps0.001_0.0001_40ep_xf0to9.75/warm_start_weights_Epsilon_Scan/seed45_step00_lam0.0000_eps0.0001_xi0_xf6.75.pt</t>
  </si>
  <si>
    <t>runs/20260517_232235_omega1_T1_N16_m1.0_eps0.001_0.0001_40ep_xf0to9.75/warm_start_weights_Epsilon_Scan/seed42_step00_lam0.0000_eps0.0001_xi0_xf7.0.pt</t>
  </si>
  <si>
    <t>runs/20260517_232235_omega1_T1_N16_m1.0_eps0.001_0.0001_40ep_xf0to9.75/warm_start_weights_Epsilon_Scan/seed45_step00_lam0.0000_eps0.0001_xi0_xf7.0.pt</t>
  </si>
  <si>
    <t>MK Epsilon = 0.001</t>
  </si>
  <si>
    <t>Mehler Kernal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</si>
</sst>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000"/>
    <numFmt numFmtId="166" formatCode="0.0"/>
    <numFmt numFmtId="167" formatCode="0.00000000"/>
    <numFmt numFmtId="168" formatCode="0.0000000"/>
    <numFmt numFmtId="169" formatCode="0.00000"/>
    <numFmt numFmtId="170" formatCode="0.0E+00"/>
    <numFmt numFmtId="171" formatCode="0.000000000000"/>
    <numFmt numFmtId="172" formatCode="0.000000"/>
    <numFmt numFmtId="173" formatCode="0.000000000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6"/>
      <color rgb="FF3D3D3A"/>
      <name val="Courier New"/>
      <family val="3"/>
    </font>
    <font>
      <sz val="7"/>
      <color rgb="FF141413"/>
      <name val="Courier New"/>
      <family val="3"/>
    </font>
    <font>
      <u/>
      <sz val="11"/>
      <color theme="10"/>
      <name val="Aptos Narrow"/>
      <family val="2"/>
      <scheme val="minor"/>
    </font>
    <font>
      <b/>
      <sz val="9"/>
      <color rgb="FFFFFFFF"/>
      <name val="Arial"/>
      <charset val="1"/>
    </font>
    <font>
      <sz val="9"/>
      <color rgb="FF000000"/>
      <name val="Arial"/>
      <charset val="1"/>
    </font>
    <font>
      <b/>
      <sz val="9"/>
      <color rgb="FF0000CC"/>
      <name val="Arial"/>
      <charset val="1"/>
    </font>
    <font>
      <sz val="10"/>
      <color rgb="FF333333"/>
      <name val="Arial"/>
      <family val="2"/>
    </font>
    <font>
      <b/>
      <sz val="9"/>
      <color theme="1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E8449"/>
        <bgColor rgb="FF008080"/>
      </patternFill>
    </fill>
    <fill>
      <patternFill patternType="solid">
        <fgColor rgb="FF1A5276"/>
        <bgColor rgb="FF1A3A5C"/>
      </patternFill>
    </fill>
    <fill>
      <patternFill patternType="solid">
        <fgColor rgb="FFD5E8D4"/>
        <bgColor rgb="FFD6E4F0"/>
      </patternFill>
    </fill>
    <fill>
      <patternFill patternType="solid">
        <fgColor rgb="FFDAE8FC"/>
        <bgColor rgb="FFD6EAF8"/>
      </patternFill>
    </fill>
    <fill>
      <patternFill patternType="solid">
        <fgColor rgb="FFE9F7EF"/>
        <bgColor rgb="FFEBF5FB"/>
      </patternFill>
    </fill>
    <fill>
      <patternFill patternType="solid">
        <fgColor rgb="FFEBF5FB"/>
        <bgColor rgb="FFEAF4FB"/>
      </patternFill>
    </fill>
    <fill>
      <patternFill patternType="solid">
        <fgColor rgb="FFFFF9C4"/>
        <bgColor rgb="FFFFF2CC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1A3A5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rgb="FF1A3A5C"/>
      </patternFill>
    </fill>
    <fill>
      <patternFill patternType="solid">
        <fgColor theme="5" tint="0.79998168889431442"/>
        <bgColor rgb="FFD6EAF8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66">
    <xf numFmtId="0" fontId="0" fillId="0" borderId="0" xfId="0"/>
    <xf numFmtId="164" fontId="0" fillId="0" borderId="0" xfId="0" applyNumberFormat="1" applyAlignment="1">
      <alignment horizontal="center"/>
    </xf>
    <xf numFmtId="0" fontId="0" fillId="33" borderId="0" xfId="0" applyFill="1"/>
    <xf numFmtId="164" fontId="0" fillId="33" borderId="0" xfId="0" applyNumberFormat="1" applyFill="1" applyAlignment="1">
      <alignment horizontal="center"/>
    </xf>
    <xf numFmtId="0" fontId="0" fillId="34" borderId="0" xfId="0" applyFill="1"/>
    <xf numFmtId="164" fontId="0" fillId="34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2" fontId="0" fillId="3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36" borderId="0" xfId="0" applyFill="1"/>
    <xf numFmtId="164" fontId="0" fillId="36" borderId="0" xfId="0" applyNumberForma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0" fontId="0" fillId="37" borderId="0" xfId="0" applyFill="1"/>
    <xf numFmtId="164" fontId="0" fillId="37" borderId="0" xfId="0" applyNumberFormat="1" applyFill="1"/>
    <xf numFmtId="164" fontId="0" fillId="37" borderId="0" xfId="0" applyNumberFormat="1" applyFill="1" applyAlignment="1">
      <alignment horizontal="center"/>
    </xf>
    <xf numFmtId="2" fontId="0" fillId="37" borderId="0" xfId="0" applyNumberFormat="1" applyFill="1"/>
    <xf numFmtId="0" fontId="0" fillId="37" borderId="0" xfId="0" applyFill="1" applyAlignment="1">
      <alignment horizontal="center"/>
    </xf>
    <xf numFmtId="165" fontId="0" fillId="37" borderId="0" xfId="0" applyNumberFormat="1" applyFill="1"/>
    <xf numFmtId="0" fontId="0" fillId="38" borderId="0" xfId="0" applyFill="1"/>
    <xf numFmtId="164" fontId="0" fillId="38" borderId="0" xfId="0" applyNumberFormat="1" applyFill="1" applyAlignment="1">
      <alignment horizontal="center"/>
    </xf>
    <xf numFmtId="165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left"/>
    </xf>
    <xf numFmtId="165" fontId="0" fillId="37" borderId="0" xfId="0" applyNumberFormat="1" applyFill="1" applyAlignment="1">
      <alignment horizontal="center"/>
    </xf>
    <xf numFmtId="167" fontId="0" fillId="37" borderId="0" xfId="0" applyNumberFormat="1" applyFill="1" applyAlignment="1">
      <alignment horizontal="center"/>
    </xf>
    <xf numFmtId="0" fontId="0" fillId="34" borderId="0" xfId="0" applyFill="1" applyAlignment="1">
      <alignment horizontal="center"/>
    </xf>
    <xf numFmtId="168" fontId="0" fillId="34" borderId="0" xfId="0" applyNumberFormat="1" applyFill="1" applyAlignment="1">
      <alignment horizontal="center"/>
    </xf>
    <xf numFmtId="164" fontId="0" fillId="37" borderId="10" xfId="0" applyNumberFormat="1" applyFill="1" applyBorder="1" applyAlignment="1">
      <alignment horizontal="center"/>
    </xf>
    <xf numFmtId="164" fontId="0" fillId="37" borderId="11" xfId="0" applyNumberFormat="1" applyFill="1" applyBorder="1" applyAlignment="1">
      <alignment horizontal="center"/>
    </xf>
    <xf numFmtId="164" fontId="0" fillId="37" borderId="12" xfId="0" applyNumberFormat="1" applyFill="1" applyBorder="1" applyAlignment="1">
      <alignment horizontal="center"/>
    </xf>
    <xf numFmtId="164" fontId="0" fillId="37" borderId="13" xfId="0" applyNumberFormat="1" applyFill="1" applyBorder="1" applyAlignment="1">
      <alignment horizontal="center"/>
    </xf>
    <xf numFmtId="164" fontId="0" fillId="37" borderId="14" xfId="0" applyNumberFormat="1" applyFill="1" applyBorder="1" applyAlignment="1">
      <alignment horizontal="center"/>
    </xf>
    <xf numFmtId="164" fontId="0" fillId="37" borderId="15" xfId="0" applyNumberFormat="1" applyFill="1" applyBorder="1" applyAlignment="1">
      <alignment horizontal="center"/>
    </xf>
    <xf numFmtId="164" fontId="0" fillId="37" borderId="16" xfId="0" applyNumberFormat="1" applyFill="1" applyBorder="1" applyAlignment="1">
      <alignment horizontal="center"/>
    </xf>
    <xf numFmtId="164" fontId="0" fillId="37" borderId="17" xfId="0" applyNumberFormat="1" applyFill="1" applyBorder="1" applyAlignment="1">
      <alignment horizontal="center"/>
    </xf>
    <xf numFmtId="0" fontId="0" fillId="39" borderId="0" xfId="0" applyFill="1"/>
    <xf numFmtId="166" fontId="0" fillId="37" borderId="0" xfId="0" applyNumberFormat="1" applyFill="1" applyAlignment="1">
      <alignment horizontal="center"/>
    </xf>
    <xf numFmtId="164" fontId="0" fillId="40" borderId="0" xfId="0" applyNumberFormat="1" applyFill="1" applyAlignment="1">
      <alignment horizontal="center"/>
    </xf>
    <xf numFmtId="164" fontId="0" fillId="41" borderId="0" xfId="0" applyNumberFormat="1" applyFill="1" applyAlignment="1">
      <alignment horizontal="center"/>
    </xf>
    <xf numFmtId="170" fontId="0" fillId="0" borderId="0" xfId="0" applyNumberFormat="1" applyAlignment="1">
      <alignment horizontal="center"/>
    </xf>
    <xf numFmtId="169" fontId="0" fillId="40" borderId="0" xfId="0" applyNumberFormat="1" applyFill="1" applyAlignment="1">
      <alignment horizontal="center"/>
    </xf>
    <xf numFmtId="169" fontId="0" fillId="33" borderId="0" xfId="0" applyNumberFormat="1" applyFill="1" applyAlignment="1">
      <alignment horizontal="center"/>
    </xf>
    <xf numFmtId="169" fontId="0" fillId="38" borderId="0" xfId="0" applyNumberFormat="1" applyFill="1" applyAlignment="1">
      <alignment horizontal="center"/>
    </xf>
    <xf numFmtId="0" fontId="0" fillId="34" borderId="18" xfId="0" applyFill="1" applyBorder="1" applyAlignment="1">
      <alignment horizontal="center"/>
    </xf>
    <xf numFmtId="11" fontId="0" fillId="0" borderId="0" xfId="0" applyNumberFormat="1"/>
    <xf numFmtId="11" fontId="0" fillId="42" borderId="0" xfId="0" applyNumberFormat="1" applyFill="1"/>
    <xf numFmtId="0" fontId="0" fillId="43" borderId="0" xfId="0" applyFill="1"/>
    <xf numFmtId="164" fontId="0" fillId="43" borderId="0" xfId="0" applyNumberFormat="1" applyFill="1" applyAlignment="1">
      <alignment horizontal="center"/>
    </xf>
    <xf numFmtId="164" fontId="0" fillId="44" borderId="0" xfId="0" applyNumberFormat="1" applyFill="1" applyAlignment="1">
      <alignment horizontal="center"/>
    </xf>
    <xf numFmtId="0" fontId="0" fillId="44" borderId="0" xfId="0" applyFill="1" applyAlignment="1">
      <alignment horizontal="center"/>
    </xf>
    <xf numFmtId="164" fontId="0" fillId="45" borderId="0" xfId="0" applyNumberFormat="1" applyFill="1" applyAlignment="1">
      <alignment horizontal="center"/>
    </xf>
    <xf numFmtId="0" fontId="0" fillId="45" borderId="0" xfId="0" applyFill="1" applyAlignment="1">
      <alignment horizontal="center"/>
    </xf>
    <xf numFmtId="171" fontId="0" fillId="37" borderId="0" xfId="0" applyNumberFormat="1" applyFill="1" applyAlignment="1">
      <alignment horizontal="center"/>
    </xf>
    <xf numFmtId="171" fontId="0" fillId="33" borderId="0" xfId="0" applyNumberFormat="1" applyFill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11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37" borderId="13" xfId="0" applyFill="1" applyBorder="1" applyAlignment="1">
      <alignment horizontal="center"/>
    </xf>
    <xf numFmtId="0" fontId="0" fillId="37" borderId="14" xfId="0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0" fillId="37" borderId="16" xfId="0" applyFill="1" applyBorder="1" applyAlignment="1">
      <alignment horizontal="center"/>
    </xf>
    <xf numFmtId="0" fontId="0" fillId="37" borderId="17" xfId="0" applyFill="1" applyBorder="1" applyAlignment="1">
      <alignment horizontal="center"/>
    </xf>
    <xf numFmtId="0" fontId="0" fillId="46" borderId="0" xfId="0" applyFill="1" applyAlignment="1">
      <alignment horizontal="center"/>
    </xf>
    <xf numFmtId="164" fontId="0" fillId="46" borderId="0" xfId="0" applyNumberFormat="1" applyFill="1" applyAlignment="1">
      <alignment horizontal="center"/>
    </xf>
    <xf numFmtId="164" fontId="0" fillId="46" borderId="13" xfId="0" applyNumberFormat="1" applyFill="1" applyBorder="1" applyAlignment="1">
      <alignment horizontal="center"/>
    </xf>
    <xf numFmtId="164" fontId="0" fillId="46" borderId="14" xfId="0" applyNumberFormat="1" applyFill="1" applyBorder="1" applyAlignment="1">
      <alignment horizontal="center"/>
    </xf>
    <xf numFmtId="166" fontId="0" fillId="46" borderId="0" xfId="0" applyNumberFormat="1" applyFill="1" applyAlignment="1">
      <alignment horizontal="center"/>
    </xf>
    <xf numFmtId="0" fontId="0" fillId="46" borderId="13" xfId="0" applyFill="1" applyBorder="1" applyAlignment="1">
      <alignment horizontal="center"/>
    </xf>
    <xf numFmtId="0" fontId="14" fillId="46" borderId="0" xfId="0" applyFont="1" applyFill="1"/>
    <xf numFmtId="0" fontId="0" fillId="46" borderId="14" xfId="0" applyFill="1" applyBorder="1" applyAlignment="1">
      <alignment horizontal="center"/>
    </xf>
    <xf numFmtId="11" fontId="0" fillId="46" borderId="0" xfId="0" applyNumberFormat="1" applyFill="1"/>
    <xf numFmtId="168" fontId="0" fillId="46" borderId="0" xfId="0" applyNumberFormat="1" applyFill="1" applyAlignment="1">
      <alignment horizontal="center"/>
    </xf>
    <xf numFmtId="2" fontId="0" fillId="46" borderId="0" xfId="0" applyNumberFormat="1" applyFill="1" applyAlignment="1">
      <alignment horizontal="center"/>
    </xf>
    <xf numFmtId="2" fontId="0" fillId="46" borderId="0" xfId="0" applyNumberFormat="1" applyFill="1"/>
    <xf numFmtId="0" fontId="0" fillId="46" borderId="0" xfId="0" applyFill="1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7" borderId="10" xfId="0" applyFill="1" applyBorder="1" applyAlignment="1">
      <alignment horizontal="left"/>
    </xf>
    <xf numFmtId="0" fontId="19" fillId="0" borderId="0" xfId="0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0" fontId="0" fillId="37" borderId="19" xfId="0" applyFill="1" applyBorder="1" applyAlignment="1">
      <alignment horizontal="center"/>
    </xf>
    <xf numFmtId="0" fontId="0" fillId="37" borderId="20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168" fontId="0" fillId="46" borderId="21" xfId="0" applyNumberFormat="1" applyFill="1" applyBorder="1" applyAlignment="1">
      <alignment horizontal="center"/>
    </xf>
    <xf numFmtId="168" fontId="0" fillId="46" borderId="22" xfId="0" applyNumberFormat="1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37" borderId="24" xfId="0" applyFill="1" applyBorder="1" applyAlignment="1">
      <alignment horizontal="center"/>
    </xf>
    <xf numFmtId="164" fontId="0" fillId="46" borderId="21" xfId="0" applyNumberFormat="1" applyFill="1" applyBorder="1" applyAlignment="1">
      <alignment horizontal="center"/>
    </xf>
    <xf numFmtId="164" fontId="0" fillId="46" borderId="22" xfId="0" applyNumberFormat="1" applyFill="1" applyBorder="1" applyAlignment="1">
      <alignment horizontal="center"/>
    </xf>
    <xf numFmtId="164" fontId="0" fillId="37" borderId="21" xfId="0" applyNumberFormat="1" applyFill="1" applyBorder="1" applyAlignment="1">
      <alignment horizontal="center"/>
    </xf>
    <xf numFmtId="164" fontId="0" fillId="37" borderId="22" xfId="0" applyNumberFormat="1" applyFill="1" applyBorder="1" applyAlignment="1">
      <alignment horizontal="center"/>
    </xf>
    <xf numFmtId="164" fontId="0" fillId="37" borderId="23" xfId="0" applyNumberFormat="1" applyFill="1" applyBorder="1" applyAlignment="1">
      <alignment horizontal="center"/>
    </xf>
    <xf numFmtId="164" fontId="0" fillId="37" borderId="24" xfId="0" applyNumberFormat="1" applyFill="1" applyBorder="1" applyAlignment="1">
      <alignment horizontal="center"/>
    </xf>
    <xf numFmtId="0" fontId="0" fillId="37" borderId="19" xfId="0" applyFill="1" applyBorder="1"/>
    <xf numFmtId="0" fontId="0" fillId="37" borderId="20" xfId="0" applyFill="1" applyBorder="1"/>
    <xf numFmtId="0" fontId="0" fillId="37" borderId="21" xfId="0" applyFill="1" applyBorder="1"/>
    <xf numFmtId="0" fontId="0" fillId="37" borderId="22" xfId="0" applyFill="1" applyBorder="1"/>
    <xf numFmtId="11" fontId="0" fillId="47" borderId="0" xfId="0" applyNumberFormat="1" applyFill="1"/>
    <xf numFmtId="0" fontId="0" fillId="42" borderId="0" xfId="0" applyFill="1"/>
    <xf numFmtId="0" fontId="0" fillId="42" borderId="0" xfId="0" applyFill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40" borderId="0" xfId="0" applyFill="1"/>
    <xf numFmtId="0" fontId="0" fillId="0" borderId="10" xfId="0" applyBorder="1"/>
    <xf numFmtId="0" fontId="0" fillId="0" borderId="11" xfId="0" applyBorder="1"/>
    <xf numFmtId="0" fontId="0" fillId="34" borderId="11" xfId="0" applyFill="1" applyBorder="1"/>
    <xf numFmtId="0" fontId="0" fillId="34" borderId="12" xfId="0" applyFill="1" applyBorder="1"/>
    <xf numFmtId="0" fontId="0" fillId="45" borderId="13" xfId="0" applyFill="1" applyBorder="1"/>
    <xf numFmtId="0" fontId="0" fillId="45" borderId="0" xfId="0" applyFill="1"/>
    <xf numFmtId="0" fontId="0" fillId="34" borderId="14" xfId="0" applyFill="1" applyBorder="1"/>
    <xf numFmtId="0" fontId="0" fillId="45" borderId="15" xfId="0" applyFill="1" applyBorder="1"/>
    <xf numFmtId="0" fontId="0" fillId="45" borderId="16" xfId="0" applyFill="1" applyBorder="1"/>
    <xf numFmtId="0" fontId="0" fillId="34" borderId="17" xfId="0" applyFill="1" applyBorder="1"/>
    <xf numFmtId="0" fontId="0" fillId="34" borderId="25" xfId="0" applyFill="1" applyBorder="1"/>
    <xf numFmtId="0" fontId="0" fillId="42" borderId="25" xfId="0" applyFill="1" applyBorder="1" applyAlignment="1">
      <alignment vertical="center" wrapText="1"/>
    </xf>
    <xf numFmtId="0" fontId="0" fillId="33" borderId="25" xfId="0" applyFill="1" applyBorder="1"/>
    <xf numFmtId="0" fontId="21" fillId="33" borderId="10" xfId="42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10" xfId="0" applyFill="1" applyBorder="1"/>
    <xf numFmtId="11" fontId="0" fillId="36" borderId="0" xfId="0" applyNumberFormat="1" applyFill="1"/>
    <xf numFmtId="172" fontId="23" fillId="50" borderId="29" xfId="0" applyNumberFormat="1" applyFont="1" applyFill="1" applyBorder="1" applyAlignment="1">
      <alignment horizontal="center" vertical="center" wrapText="1"/>
    </xf>
    <xf numFmtId="172" fontId="23" fillId="52" borderId="29" xfId="0" applyNumberFormat="1" applyFont="1" applyFill="1" applyBorder="1" applyAlignment="1">
      <alignment horizontal="center" vertical="center" wrapText="1"/>
    </xf>
    <xf numFmtId="172" fontId="23" fillId="53" borderId="29" xfId="0" applyNumberFormat="1" applyFont="1" applyFill="1" applyBorder="1" applyAlignment="1">
      <alignment horizontal="center" vertical="center" wrapText="1"/>
    </xf>
    <xf numFmtId="0" fontId="22" fillId="48" borderId="29" xfId="0" applyFont="1" applyFill="1" applyBorder="1" applyAlignment="1">
      <alignment horizontal="center" vertical="center" wrapText="1"/>
    </xf>
    <xf numFmtId="2" fontId="24" fillId="54" borderId="29" xfId="0" applyNumberFormat="1" applyFont="1" applyFill="1" applyBorder="1" applyAlignment="1">
      <alignment horizontal="center" vertical="center" wrapText="1"/>
    </xf>
    <xf numFmtId="172" fontId="0" fillId="0" borderId="0" xfId="0" applyNumberFormat="1"/>
    <xf numFmtId="0" fontId="0" fillId="55" borderId="0" xfId="0" applyFill="1"/>
    <xf numFmtId="0" fontId="25" fillId="0" borderId="0" xfId="0" applyFont="1"/>
    <xf numFmtId="0" fontId="16" fillId="0" borderId="0" xfId="0" applyFont="1"/>
    <xf numFmtId="173" fontId="0" fillId="37" borderId="0" xfId="0" applyNumberFormat="1" applyFill="1"/>
    <xf numFmtId="0" fontId="16" fillId="37" borderId="18" xfId="0" applyFont="1" applyFill="1" applyBorder="1" applyAlignment="1">
      <alignment horizontal="center"/>
    </xf>
    <xf numFmtId="0" fontId="0" fillId="37" borderId="18" xfId="0" applyFill="1" applyBorder="1" applyAlignment="1">
      <alignment horizontal="center"/>
    </xf>
    <xf numFmtId="173" fontId="0" fillId="37" borderId="18" xfId="0" applyNumberFormat="1" applyFill="1" applyBorder="1" applyAlignment="1">
      <alignment horizontal="center"/>
    </xf>
    <xf numFmtId="169" fontId="0" fillId="37" borderId="18" xfId="0" applyNumberFormat="1" applyFill="1" applyBorder="1" applyAlignment="1">
      <alignment horizontal="center"/>
    </xf>
    <xf numFmtId="164" fontId="0" fillId="37" borderId="18" xfId="0" applyNumberFormat="1" applyFill="1" applyBorder="1" applyAlignment="1">
      <alignment horizontal="center"/>
    </xf>
    <xf numFmtId="173" fontId="0" fillId="0" borderId="0" xfId="0" applyNumberFormat="1"/>
    <xf numFmtId="0" fontId="22" fillId="49" borderId="0" xfId="0" applyFont="1" applyFill="1" applyAlignment="1">
      <alignment horizontal="center" vertical="center" wrapText="1"/>
    </xf>
    <xf numFmtId="172" fontId="23" fillId="51" borderId="0" xfId="0" applyNumberFormat="1" applyFont="1" applyFill="1" applyAlignment="1">
      <alignment horizontal="center" vertical="center" wrapText="1"/>
    </xf>
    <xf numFmtId="172" fontId="23" fillId="53" borderId="0" xfId="0" applyNumberFormat="1" applyFont="1" applyFill="1" applyAlignment="1">
      <alignment horizontal="center" vertical="center" wrapText="1"/>
    </xf>
    <xf numFmtId="0" fontId="22" fillId="49" borderId="30" xfId="0" applyFont="1" applyFill="1" applyBorder="1" applyAlignment="1">
      <alignment horizontal="center" vertical="center" wrapText="1"/>
    </xf>
    <xf numFmtId="172" fontId="23" fillId="51" borderId="30" xfId="0" applyNumberFormat="1" applyFont="1" applyFill="1" applyBorder="1" applyAlignment="1">
      <alignment horizontal="center" vertical="center" wrapText="1"/>
    </xf>
    <xf numFmtId="172" fontId="23" fillId="53" borderId="30" xfId="0" applyNumberFormat="1" applyFont="1" applyFill="1" applyBorder="1" applyAlignment="1">
      <alignment horizontal="center" vertical="center" wrapText="1"/>
    </xf>
    <xf numFmtId="172" fontId="23" fillId="51" borderId="13" xfId="0" applyNumberFormat="1" applyFont="1" applyFill="1" applyBorder="1" applyAlignment="1">
      <alignment horizontal="center" vertical="center" wrapText="1"/>
    </xf>
    <xf numFmtId="172" fontId="23" fillId="51" borderId="14" xfId="0" applyNumberFormat="1" applyFont="1" applyFill="1" applyBorder="1" applyAlignment="1">
      <alignment horizontal="center" vertical="center" wrapText="1"/>
    </xf>
    <xf numFmtId="172" fontId="23" fillId="53" borderId="13" xfId="0" applyNumberFormat="1" applyFont="1" applyFill="1" applyBorder="1" applyAlignment="1">
      <alignment horizontal="center" vertical="center" wrapText="1"/>
    </xf>
    <xf numFmtId="172" fontId="23" fillId="53" borderId="14" xfId="0" applyNumberFormat="1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5" xfId="0" applyBorder="1"/>
    <xf numFmtId="0" fontId="0" fillId="0" borderId="16" xfId="0" applyBorder="1"/>
    <xf numFmtId="172" fontId="23" fillId="51" borderId="17" xfId="0" applyNumberFormat="1" applyFont="1" applyFill="1" applyBorder="1" applyAlignment="1">
      <alignment horizontal="center" vertical="center" wrapText="1"/>
    </xf>
    <xf numFmtId="0" fontId="22" fillId="56" borderId="0" xfId="0" applyFont="1" applyFill="1" applyAlignment="1">
      <alignment horizontal="center" vertical="center" wrapText="1"/>
    </xf>
    <xf numFmtId="0" fontId="26" fillId="56" borderId="0" xfId="0" applyFont="1" applyFill="1" applyAlignment="1">
      <alignment horizontal="center" vertical="center" wrapText="1"/>
    </xf>
    <xf numFmtId="0" fontId="0" fillId="57" borderId="0" xfId="0" applyFill="1"/>
    <xf numFmtId="11" fontId="0" fillId="37" borderId="0" xfId="0" applyNumberFormat="1" applyFill="1"/>
    <xf numFmtId="0" fontId="0" fillId="47" borderId="0" xfId="0" applyFill="1"/>
    <xf numFmtId="11" fontId="0" fillId="45" borderId="0" xfId="0" applyNumberFormat="1" applyFill="1"/>
    <xf numFmtId="0" fontId="22" fillId="58" borderId="0" xfId="0" applyFont="1" applyFill="1" applyAlignment="1">
      <alignment horizontal="center" vertical="center" wrapText="1"/>
    </xf>
    <xf numFmtId="172" fontId="23" fillId="59" borderId="0" xfId="0" applyNumberFormat="1" applyFont="1" applyFill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mehler_kernel_xi0_varying_xf_op!$AR$2:$AR$22</c:f>
              <c:numCache>
                <c:formatCode>General</c:formatCode>
                <c:ptCount val="21"/>
                <c:pt idx="0">
                  <c:v>0.30723035489404499</c:v>
                </c:pt>
                <c:pt idx="1">
                  <c:v>0.31352132063545701</c:v>
                </c:pt>
                <c:pt idx="2">
                  <c:v>0.33177102899972</c:v>
                </c:pt>
                <c:pt idx="3">
                  <c:v>0.35919391219344499</c:v>
                </c:pt>
                <c:pt idx="4">
                  <c:v>0.39081775234219102</c:v>
                </c:pt>
                <c:pt idx="5">
                  <c:v>0.41892398212316501</c:v>
                </c:pt>
                <c:pt idx="6">
                  <c:v>0.432855607102549</c:v>
                </c:pt>
                <c:pt idx="7">
                  <c:v>0.419616820618608</c:v>
                </c:pt>
                <c:pt idx="8">
                  <c:v>0.36591803351068303</c:v>
                </c:pt>
                <c:pt idx="9">
                  <c:v>0.26216354417648502</c:v>
                </c:pt>
                <c:pt idx="10">
                  <c:v>0.10828683014279999</c:v>
                </c:pt>
                <c:pt idx="11">
                  <c:v>7.9731369717044198E-2</c:v>
                </c:pt>
                <c:pt idx="12">
                  <c:v>0.26589348236995097</c:v>
                </c:pt>
                <c:pt idx="13">
                  <c:v>-0.39711501048437697</c:v>
                </c:pt>
                <c:pt idx="14">
                  <c:v>-0.41753705522572399</c:v>
                </c:pt>
                <c:pt idx="15">
                  <c:v>-0.29461538200796</c:v>
                </c:pt>
                <c:pt idx="16">
                  <c:v>4.90243259130946E-2</c:v>
                </c:pt>
                <c:pt idx="17">
                  <c:v>0.22990465109376501</c:v>
                </c:pt>
                <c:pt idx="18">
                  <c:v>0.40563938262663801</c:v>
                </c:pt>
                <c:pt idx="19">
                  <c:v>0.36240336065564099</c:v>
                </c:pt>
                <c:pt idx="20">
                  <c:v>-9.4923439533775703E-2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8-41F6-8E05-0DC328B3B03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mehler_kernel_xi0_varying_xf_op!$AD$3:$AD$22</c:f>
              <c:numCache>
                <c:formatCode>General</c:formatCode>
                <c:ptCount val="20"/>
                <c:pt idx="0">
                  <c:v>0.31362972888013302</c:v>
                </c:pt>
                <c:pt idx="1">
                  <c:v>0.33118719437495803</c:v>
                </c:pt>
                <c:pt idx="2">
                  <c:v>0.35775414248369602</c:v>
                </c:pt>
                <c:pt idx="3">
                  <c:v>0.38885028963483798</c:v>
                </c:pt>
                <c:pt idx="4">
                  <c:v>0.41750879410619202</c:v>
                </c:pt>
                <c:pt idx="5">
                  <c:v>0.43403710680369301</c:v>
                </c:pt>
                <c:pt idx="6">
                  <c:v>0.42642054565481502</c:v>
                </c:pt>
                <c:pt idx="7">
                  <c:v>0.38191422872612701</c:v>
                </c:pt>
                <c:pt idx="8">
                  <c:v>0.29031308968880298</c:v>
                </c:pt>
                <c:pt idx="9">
                  <c:v>0.148985702719966</c:v>
                </c:pt>
                <c:pt idx="10">
                  <c:v>-3.1163598094273801E-2</c:v>
                </c:pt>
                <c:pt idx="11">
                  <c:v>-0.22106497125442601</c:v>
                </c:pt>
                <c:pt idx="12">
                  <c:v>-0.37392335017320999</c:v>
                </c:pt>
                <c:pt idx="13">
                  <c:v>-0.43489370505066799</c:v>
                </c:pt>
                <c:pt idx="14">
                  <c:v>-0.36192704155485</c:v>
                </c:pt>
                <c:pt idx="15">
                  <c:v>-0.15363019665698799</c:v>
                </c:pt>
                <c:pt idx="16">
                  <c:v>0.12898390421313599</c:v>
                </c:pt>
                <c:pt idx="17">
                  <c:v>0.36675359306684402</c:v>
                </c:pt>
                <c:pt idx="18">
                  <c:v>0.42825683585732899</c:v>
                </c:pt>
                <c:pt idx="19">
                  <c:v>0.25028795366583501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8-41F6-8E05-0DC328B3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0109135"/>
        <c:axId val="1098647903"/>
      </c:lineChart>
      <c:catAx>
        <c:axId val="720109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647903"/>
        <c:crosses val="autoZero"/>
        <c:auto val="1"/>
        <c:lblAlgn val="ctr"/>
        <c:lblOffset val="100"/>
        <c:noMultiLvlLbl val="0"/>
      </c:catAx>
      <c:valAx>
        <c:axId val="109864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09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mehler_kernel_xi0_varying_xf_op!$AE$3:$AE$22</c:f>
              <c:numCache>
                <c:formatCode>General</c:formatCode>
                <c:ptCount val="20"/>
                <c:pt idx="0">
                  <c:v>-0.30128947640662401</c:v>
                </c:pt>
                <c:pt idx="1">
                  <c:v>-0.28187585514344299</c:v>
                </c:pt>
                <c:pt idx="2">
                  <c:v>-0.24728713870025401</c:v>
                </c:pt>
                <c:pt idx="3">
                  <c:v>-0.19476757348620899</c:v>
                </c:pt>
                <c:pt idx="4">
                  <c:v>-0.121759444294053</c:v>
                </c:pt>
                <c:pt idx="5">
                  <c:v>-2.73997326316038E-2</c:v>
                </c:pt>
                <c:pt idx="6">
                  <c:v>8.5466213641724506E-2</c:v>
                </c:pt>
                <c:pt idx="7">
                  <c:v>0.20803960518932599</c:v>
                </c:pt>
                <c:pt idx="8">
                  <c:v>0.32381671572997001</c:v>
                </c:pt>
                <c:pt idx="9">
                  <c:v>0.40858562849890001</c:v>
                </c:pt>
                <c:pt idx="10">
                  <c:v>0.43378310892037097</c:v>
                </c:pt>
                <c:pt idx="11">
                  <c:v>0.374525344823395</c:v>
                </c:pt>
                <c:pt idx="12">
                  <c:v>0.222081704843164</c:v>
                </c:pt>
                <c:pt idx="13">
                  <c:v>-2.53391754130383E-3</c:v>
                </c:pt>
                <c:pt idx="14">
                  <c:v>-0.24113849137405899</c:v>
                </c:pt>
                <c:pt idx="15">
                  <c:v>-0.40686203817257099</c:v>
                </c:pt>
                <c:pt idx="16">
                  <c:v>-0.41533373073317797</c:v>
                </c:pt>
                <c:pt idx="17">
                  <c:v>-0.23373223441229299</c:v>
                </c:pt>
                <c:pt idx="18">
                  <c:v>7.5730033489181905E-2</c:v>
                </c:pt>
                <c:pt idx="19">
                  <c:v>0.35566120913106603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A-4F86-A3EB-B50B51093A9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mehler_kernel_xi0_varying_xf_op!$AS$3:$AS$22</c:f>
              <c:numCache>
                <c:formatCode>General</c:formatCode>
                <c:ptCount val="20"/>
                <c:pt idx="0">
                  <c:v>-0.301145420045838</c:v>
                </c:pt>
                <c:pt idx="1">
                  <c:v>-0.28069120205396098</c:v>
                </c:pt>
                <c:pt idx="2">
                  <c:v>-0.24419309691663799</c:v>
                </c:pt>
                <c:pt idx="3">
                  <c:v>-0.18873283995211099</c:v>
                </c:pt>
                <c:pt idx="4">
                  <c:v>-0.111740346754794</c:v>
                </c:pt>
                <c:pt idx="5">
                  <c:v>-1.2724502870313801E-2</c:v>
                </c:pt>
                <c:pt idx="6">
                  <c:v>0.10444026995705299</c:v>
                </c:pt>
                <c:pt idx="7">
                  <c:v>0.229062907552016</c:v>
                </c:pt>
                <c:pt idx="8">
                  <c:v>0.34195933658238697</c:v>
                </c:pt>
                <c:pt idx="9">
                  <c:v>0.41612687839897999</c:v>
                </c:pt>
                <c:pt idx="10">
                  <c:v>-0.421512538559836</c:v>
                </c:pt>
                <c:pt idx="11">
                  <c:v>-0.33525582845437801</c:v>
                </c:pt>
                <c:pt idx="12">
                  <c:v>0.156153537765751</c:v>
                </c:pt>
                <c:pt idx="13">
                  <c:v>-8.1613460096716106E-2</c:v>
                </c:pt>
                <c:pt idx="14">
                  <c:v>-0.30502652060702801</c:v>
                </c:pt>
                <c:pt idx="15">
                  <c:v>0.41976989611235099</c:v>
                </c:pt>
                <c:pt idx="16">
                  <c:v>-0.352779743200547</c:v>
                </c:pt>
                <c:pt idx="17">
                  <c:v>-0.10675959976958301</c:v>
                </c:pt>
                <c:pt idx="18">
                  <c:v>0.20777463800992399</c:v>
                </c:pt>
                <c:pt idx="19">
                  <c:v>-0.40496136255229698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A-4F86-A3EB-B50B51093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912895"/>
        <c:axId val="1098650303"/>
      </c:lineChart>
      <c:catAx>
        <c:axId val="718912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650303"/>
        <c:crosses val="autoZero"/>
        <c:auto val="1"/>
        <c:lblAlgn val="ctr"/>
        <c:lblOffset val="100"/>
        <c:noMultiLvlLbl val="0"/>
      </c:catAx>
      <c:valAx>
        <c:axId val="1098650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912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mehler_kernel_xi0_varying_xf_op!$AD$3:$AD$22</c:f>
              <c:numCache>
                <c:formatCode>General</c:formatCode>
                <c:ptCount val="20"/>
                <c:pt idx="0">
                  <c:v>0.31362972888013302</c:v>
                </c:pt>
                <c:pt idx="1">
                  <c:v>0.33118719437495803</c:v>
                </c:pt>
                <c:pt idx="2">
                  <c:v>0.35775414248369602</c:v>
                </c:pt>
                <c:pt idx="3">
                  <c:v>0.38885028963483798</c:v>
                </c:pt>
                <c:pt idx="4">
                  <c:v>0.41750879410619202</c:v>
                </c:pt>
                <c:pt idx="5">
                  <c:v>0.43403710680369301</c:v>
                </c:pt>
                <c:pt idx="6">
                  <c:v>0.42642054565481502</c:v>
                </c:pt>
                <c:pt idx="7">
                  <c:v>0.38191422872612701</c:v>
                </c:pt>
                <c:pt idx="8">
                  <c:v>0.29031308968880298</c:v>
                </c:pt>
                <c:pt idx="9">
                  <c:v>0.148985702719966</c:v>
                </c:pt>
                <c:pt idx="10">
                  <c:v>-3.1163598094273801E-2</c:v>
                </c:pt>
                <c:pt idx="11">
                  <c:v>-0.22106497125442601</c:v>
                </c:pt>
                <c:pt idx="12">
                  <c:v>-0.37392335017320999</c:v>
                </c:pt>
                <c:pt idx="13">
                  <c:v>-0.43489370505066799</c:v>
                </c:pt>
                <c:pt idx="14">
                  <c:v>-0.36192704155485</c:v>
                </c:pt>
                <c:pt idx="15">
                  <c:v>-0.15363019665698799</c:v>
                </c:pt>
                <c:pt idx="16">
                  <c:v>0.12898390421313599</c:v>
                </c:pt>
                <c:pt idx="17">
                  <c:v>0.36675359306684402</c:v>
                </c:pt>
                <c:pt idx="18">
                  <c:v>0.42825683585732899</c:v>
                </c:pt>
                <c:pt idx="19">
                  <c:v>0.25028795366583501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5-44F7-8A80-806F07D0A29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mehler_kernel_xi0_varying_xf_op!$AR$3:$AR$22</c:f>
              <c:numCache>
                <c:formatCode>General</c:formatCode>
                <c:ptCount val="20"/>
                <c:pt idx="0">
                  <c:v>0.31352132063545701</c:v>
                </c:pt>
                <c:pt idx="1">
                  <c:v>0.33177102899972</c:v>
                </c:pt>
                <c:pt idx="2">
                  <c:v>0.35919391219344499</c:v>
                </c:pt>
                <c:pt idx="3">
                  <c:v>0.39081775234219102</c:v>
                </c:pt>
                <c:pt idx="4">
                  <c:v>0.41892398212316501</c:v>
                </c:pt>
                <c:pt idx="5">
                  <c:v>0.432855607102549</c:v>
                </c:pt>
                <c:pt idx="6">
                  <c:v>0.419616820618608</c:v>
                </c:pt>
                <c:pt idx="7">
                  <c:v>0.36591803351068303</c:v>
                </c:pt>
                <c:pt idx="8">
                  <c:v>0.26216354417648502</c:v>
                </c:pt>
                <c:pt idx="9">
                  <c:v>0.10828683014279999</c:v>
                </c:pt>
                <c:pt idx="10">
                  <c:v>7.9731369717044198E-2</c:v>
                </c:pt>
                <c:pt idx="11">
                  <c:v>0.26589348236995097</c:v>
                </c:pt>
                <c:pt idx="12">
                  <c:v>-0.39711501048437697</c:v>
                </c:pt>
                <c:pt idx="13">
                  <c:v>-0.41753705522572399</c:v>
                </c:pt>
                <c:pt idx="14">
                  <c:v>-0.29461538200796</c:v>
                </c:pt>
                <c:pt idx="15">
                  <c:v>4.90243259130946E-2</c:v>
                </c:pt>
                <c:pt idx="16">
                  <c:v>0.22990465109376501</c:v>
                </c:pt>
                <c:pt idx="17">
                  <c:v>0.40563938262663801</c:v>
                </c:pt>
                <c:pt idx="18">
                  <c:v>0.36240336065564099</c:v>
                </c:pt>
                <c:pt idx="19">
                  <c:v>-9.4923439533775703E-2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B5-44F7-8A80-806F07D0A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2422447"/>
        <c:axId val="686009727"/>
      </c:lineChart>
      <c:catAx>
        <c:axId val="7124224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9727"/>
        <c:crosses val="autoZero"/>
        <c:auto val="1"/>
        <c:lblAlgn val="ctr"/>
        <c:lblOffset val="100"/>
        <c:noMultiLvlLbl val="0"/>
      </c:catAx>
      <c:valAx>
        <c:axId val="68600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22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mehler_kernel_xi0_varying_xf_op!$O$2:$O$41</c:f>
              <c:numCache>
                <c:formatCode>General</c:formatCode>
                <c:ptCount val="40"/>
                <c:pt idx="0">
                  <c:v>-0.30732963288147902</c:v>
                </c:pt>
                <c:pt idx="1">
                  <c:v>-0.31352192934654899</c:v>
                </c:pt>
                <c:pt idx="2">
                  <c:v>-0.33177056273397398</c:v>
                </c:pt>
                <c:pt idx="3">
                  <c:v>-0.359193724633869</c:v>
                </c:pt>
                <c:pt idx="4">
                  <c:v>-0.39081730426197198</c:v>
                </c:pt>
                <c:pt idx="5">
                  <c:v>-0.41892322931555298</c:v>
                </c:pt>
                <c:pt idx="6">
                  <c:v>-0.43285628280206601</c:v>
                </c:pt>
                <c:pt idx="7">
                  <c:v>-0.41961767404748201</c:v>
                </c:pt>
                <c:pt idx="8">
                  <c:v>-0.36591898559431602</c:v>
                </c:pt>
                <c:pt idx="9">
                  <c:v>-0.26215892154430798</c:v>
                </c:pt>
                <c:pt idx="10">
                  <c:v>-0.108287043393231</c:v>
                </c:pt>
                <c:pt idx="11">
                  <c:v>7.9731155646310697E-2</c:v>
                </c:pt>
                <c:pt idx="12">
                  <c:v>0.26589301776383401</c:v>
                </c:pt>
                <c:pt idx="13">
                  <c:v>0.39711381615460301</c:v>
                </c:pt>
                <c:pt idx="14">
                  <c:v>0.41753716332044499</c:v>
                </c:pt>
                <c:pt idx="15">
                  <c:v>0.29461582507657402</c:v>
                </c:pt>
                <c:pt idx="16">
                  <c:v>4.9024169566766099E-2</c:v>
                </c:pt>
                <c:pt idx="17">
                  <c:v>-0.22990424647399399</c:v>
                </c:pt>
                <c:pt idx="18">
                  <c:v>-0.40563724001720097</c:v>
                </c:pt>
                <c:pt idx="19">
                  <c:v>-0.36240131612648602</c:v>
                </c:pt>
                <c:pt idx="20">
                  <c:v>-9.4923450287670796E-2</c:v>
                </c:pt>
                <c:pt idx="21">
                  <c:v>0.244533681491414</c:v>
                </c:pt>
                <c:pt idx="22">
                  <c:v>0.411836052588887</c:v>
                </c:pt>
                <c:pt idx="23">
                  <c:v>0.251273604626438</c:v>
                </c:pt>
                <c:pt idx="24">
                  <c:v>-0.13163061578214999</c:v>
                </c:pt>
                <c:pt idx="25">
                  <c:v>-0.39662279887283503</c:v>
                </c:pt>
                <c:pt idx="26">
                  <c:v>-0.26311894038828298</c:v>
                </c:pt>
                <c:pt idx="27">
                  <c:v>0.15758940379325401</c:v>
                </c:pt>
                <c:pt idx="28">
                  <c:v>0.39860304105912903</c:v>
                </c:pt>
                <c:pt idx="29">
                  <c:v>0.14801956514101</c:v>
                </c:pt>
                <c:pt idx="30">
                  <c:v>-0.29760069920063897</c:v>
                </c:pt>
                <c:pt idx="31">
                  <c:v>-0.32924980488397598</c:v>
                </c:pt>
                <c:pt idx="32">
                  <c:v>0.12322167242818199</c:v>
                </c:pt>
                <c:pt idx="33">
                  <c:v>0.38266978106106597</c:v>
                </c:pt>
                <c:pt idx="34">
                  <c:v>1.6542768328628301E-2</c:v>
                </c:pt>
                <c:pt idx="35">
                  <c:v>-0.37457881876319499</c:v>
                </c:pt>
                <c:pt idx="36">
                  <c:v>-9.0022328848378005E-2</c:v>
                </c:pt>
                <c:pt idx="37">
                  <c:v>0.35935214156864098</c:v>
                </c:pt>
                <c:pt idx="38">
                  <c:v>9.9270306912111694E-2</c:v>
                </c:pt>
                <c:pt idx="39">
                  <c:v>-0.35828707402888399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B-4221-91B4-A5935665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9368559"/>
        <c:axId val="1612982815"/>
      </c:lineChart>
      <c:catAx>
        <c:axId val="1399368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982815"/>
        <c:crosses val="autoZero"/>
        <c:auto val="1"/>
        <c:lblAlgn val="ctr"/>
        <c:lblOffset val="100"/>
        <c:noMultiLvlLbl val="0"/>
      </c:catAx>
      <c:valAx>
        <c:axId val="161298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368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mehler_kernel_xi0_varying_xf_op!$P$2:$P$41</c:f>
              <c:numCache>
                <c:formatCode>General</c:formatCode>
                <c:ptCount val="40"/>
                <c:pt idx="0">
                  <c:v>0.30750060973969401</c:v>
                </c:pt>
                <c:pt idx="1">
                  <c:v>0.301145137021197</c:v>
                </c:pt>
                <c:pt idx="2">
                  <c:v>0.28069076169186702</c:v>
                </c:pt>
                <c:pt idx="3">
                  <c:v>0.244192789417537</c:v>
                </c:pt>
                <c:pt idx="4">
                  <c:v>0.188732770587167</c:v>
                </c:pt>
                <c:pt idx="5">
                  <c:v>0.111740182841117</c:v>
                </c:pt>
                <c:pt idx="6">
                  <c:v>1.27243844610652E-2</c:v>
                </c:pt>
                <c:pt idx="7">
                  <c:v>-0.104440677926396</c:v>
                </c:pt>
                <c:pt idx="8">
                  <c:v>-0.22906313913992701</c:v>
                </c:pt>
                <c:pt idx="9">
                  <c:v>-0.34196510935188601</c:v>
                </c:pt>
                <c:pt idx="10">
                  <c:v>-0.41612620750870999</c:v>
                </c:pt>
                <c:pt idx="11">
                  <c:v>-0.42151197926525302</c:v>
                </c:pt>
                <c:pt idx="12">
                  <c:v>-0.33525532472590303</c:v>
                </c:pt>
                <c:pt idx="13">
                  <c:v>-0.156152481952853</c:v>
                </c:pt>
                <c:pt idx="14">
                  <c:v>8.1613835428858805E-2</c:v>
                </c:pt>
                <c:pt idx="15">
                  <c:v>0.30502596903558998</c:v>
                </c:pt>
                <c:pt idx="16">
                  <c:v>0.41976968178952201</c:v>
                </c:pt>
                <c:pt idx="17">
                  <c:v>0.35277931780959898</c:v>
                </c:pt>
                <c:pt idx="18">
                  <c:v>0.10675953723350901</c:v>
                </c:pt>
                <c:pt idx="19">
                  <c:v>-0.20777347571052601</c:v>
                </c:pt>
                <c:pt idx="20">
                  <c:v>-0.404961378510444</c:v>
                </c:pt>
                <c:pt idx="21">
                  <c:v>-0.33413087893999299</c:v>
                </c:pt>
                <c:pt idx="22">
                  <c:v>-1.43932313427543E-2</c:v>
                </c:pt>
                <c:pt idx="23">
                  <c:v>0.32402743090614</c:v>
                </c:pt>
                <c:pt idx="24">
                  <c:v>0.38608979421492001</c:v>
                </c:pt>
                <c:pt idx="25">
                  <c:v>8.5364037322919598E-2</c:v>
                </c:pt>
                <c:pt idx="26">
                  <c:v>-0.30580383718266102</c:v>
                </c:pt>
                <c:pt idx="27">
                  <c:v>-0.368802200971245</c:v>
                </c:pt>
                <c:pt idx="28">
                  <c:v>-4.2254070257013998E-3</c:v>
                </c:pt>
                <c:pt idx="29">
                  <c:v>0.36742358385385199</c:v>
                </c:pt>
                <c:pt idx="30">
                  <c:v>0.25750054705643999</c:v>
                </c:pt>
                <c:pt idx="31">
                  <c:v>-0.21068768111392</c:v>
                </c:pt>
                <c:pt idx="32">
                  <c:v>-0.36809657001289198</c:v>
                </c:pt>
                <c:pt idx="33">
                  <c:v>4.5700305006908401E-2</c:v>
                </c:pt>
                <c:pt idx="34">
                  <c:v>0.38218458444962899</c:v>
                </c:pt>
                <c:pt idx="35">
                  <c:v>6.1727046041043197E-2</c:v>
                </c:pt>
                <c:pt idx="36">
                  <c:v>-0.36574120582360797</c:v>
                </c:pt>
                <c:pt idx="37">
                  <c:v>-0.102285930172599</c:v>
                </c:pt>
                <c:pt idx="38">
                  <c:v>0.35699111610496398</c:v>
                </c:pt>
                <c:pt idx="39">
                  <c:v>8.1282370877993601E-2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AC-40AB-BA1C-DAAA6EAEE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149535"/>
        <c:axId val="1618191807"/>
      </c:lineChart>
      <c:catAx>
        <c:axId val="723149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191807"/>
        <c:crosses val="autoZero"/>
        <c:auto val="1"/>
        <c:lblAlgn val="ctr"/>
        <c:lblOffset val="100"/>
        <c:noMultiLvlLbl val="0"/>
      </c:catAx>
      <c:valAx>
        <c:axId val="1618191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4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mehler_kernel_xi0_varying_xf_op!$G$2:$G$41</c:f>
              <c:numCache>
                <c:formatCode>General</c:formatCode>
                <c:ptCount val="40"/>
                <c:pt idx="0">
                  <c:v>-0.30779644049999999</c:v>
                </c:pt>
                <c:pt idx="1">
                  <c:v>-0.3015335603</c:v>
                </c:pt>
                <c:pt idx="2">
                  <c:v>-0.28203606170000001</c:v>
                </c:pt>
                <c:pt idx="3">
                  <c:v>-0.24733872740000001</c:v>
                </c:pt>
                <c:pt idx="4">
                  <c:v>-0.1947394482</c:v>
                </c:pt>
                <c:pt idx="5">
                  <c:v>-0.121765058</c:v>
                </c:pt>
                <c:pt idx="6">
                  <c:v>-2.7666485500000001E-2</c:v>
                </c:pt>
                <c:pt idx="7">
                  <c:v>8.4586309200000001E-2</c:v>
                </c:pt>
                <c:pt idx="8">
                  <c:v>0.20610648670000001</c:v>
                </c:pt>
                <c:pt idx="9">
                  <c:v>0.3204202894</c:v>
                </c:pt>
                <c:pt idx="10">
                  <c:v>0.4035674655</c:v>
                </c:pt>
                <c:pt idx="11">
                  <c:v>0.42753920579999999</c:v>
                </c:pt>
                <c:pt idx="12">
                  <c:v>0.36828220049999999</c:v>
                </c:pt>
                <c:pt idx="13">
                  <c:v>0.21793252439999999</c:v>
                </c:pt>
                <c:pt idx="14">
                  <c:v>-2.1026185999999999E-3</c:v>
                </c:pt>
                <c:pt idx="15">
                  <c:v>-0.23438888799999999</c:v>
                </c:pt>
                <c:pt idx="16">
                  <c:v>-0.39438872069999997</c:v>
                </c:pt>
                <c:pt idx="17">
                  <c:v>-0.40124498359999999</c:v>
                </c:pt>
                <c:pt idx="18">
                  <c:v>-0.22509890129999999</c:v>
                </c:pt>
                <c:pt idx="19">
                  <c:v>7.2157464700000007E-2</c:v>
                </c:pt>
                <c:pt idx="20">
                  <c:v>0.33874163369999999</c:v>
                </c:pt>
                <c:pt idx="21">
                  <c:v>0.40348106189999999</c:v>
                </c:pt>
                <c:pt idx="22">
                  <c:v>0.19647993010000001</c:v>
                </c:pt>
                <c:pt idx="23">
                  <c:v>-0.16025461790000001</c:v>
                </c:pt>
                <c:pt idx="24">
                  <c:v>-0.39562519680000002</c:v>
                </c:pt>
                <c:pt idx="25">
                  <c:v>-0.29265205500000002</c:v>
                </c:pt>
                <c:pt idx="26">
                  <c:v>8.4206006E-2</c:v>
                </c:pt>
                <c:pt idx="27">
                  <c:v>0.38108081700000002</c:v>
                </c:pt>
                <c:pt idx="28">
                  <c:v>0.27347175800000001</c:v>
                </c:pt>
                <c:pt idx="29">
                  <c:v>-0.1460855103</c:v>
                </c:pt>
                <c:pt idx="30">
                  <c:v>-0.39025160510000001</c:v>
                </c:pt>
                <c:pt idx="31">
                  <c:v>-0.1339002802</c:v>
                </c:pt>
                <c:pt idx="32">
                  <c:v>0.30383280810000002</c:v>
                </c:pt>
                <c:pt idx="33">
                  <c:v>0.30491810400000002</c:v>
                </c:pt>
                <c:pt idx="34">
                  <c:v>-0.1537039798</c:v>
                </c:pt>
                <c:pt idx="35">
                  <c:v>-0.36523671969999999</c:v>
                </c:pt>
                <c:pt idx="36">
                  <c:v>3.1901107999999997E-2</c:v>
                </c:pt>
                <c:pt idx="37">
                  <c:v>0.36876748590000002</c:v>
                </c:pt>
                <c:pt idx="38">
                  <c:v>3.1419194599999999E-2</c:v>
                </c:pt>
                <c:pt idx="39">
                  <c:v>-0.35989541429999999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9-4C79-A499-F1D2B296303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mehler_kernel_xi0_varying_xf_op!$P$2:$P$41</c:f>
              <c:numCache>
                <c:formatCode>General</c:formatCode>
                <c:ptCount val="40"/>
                <c:pt idx="0">
                  <c:v>0.30750060973969401</c:v>
                </c:pt>
                <c:pt idx="1">
                  <c:v>0.301145137021197</c:v>
                </c:pt>
                <c:pt idx="2">
                  <c:v>0.28069076169186702</c:v>
                </c:pt>
                <c:pt idx="3">
                  <c:v>0.244192789417537</c:v>
                </c:pt>
                <c:pt idx="4">
                  <c:v>0.188732770587167</c:v>
                </c:pt>
                <c:pt idx="5">
                  <c:v>0.111740182841117</c:v>
                </c:pt>
                <c:pt idx="6">
                  <c:v>1.27243844610652E-2</c:v>
                </c:pt>
                <c:pt idx="7">
                  <c:v>-0.104440677926396</c:v>
                </c:pt>
                <c:pt idx="8">
                  <c:v>-0.22906313913992701</c:v>
                </c:pt>
                <c:pt idx="9">
                  <c:v>-0.34196510935188601</c:v>
                </c:pt>
                <c:pt idx="10">
                  <c:v>-0.41612620750870999</c:v>
                </c:pt>
                <c:pt idx="11">
                  <c:v>-0.42151197926525302</c:v>
                </c:pt>
                <c:pt idx="12">
                  <c:v>-0.33525532472590303</c:v>
                </c:pt>
                <c:pt idx="13">
                  <c:v>-0.156152481952853</c:v>
                </c:pt>
                <c:pt idx="14">
                  <c:v>8.1613835428858805E-2</c:v>
                </c:pt>
                <c:pt idx="15">
                  <c:v>0.30502596903558998</c:v>
                </c:pt>
                <c:pt idx="16">
                  <c:v>0.41976968178952201</c:v>
                </c:pt>
                <c:pt idx="17">
                  <c:v>0.35277931780959898</c:v>
                </c:pt>
                <c:pt idx="18">
                  <c:v>0.10675953723350901</c:v>
                </c:pt>
                <c:pt idx="19">
                  <c:v>-0.20777347571052601</c:v>
                </c:pt>
                <c:pt idx="20">
                  <c:v>-0.404961378510444</c:v>
                </c:pt>
                <c:pt idx="21">
                  <c:v>-0.33413087893999299</c:v>
                </c:pt>
                <c:pt idx="22">
                  <c:v>-1.43932313427543E-2</c:v>
                </c:pt>
                <c:pt idx="23">
                  <c:v>0.32402743090614</c:v>
                </c:pt>
                <c:pt idx="24">
                  <c:v>0.38608979421492001</c:v>
                </c:pt>
                <c:pt idx="25">
                  <c:v>8.5364037322919598E-2</c:v>
                </c:pt>
                <c:pt idx="26">
                  <c:v>-0.30580383718266102</c:v>
                </c:pt>
                <c:pt idx="27">
                  <c:v>-0.368802200971245</c:v>
                </c:pt>
                <c:pt idx="28">
                  <c:v>-4.2254070257013998E-3</c:v>
                </c:pt>
                <c:pt idx="29">
                  <c:v>0.36742358385385199</c:v>
                </c:pt>
                <c:pt idx="30">
                  <c:v>0.25750054705643999</c:v>
                </c:pt>
                <c:pt idx="31">
                  <c:v>-0.21068768111392</c:v>
                </c:pt>
                <c:pt idx="32">
                  <c:v>-0.36809657001289198</c:v>
                </c:pt>
                <c:pt idx="33">
                  <c:v>4.5700305006908401E-2</c:v>
                </c:pt>
                <c:pt idx="34">
                  <c:v>0.38218458444962899</c:v>
                </c:pt>
                <c:pt idx="35">
                  <c:v>6.1727046041043197E-2</c:v>
                </c:pt>
                <c:pt idx="36">
                  <c:v>-0.36574120582360797</c:v>
                </c:pt>
                <c:pt idx="37">
                  <c:v>-0.102285930172599</c:v>
                </c:pt>
                <c:pt idx="38">
                  <c:v>0.35699111610496398</c:v>
                </c:pt>
                <c:pt idx="39">
                  <c:v>8.1282370877993601E-2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19-4C79-A499-F1D2B2963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165311"/>
        <c:axId val="1618181727"/>
      </c:lineChart>
      <c:catAx>
        <c:axId val="7231653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181727"/>
        <c:crosses val="autoZero"/>
        <c:auto val="1"/>
        <c:lblAlgn val="ctr"/>
        <c:lblOffset val="100"/>
        <c:noMultiLvlLbl val="0"/>
      </c:catAx>
      <c:valAx>
        <c:axId val="161818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65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Muhler vs ML for varying</a:t>
            </a:r>
            <a:r>
              <a:rPr lang="en-GB" baseline="0"/>
              <a:t> end points (x_f = 0, lamda = 0)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Muhler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mehler_kernel_xi0_varying_xf_op!$E$2:$E$41</c:f>
              <c:numCache>
                <c:formatCode>General</c:formatCode>
                <c:ptCount val="4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</c:numCache>
            </c:numRef>
          </c:cat>
          <c:val>
            <c:numRef>
              <c:f>mehler_kernel_xi0_varying_xf_op!$G$2:$G$41</c:f>
              <c:numCache>
                <c:formatCode>General</c:formatCode>
                <c:ptCount val="40"/>
                <c:pt idx="0">
                  <c:v>-0.30779644049999999</c:v>
                </c:pt>
                <c:pt idx="1">
                  <c:v>-0.3015335603</c:v>
                </c:pt>
                <c:pt idx="2">
                  <c:v>-0.28203606170000001</c:v>
                </c:pt>
                <c:pt idx="3">
                  <c:v>-0.24733872740000001</c:v>
                </c:pt>
                <c:pt idx="4">
                  <c:v>-0.1947394482</c:v>
                </c:pt>
                <c:pt idx="5">
                  <c:v>-0.121765058</c:v>
                </c:pt>
                <c:pt idx="6">
                  <c:v>-2.7666485500000001E-2</c:v>
                </c:pt>
                <c:pt idx="7">
                  <c:v>8.4586309200000001E-2</c:v>
                </c:pt>
                <c:pt idx="8">
                  <c:v>0.20610648670000001</c:v>
                </c:pt>
                <c:pt idx="9">
                  <c:v>0.3204202894</c:v>
                </c:pt>
                <c:pt idx="10">
                  <c:v>0.4035674655</c:v>
                </c:pt>
                <c:pt idx="11">
                  <c:v>0.42753920579999999</c:v>
                </c:pt>
                <c:pt idx="12">
                  <c:v>0.36828220049999999</c:v>
                </c:pt>
                <c:pt idx="13">
                  <c:v>0.21793252439999999</c:v>
                </c:pt>
                <c:pt idx="14">
                  <c:v>-2.1026185999999999E-3</c:v>
                </c:pt>
                <c:pt idx="15">
                  <c:v>-0.23438888799999999</c:v>
                </c:pt>
                <c:pt idx="16">
                  <c:v>-0.39438872069999997</c:v>
                </c:pt>
                <c:pt idx="17">
                  <c:v>-0.40124498359999999</c:v>
                </c:pt>
                <c:pt idx="18">
                  <c:v>-0.22509890129999999</c:v>
                </c:pt>
                <c:pt idx="19">
                  <c:v>7.2157464700000007E-2</c:v>
                </c:pt>
                <c:pt idx="20">
                  <c:v>0.33874163369999999</c:v>
                </c:pt>
                <c:pt idx="21">
                  <c:v>0.40348106189999999</c:v>
                </c:pt>
                <c:pt idx="22">
                  <c:v>0.19647993010000001</c:v>
                </c:pt>
                <c:pt idx="23">
                  <c:v>-0.16025461790000001</c:v>
                </c:pt>
                <c:pt idx="24">
                  <c:v>-0.39562519680000002</c:v>
                </c:pt>
                <c:pt idx="25">
                  <c:v>-0.29265205500000002</c:v>
                </c:pt>
                <c:pt idx="26">
                  <c:v>8.4206006E-2</c:v>
                </c:pt>
                <c:pt idx="27">
                  <c:v>0.38108081700000002</c:v>
                </c:pt>
                <c:pt idx="28">
                  <c:v>0.27347175800000001</c:v>
                </c:pt>
                <c:pt idx="29">
                  <c:v>-0.1460855103</c:v>
                </c:pt>
                <c:pt idx="30">
                  <c:v>-0.39025160510000001</c:v>
                </c:pt>
                <c:pt idx="31">
                  <c:v>-0.1339002802</c:v>
                </c:pt>
                <c:pt idx="32">
                  <c:v>0.30383280810000002</c:v>
                </c:pt>
                <c:pt idx="33">
                  <c:v>0.30491810400000002</c:v>
                </c:pt>
                <c:pt idx="34">
                  <c:v>-0.1537039798</c:v>
                </c:pt>
                <c:pt idx="35">
                  <c:v>-0.36523671969999999</c:v>
                </c:pt>
                <c:pt idx="36">
                  <c:v>3.1901107999999997E-2</c:v>
                </c:pt>
                <c:pt idx="37">
                  <c:v>0.36876748590000002</c:v>
                </c:pt>
                <c:pt idx="38">
                  <c:v>3.1419194599999999E-2</c:v>
                </c:pt>
                <c:pt idx="39">
                  <c:v>-0.35989541429999999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1-456A-95A6-1706096252DE}"/>
            </c:ext>
          </c:extLst>
        </c:ser>
        <c:ser>
          <c:idx val="1"/>
          <c:order val="1"/>
          <c:tx>
            <c:v>ML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mehler_kernel_xi0_varying_xf_op!$E$2:$E$41</c:f>
              <c:numCache>
                <c:formatCode>General</c:formatCode>
                <c:ptCount val="4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</c:numCache>
            </c:numRef>
          </c:cat>
          <c:val>
            <c:numRef>
              <c:f>mehler_kernel_xi0_varying_xf_op!$Q$2:$Q$41</c:f>
              <c:numCache>
                <c:formatCode>General</c:formatCode>
                <c:ptCount val="40"/>
                <c:pt idx="0">
                  <c:v>-0.30750060973969401</c:v>
                </c:pt>
                <c:pt idx="1">
                  <c:v>-0.301145137021197</c:v>
                </c:pt>
                <c:pt idx="2">
                  <c:v>-0.28069076169186702</c:v>
                </c:pt>
                <c:pt idx="3">
                  <c:v>-0.244192789417537</c:v>
                </c:pt>
                <c:pt idx="4">
                  <c:v>-0.188732770587167</c:v>
                </c:pt>
                <c:pt idx="5">
                  <c:v>-0.111740182841117</c:v>
                </c:pt>
                <c:pt idx="6">
                  <c:v>-1.27243844610652E-2</c:v>
                </c:pt>
                <c:pt idx="7">
                  <c:v>0.104440677926396</c:v>
                </c:pt>
                <c:pt idx="8">
                  <c:v>0.22906313913992701</c:v>
                </c:pt>
                <c:pt idx="9">
                  <c:v>0.34196510935188601</c:v>
                </c:pt>
                <c:pt idx="10">
                  <c:v>0.41612620750870999</c:v>
                </c:pt>
                <c:pt idx="11">
                  <c:v>0.42151197926525302</c:v>
                </c:pt>
                <c:pt idx="12">
                  <c:v>0.33525532472590303</c:v>
                </c:pt>
                <c:pt idx="13">
                  <c:v>0.156152481952853</c:v>
                </c:pt>
                <c:pt idx="14">
                  <c:v>-8.1613835428858805E-2</c:v>
                </c:pt>
                <c:pt idx="15">
                  <c:v>-0.30502596903558998</c:v>
                </c:pt>
                <c:pt idx="16">
                  <c:v>-0.41976968178952201</c:v>
                </c:pt>
                <c:pt idx="17">
                  <c:v>-0.35277931780959898</c:v>
                </c:pt>
                <c:pt idx="18">
                  <c:v>-0.10675953723350901</c:v>
                </c:pt>
                <c:pt idx="19">
                  <c:v>0.20777347571052601</c:v>
                </c:pt>
                <c:pt idx="20">
                  <c:v>0.404961378510444</c:v>
                </c:pt>
                <c:pt idx="21">
                  <c:v>0.33413087893999299</c:v>
                </c:pt>
                <c:pt idx="22">
                  <c:v>1.43932313427543E-2</c:v>
                </c:pt>
                <c:pt idx="23">
                  <c:v>-0.32402743090614</c:v>
                </c:pt>
                <c:pt idx="24">
                  <c:v>-0.38608979421492001</c:v>
                </c:pt>
                <c:pt idx="25">
                  <c:v>-8.5364037322919598E-2</c:v>
                </c:pt>
                <c:pt idx="26">
                  <c:v>0.30580383718266102</c:v>
                </c:pt>
                <c:pt idx="27">
                  <c:v>0.368802200971245</c:v>
                </c:pt>
                <c:pt idx="28">
                  <c:v>4.2254070257013998E-3</c:v>
                </c:pt>
                <c:pt idx="29">
                  <c:v>-0.36742358385385199</c:v>
                </c:pt>
                <c:pt idx="30">
                  <c:v>-0.25750054705643999</c:v>
                </c:pt>
                <c:pt idx="31">
                  <c:v>0.21068768111392</c:v>
                </c:pt>
                <c:pt idx="32">
                  <c:v>0.36809657001289198</c:v>
                </c:pt>
                <c:pt idx="33">
                  <c:v>-4.5700305006908401E-2</c:v>
                </c:pt>
                <c:pt idx="34">
                  <c:v>-0.38218458444962899</c:v>
                </c:pt>
                <c:pt idx="35">
                  <c:v>-6.1727046041043197E-2</c:v>
                </c:pt>
                <c:pt idx="36">
                  <c:v>0.36574120582360797</c:v>
                </c:pt>
                <c:pt idx="37">
                  <c:v>0.102285930172599</c:v>
                </c:pt>
                <c:pt idx="38">
                  <c:v>-0.35699111610496398</c:v>
                </c:pt>
                <c:pt idx="39">
                  <c:v>-8.1282370877993601E-2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1-456A-95A6-170609625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170879"/>
        <c:axId val="720305087"/>
      </c:lineChart>
      <c:catAx>
        <c:axId val="723170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305087"/>
        <c:crosses val="autoZero"/>
        <c:auto val="1"/>
        <c:lblAlgn val="ctr"/>
        <c:lblOffset val="100"/>
        <c:noMultiLvlLbl val="0"/>
      </c:catAx>
      <c:valAx>
        <c:axId val="72030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7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Muhler vs ML for varying</a:t>
            </a:r>
            <a:r>
              <a:rPr lang="en-GB" baseline="0"/>
              <a:t> end points (x_f = 0, lamda = 0)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Muhler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mehler_kernel_xi0_varying_xf_op!$E$2:$E$41</c:f>
              <c:numCache>
                <c:formatCode>General</c:formatCode>
                <c:ptCount val="4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</c:numCache>
            </c:numRef>
          </c:cat>
          <c:val>
            <c:numRef>
              <c:f>mehler_kernel_xi0_varying_xf_op!$G$2:$G$41</c:f>
              <c:numCache>
                <c:formatCode>General</c:formatCode>
                <c:ptCount val="40"/>
                <c:pt idx="0">
                  <c:v>-0.30779644049999999</c:v>
                </c:pt>
                <c:pt idx="1">
                  <c:v>-0.3015335603</c:v>
                </c:pt>
                <c:pt idx="2">
                  <c:v>-0.28203606170000001</c:v>
                </c:pt>
                <c:pt idx="3">
                  <c:v>-0.24733872740000001</c:v>
                </c:pt>
                <c:pt idx="4">
                  <c:v>-0.1947394482</c:v>
                </c:pt>
                <c:pt idx="5">
                  <c:v>-0.121765058</c:v>
                </c:pt>
                <c:pt idx="6">
                  <c:v>-2.7666485500000001E-2</c:v>
                </c:pt>
                <c:pt idx="7">
                  <c:v>8.4586309200000001E-2</c:v>
                </c:pt>
                <c:pt idx="8">
                  <c:v>0.20610648670000001</c:v>
                </c:pt>
                <c:pt idx="9">
                  <c:v>0.3204202894</c:v>
                </c:pt>
                <c:pt idx="10">
                  <c:v>0.4035674655</c:v>
                </c:pt>
                <c:pt idx="11">
                  <c:v>0.42753920579999999</c:v>
                </c:pt>
                <c:pt idx="12">
                  <c:v>0.36828220049999999</c:v>
                </c:pt>
                <c:pt idx="13">
                  <c:v>0.21793252439999999</c:v>
                </c:pt>
                <c:pt idx="14">
                  <c:v>-2.1026185999999999E-3</c:v>
                </c:pt>
                <c:pt idx="15">
                  <c:v>-0.23438888799999999</c:v>
                </c:pt>
                <c:pt idx="16">
                  <c:v>-0.39438872069999997</c:v>
                </c:pt>
                <c:pt idx="17">
                  <c:v>-0.40124498359999999</c:v>
                </c:pt>
                <c:pt idx="18">
                  <c:v>-0.22509890129999999</c:v>
                </c:pt>
                <c:pt idx="19">
                  <c:v>7.2157464700000007E-2</c:v>
                </c:pt>
                <c:pt idx="20">
                  <c:v>0.33874163369999999</c:v>
                </c:pt>
                <c:pt idx="21">
                  <c:v>0.40348106189999999</c:v>
                </c:pt>
                <c:pt idx="22">
                  <c:v>0.19647993010000001</c:v>
                </c:pt>
                <c:pt idx="23">
                  <c:v>-0.16025461790000001</c:v>
                </c:pt>
                <c:pt idx="24">
                  <c:v>-0.39562519680000002</c:v>
                </c:pt>
                <c:pt idx="25">
                  <c:v>-0.29265205500000002</c:v>
                </c:pt>
                <c:pt idx="26">
                  <c:v>8.4206006E-2</c:v>
                </c:pt>
                <c:pt idx="27">
                  <c:v>0.38108081700000002</c:v>
                </c:pt>
                <c:pt idx="28">
                  <c:v>0.27347175800000001</c:v>
                </c:pt>
                <c:pt idx="29">
                  <c:v>-0.1460855103</c:v>
                </c:pt>
                <c:pt idx="30">
                  <c:v>-0.39025160510000001</c:v>
                </c:pt>
                <c:pt idx="31">
                  <c:v>-0.1339002802</c:v>
                </c:pt>
                <c:pt idx="32">
                  <c:v>0.30383280810000002</c:v>
                </c:pt>
                <c:pt idx="33">
                  <c:v>0.30491810400000002</c:v>
                </c:pt>
                <c:pt idx="34">
                  <c:v>-0.1537039798</c:v>
                </c:pt>
                <c:pt idx="35">
                  <c:v>-0.36523671969999999</c:v>
                </c:pt>
                <c:pt idx="36">
                  <c:v>3.1901107999999997E-2</c:v>
                </c:pt>
                <c:pt idx="37">
                  <c:v>0.36876748590000002</c:v>
                </c:pt>
                <c:pt idx="38">
                  <c:v>3.1419194599999999E-2</c:v>
                </c:pt>
                <c:pt idx="39">
                  <c:v>-0.35989541429999999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1D-4C88-8980-FB71C75B5A48}"/>
            </c:ext>
          </c:extLst>
        </c:ser>
        <c:ser>
          <c:idx val="1"/>
          <c:order val="1"/>
          <c:tx>
            <c:v>ML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mehler_kernel_xi0_varying_xf_op!$E$2:$E$41</c:f>
              <c:numCache>
                <c:formatCode>General</c:formatCode>
                <c:ptCount val="4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</c:numCache>
            </c:numRef>
          </c:cat>
          <c:val>
            <c:numRef>
              <c:f>mehler_kernel_xi0_varying_xf_op!$Q$2:$Q$41</c:f>
              <c:numCache>
                <c:formatCode>General</c:formatCode>
                <c:ptCount val="40"/>
                <c:pt idx="0">
                  <c:v>-0.30750060973969401</c:v>
                </c:pt>
                <c:pt idx="1">
                  <c:v>-0.301145137021197</c:v>
                </c:pt>
                <c:pt idx="2">
                  <c:v>-0.28069076169186702</c:v>
                </c:pt>
                <c:pt idx="3">
                  <c:v>-0.244192789417537</c:v>
                </c:pt>
                <c:pt idx="4">
                  <c:v>-0.188732770587167</c:v>
                </c:pt>
                <c:pt idx="5">
                  <c:v>-0.111740182841117</c:v>
                </c:pt>
                <c:pt idx="6">
                  <c:v>-1.27243844610652E-2</c:v>
                </c:pt>
                <c:pt idx="7">
                  <c:v>0.104440677926396</c:v>
                </c:pt>
                <c:pt idx="8">
                  <c:v>0.22906313913992701</c:v>
                </c:pt>
                <c:pt idx="9">
                  <c:v>0.34196510935188601</c:v>
                </c:pt>
                <c:pt idx="10">
                  <c:v>0.41612620750870999</c:v>
                </c:pt>
                <c:pt idx="11">
                  <c:v>0.42151197926525302</c:v>
                </c:pt>
                <c:pt idx="12">
                  <c:v>0.33525532472590303</c:v>
                </c:pt>
                <c:pt idx="13">
                  <c:v>0.156152481952853</c:v>
                </c:pt>
                <c:pt idx="14">
                  <c:v>-8.1613835428858805E-2</c:v>
                </c:pt>
                <c:pt idx="15">
                  <c:v>-0.30502596903558998</c:v>
                </c:pt>
                <c:pt idx="16">
                  <c:v>-0.41976968178952201</c:v>
                </c:pt>
                <c:pt idx="17">
                  <c:v>-0.35277931780959898</c:v>
                </c:pt>
                <c:pt idx="18">
                  <c:v>-0.10675953723350901</c:v>
                </c:pt>
                <c:pt idx="19">
                  <c:v>0.20777347571052601</c:v>
                </c:pt>
                <c:pt idx="20">
                  <c:v>0.404961378510444</c:v>
                </c:pt>
                <c:pt idx="21">
                  <c:v>0.33413087893999299</c:v>
                </c:pt>
                <c:pt idx="22">
                  <c:v>1.43932313427543E-2</c:v>
                </c:pt>
                <c:pt idx="23">
                  <c:v>-0.32402743090614</c:v>
                </c:pt>
                <c:pt idx="24">
                  <c:v>-0.38608979421492001</c:v>
                </c:pt>
                <c:pt idx="25">
                  <c:v>-8.5364037322919598E-2</c:v>
                </c:pt>
                <c:pt idx="26">
                  <c:v>0.30580383718266102</c:v>
                </c:pt>
                <c:pt idx="27">
                  <c:v>0.368802200971245</c:v>
                </c:pt>
                <c:pt idx="28">
                  <c:v>4.2254070257013998E-3</c:v>
                </c:pt>
                <c:pt idx="29">
                  <c:v>-0.36742358385385199</c:v>
                </c:pt>
                <c:pt idx="30">
                  <c:v>-0.25750054705643999</c:v>
                </c:pt>
                <c:pt idx="31">
                  <c:v>0.21068768111392</c:v>
                </c:pt>
                <c:pt idx="32">
                  <c:v>0.36809657001289198</c:v>
                </c:pt>
                <c:pt idx="33">
                  <c:v>-4.5700305006908401E-2</c:v>
                </c:pt>
                <c:pt idx="34">
                  <c:v>-0.38218458444962899</c:v>
                </c:pt>
                <c:pt idx="35">
                  <c:v>-6.1727046041043197E-2</c:v>
                </c:pt>
                <c:pt idx="36">
                  <c:v>0.36574120582360797</c:v>
                </c:pt>
                <c:pt idx="37">
                  <c:v>0.102285930172599</c:v>
                </c:pt>
                <c:pt idx="38">
                  <c:v>-0.35699111610496398</c:v>
                </c:pt>
                <c:pt idx="39">
                  <c:v>-8.1282370877993601E-2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1D-4C88-8980-FB71C75B5A48}"/>
            </c:ext>
          </c:extLst>
        </c:ser>
        <c:ser>
          <c:idx val="2"/>
          <c:order val="2"/>
          <c:tx>
            <c:v>0.001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mehler_kernel_xi0_varying_xf_op!$K$2:$K$25</c:f>
              <c:numCache>
                <c:formatCode>General</c:formatCode>
                <c:ptCount val="24"/>
                <c:pt idx="0">
                  <c:v>-0.30723201887045898</c:v>
                </c:pt>
                <c:pt idx="1">
                  <c:v>-0.30076009253115499</c:v>
                </c:pt>
                <c:pt idx="2">
                  <c:v>-0.25913568438449502</c:v>
                </c:pt>
                <c:pt idx="3">
                  <c:v>-0.24105629936856501</c:v>
                </c:pt>
                <c:pt idx="4">
                  <c:v>-0.25759517895649697</c:v>
                </c:pt>
                <c:pt idx="5">
                  <c:v>-0.109996520773187</c:v>
                </c:pt>
                <c:pt idx="6">
                  <c:v>-1.24430127780668E-2</c:v>
                </c:pt>
                <c:pt idx="7">
                  <c:v>0.105612632607071</c:v>
                </c:pt>
                <c:pt idx="8">
                  <c:v>0.23089657653949699</c:v>
                </c:pt>
                <c:pt idx="9">
                  <c:v>0.36453813843897298</c:v>
                </c:pt>
                <c:pt idx="10">
                  <c:v>0.42094847244348599</c:v>
                </c:pt>
                <c:pt idx="11">
                  <c:v>0.42524499533589499</c:v>
                </c:pt>
                <c:pt idx="12">
                  <c:v>0.339916575720484</c:v>
                </c:pt>
                <c:pt idx="13">
                  <c:v>0.158515690844476</c:v>
                </c:pt>
                <c:pt idx="14">
                  <c:v>8.1613835428858805E-2</c:v>
                </c:pt>
                <c:pt idx="15">
                  <c:v>-0.31288128786402097</c:v>
                </c:pt>
                <c:pt idx="16">
                  <c:v>-0.43229662445834599</c:v>
                </c:pt>
                <c:pt idx="17">
                  <c:v>-0.36260337920802399</c:v>
                </c:pt>
                <c:pt idx="18">
                  <c:v>0.33513050735565297</c:v>
                </c:pt>
                <c:pt idx="19">
                  <c:v>0.75669127149900695</c:v>
                </c:pt>
                <c:pt idx="20">
                  <c:v>0.42063658365697598</c:v>
                </c:pt>
                <c:pt idx="21">
                  <c:v>0.34901680185230399</c:v>
                </c:pt>
                <c:pt idx="22">
                  <c:v>6.0115151052851298E-2</c:v>
                </c:pt>
                <c:pt idx="23">
                  <c:v>-0.34156600375720803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1D-4C88-8980-FB71C75B5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170879"/>
        <c:axId val="720305087"/>
      </c:lineChart>
      <c:catAx>
        <c:axId val="723170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305087"/>
        <c:crosses val="autoZero"/>
        <c:auto val="1"/>
        <c:lblAlgn val="ctr"/>
        <c:lblOffset val="100"/>
        <c:noMultiLvlLbl val="0"/>
      </c:catAx>
      <c:valAx>
        <c:axId val="72030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7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Omega_1_WarmML_vs_Pet!$J$3:$J$20</c:f>
              <c:numCache>
                <c:formatCode>General</c:formatCode>
                <c:ptCount val="18"/>
                <c:pt idx="0">
                  <c:v>0.30752200000000002</c:v>
                </c:pt>
                <c:pt idx="1">
                  <c:v>0.30743199999999998</c:v>
                </c:pt>
                <c:pt idx="2">
                  <c:v>0.30707400000000001</c:v>
                </c:pt>
                <c:pt idx="3">
                  <c:v>0.30662600000000001</c:v>
                </c:pt>
                <c:pt idx="4">
                  <c:v>0.30617800000000001</c:v>
                </c:pt>
                <c:pt idx="5">
                  <c:v>0.30573099999999998</c:v>
                </c:pt>
                <c:pt idx="6">
                  <c:v>0.30483500000000002</c:v>
                </c:pt>
                <c:pt idx="7">
                  <c:v>0.30393999999999999</c:v>
                </c:pt>
                <c:pt idx="8">
                  <c:v>0.30304500000000001</c:v>
                </c:pt>
                <c:pt idx="9">
                  <c:v>0.302149</c:v>
                </c:pt>
                <c:pt idx="10">
                  <c:v>0.30035800000000001</c:v>
                </c:pt>
                <c:pt idx="11">
                  <c:v>0.298568</c:v>
                </c:pt>
                <c:pt idx="12">
                  <c:v>0.29409099999999999</c:v>
                </c:pt>
                <c:pt idx="13">
                  <c:v>0.28961399999999998</c:v>
                </c:pt>
                <c:pt idx="14">
                  <c:v>0.28066000000000002</c:v>
                </c:pt>
                <c:pt idx="15">
                  <c:v>0.271706</c:v>
                </c:pt>
                <c:pt idx="16">
                  <c:v>0.253799</c:v>
                </c:pt>
                <c:pt idx="17">
                  <c:v>0.23589099999999999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07-4424-AB61-5F2B718468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07-4424-AB61-5F2B71846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84208"/>
        <c:axId val="1300497168"/>
      </c:lineChart>
      <c:catAx>
        <c:axId val="1300484208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7168"/>
        <c:crosses val="autoZero"/>
        <c:auto val="1"/>
        <c:lblAlgn val="ctr"/>
        <c:lblOffset val="100"/>
        <c:noMultiLvlLbl val="0"/>
      </c:catAx>
      <c:valAx>
        <c:axId val="1300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Omega_1_WarmML_vs_Pet!$K$3:$K$20</c:f>
              <c:numCache>
                <c:formatCode>General</c:formatCode>
                <c:ptCount val="18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  <c:pt idx="9">
                  <c:v>-0.31289400000000001</c:v>
                </c:pt>
                <c:pt idx="10">
                  <c:v>-0.31468499999999999</c:v>
                </c:pt>
                <c:pt idx="11">
                  <c:v>-0.31647500000000001</c:v>
                </c:pt>
                <c:pt idx="12">
                  <c:v>-0.32095200000000002</c:v>
                </c:pt>
                <c:pt idx="13">
                  <c:v>-0.32542900000000002</c:v>
                </c:pt>
                <c:pt idx="14">
                  <c:v>-0.33438299999999999</c:v>
                </c:pt>
                <c:pt idx="15">
                  <c:v>-0.343337</c:v>
                </c:pt>
                <c:pt idx="16">
                  <c:v>-0.36124400000000001</c:v>
                </c:pt>
                <c:pt idx="17">
                  <c:v>-0.37915199999999999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3A-4954-A1D3-E2352561A1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A-4954-A1D3-E2352561A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90448"/>
        <c:axId val="1300484688"/>
      </c:lineChart>
      <c:catAx>
        <c:axId val="130049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688"/>
        <c:crosses val="autoZero"/>
        <c:auto val="1"/>
        <c:lblAlgn val="ctr"/>
        <c:lblOffset val="100"/>
        <c:noMultiLvlLbl val="0"/>
      </c:catAx>
      <c:valAx>
        <c:axId val="130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Omega_1_WarmML_vs_Pet!$K$3:$K$11</c:f>
              <c:numCache>
                <c:formatCode>General</c:formatCode>
                <c:ptCount val="9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7-4F9B-9910-EB19FC76452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Omega_1_WarmML_vs_Pet!$P$3:$P$11</c:f>
              <c:numCache>
                <c:formatCode>General</c:formatCode>
                <c:ptCount val="9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7-4F9B-9910-EB19FC764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4745920"/>
        <c:axId val="2094754080"/>
      </c:lineChart>
      <c:catAx>
        <c:axId val="209474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54080"/>
        <c:crosses val="autoZero"/>
        <c:auto val="1"/>
        <c:lblAlgn val="ctr"/>
        <c:lblOffset val="100"/>
        <c:noMultiLvlLbl val="0"/>
      </c:catAx>
      <c:valAx>
        <c:axId val="20947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4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9-47BF-86BC-D9794E7E9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99648"/>
        <c:axId val="1762504928"/>
      </c:scatterChart>
      <c:valAx>
        <c:axId val="17624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504928"/>
        <c:crosses val="autoZero"/>
        <c:crossBetween val="midCat"/>
      </c:valAx>
      <c:valAx>
        <c:axId val="17625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49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30-4D2D-A05F-DD7923C0D687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30-4D2D-A05F-DD7923C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Omega_1_WarmML_vs_Pet!$Z$3:$Z$20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2E-41F8-9487-819B6561575A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Omega_1_WarmML_vs_Pet!$AD$3:$AD$20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-0.30743196968875203</c:v>
                </c:pt>
                <c:pt idx="2">
                  <c:v>-0.30707381753111401</c:v>
                </c:pt>
                <c:pt idx="3">
                  <c:v>-0.30662612733406602</c:v>
                </c:pt>
                <c:pt idx="4">
                  <c:v>-0.30617843713701898</c:v>
                </c:pt>
                <c:pt idx="5">
                  <c:v>-0.30573074693997099</c:v>
                </c:pt>
                <c:pt idx="6">
                  <c:v>-0.30483536654587601</c:v>
                </c:pt>
                <c:pt idx="7">
                  <c:v>-0.30393998615178103</c:v>
                </c:pt>
                <c:pt idx="8">
                  <c:v>-0.30304460575768599</c:v>
                </c:pt>
                <c:pt idx="9">
                  <c:v>-0.30214922536359101</c:v>
                </c:pt>
                <c:pt idx="10">
                  <c:v>-0.300358464575401</c:v>
                </c:pt>
                <c:pt idx="11">
                  <c:v>-0.29856770378721098</c:v>
                </c:pt>
                <c:pt idx="12">
                  <c:v>-0.29409080181673503</c:v>
                </c:pt>
                <c:pt idx="13">
                  <c:v>-0.28961389984626001</c:v>
                </c:pt>
                <c:pt idx="14">
                  <c:v>-0.28066009590530899</c:v>
                </c:pt>
                <c:pt idx="15">
                  <c:v>-0.27170629196435803</c:v>
                </c:pt>
                <c:pt idx="16">
                  <c:v>-0.25379868408245698</c:v>
                </c:pt>
                <c:pt idx="17">
                  <c:v>-0.23589107620055499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2E-41F8-9487-819B65615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4-4F4D-A495-6C4DF028651F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04-4F4D-A495-6C4DF0286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Imag and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C-4FB5-94C0-1B76FC769B1D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1C-4FB5-94C0-1B76FC769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Omega_1_WarmML_vs_Pet!$M$3:$M$20</c:f>
              <c:numCache>
                <c:formatCode>General</c:formatCode>
                <c:ptCount val="18"/>
                <c:pt idx="0">
                  <c:v>0.30723035489404599</c:v>
                </c:pt>
                <c:pt idx="1">
                  <c:v>0.30725756436426899</c:v>
                </c:pt>
                <c:pt idx="2">
                  <c:v>0.307613868204829</c:v>
                </c:pt>
                <c:pt idx="3">
                  <c:v>0.30804542261731299</c:v>
                </c:pt>
                <c:pt idx="4">
                  <c:v>0.30853143976571901</c:v>
                </c:pt>
                <c:pt idx="5">
                  <c:v>0.30905199894930602</c:v>
                </c:pt>
                <c:pt idx="6">
                  <c:v>0.311482275189575</c:v>
                </c:pt>
                <c:pt idx="7">
                  <c:v>0.31148376854967003</c:v>
                </c:pt>
                <c:pt idx="8">
                  <c:v>0.31170765216752699</c:v>
                </c:pt>
                <c:pt idx="9">
                  <c:v>0.312276772247356</c:v>
                </c:pt>
                <c:pt idx="10">
                  <c:v>0.313795350831924</c:v>
                </c:pt>
                <c:pt idx="11">
                  <c:v>0.31527619191501899</c:v>
                </c:pt>
                <c:pt idx="12">
                  <c:v>0.318673821212129</c:v>
                </c:pt>
                <c:pt idx="13">
                  <c:v>0.321627280921431</c:v>
                </c:pt>
                <c:pt idx="14">
                  <c:v>0.32636310144563702</c:v>
                </c:pt>
                <c:pt idx="15">
                  <c:v>0.32980667405303099</c:v>
                </c:pt>
                <c:pt idx="16">
                  <c:v>0.33388331280074701</c:v>
                </c:pt>
                <c:pt idx="17">
                  <c:v>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96-4A7E-B9B1-A23C46B37B3C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96-4A7E-B9B1-A23C46B3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Imag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Omega_1_WarmML_vs_Pet!$N$3:$N$20</c:f>
              <c:numCache>
                <c:formatCode>General</c:formatCode>
                <c:ptCount val="18"/>
                <c:pt idx="0">
                  <c:v>-0.30762339897489099</c:v>
                </c:pt>
                <c:pt idx="1">
                  <c:v>-0.30760192204916398</c:v>
                </c:pt>
                <c:pt idx="2">
                  <c:v>-0.30724679841967401</c:v>
                </c:pt>
                <c:pt idx="3">
                  <c:v>-0.30680187585665802</c:v>
                </c:pt>
                <c:pt idx="4">
                  <c:v>-0.30631610665828601</c:v>
                </c:pt>
                <c:pt idx="5">
                  <c:v>-0.30577705458875598</c:v>
                </c:pt>
                <c:pt idx="6">
                  <c:v>-0.304049744640286</c:v>
                </c:pt>
                <c:pt idx="7">
                  <c:v>-0.30367082962349401</c:v>
                </c:pt>
                <c:pt idx="8">
                  <c:v>-0.30299646828716797</c:v>
                </c:pt>
                <c:pt idx="9">
                  <c:v>-0.302112874093313</c:v>
                </c:pt>
                <c:pt idx="10">
                  <c:v>-0.30016473444527803</c:v>
                </c:pt>
                <c:pt idx="11">
                  <c:v>-0.29817092899876102</c:v>
                </c:pt>
                <c:pt idx="12">
                  <c:v>-0.29309597542305099</c:v>
                </c:pt>
                <c:pt idx="13">
                  <c:v>-0.28794706126599501</c:v>
                </c:pt>
                <c:pt idx="14">
                  <c:v>-0.277650885060505</c:v>
                </c:pt>
                <c:pt idx="15">
                  <c:v>-0.26763171227766103</c:v>
                </c:pt>
                <c:pt idx="16">
                  <c:v>-0.248951900502555</c:v>
                </c:pt>
                <c:pt idx="17">
                  <c:v>-0.23218318423637799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0E-4133-AC3F-32D9DF18B860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Omega_1_WarmML_vs_Pet!$Z$3:$Z$20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0E-4133-AC3F-32D9DF18B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Sheet4!$D$5:$D$11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0.42971599999999999</c:v>
                </c:pt>
                <c:pt idx="5">
                  <c:v>0.434255</c:v>
                </c:pt>
                <c:pt idx="6">
                  <c:v>0.44106499999999998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B-470E-8E22-15C102A8868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Sheet4!$F$5:$F$11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 formatCode="0.00E+00">
                  <c:v>0.433744546607023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7B-470E-8E22-15C102A8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3599152"/>
        <c:axId val="833598192"/>
      </c:lineChart>
      <c:catAx>
        <c:axId val="83359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8192"/>
        <c:crosses val="autoZero"/>
        <c:auto val="1"/>
        <c:lblAlgn val="ctr"/>
        <c:lblOffset val="100"/>
        <c:noMultiLvlLbl val="0"/>
      </c:catAx>
      <c:valAx>
        <c:axId val="83359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2warm'!$BO$4:$BO$21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6-4D7F-A3FC-3469D295BDB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2warm'!$BU$4:$BU$21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06-4D7F-A3FC-3469D295BDBB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06-4D7F-A3FC-3469D295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F-477E-981B-A8EE390EB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2warm'!$BL$25:$BL$42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C-4670-8E5D-F4BB895918B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2warm'!$BR$25:$BR$42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C-4670-8E5D-F4BB89591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2warm'!$AY$3</c:f>
              <c:strCache>
                <c:ptCount val="1"/>
                <c:pt idx="0">
                  <c:v>K_real Okopińska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2warm'!$AY$4:$AY$8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59-42B4-B83E-17C6F1AA12E9}"/>
            </c:ext>
          </c:extLst>
        </c:ser>
        <c:ser>
          <c:idx val="1"/>
          <c:order val="1"/>
          <c:tx>
            <c:strRef>
              <c:f>'Omega is 2warm'!$BH$3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2warm'!$BH$4:$BH$8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59-42B4-B83E-17C6F1AA12E9}"/>
            </c:ext>
          </c:extLst>
        </c:ser>
        <c:ser>
          <c:idx val="2"/>
          <c:order val="2"/>
          <c:tx>
            <c:strRef>
              <c:f>'Omega is 2warm'!$BS$3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2warm'!$BS$4:$BS$8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59-42B4-B83E-17C6F1AA1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2'!$AC$4:$AC$21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D-4847-887B-1C09F578877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2'!$AI$4:$AI$21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D-4847-887B-1C09F5788778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D-4847-887B-1C09F5788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7-4011-B07A-E70369F45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2'!$Z$25:$Z$42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7-4023-AB7F-E3AE1B8389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2'!$AF$25:$AF$42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7-4023-AB7F-E3AE1B83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2'!$S$3</c:f>
              <c:strCache>
                <c:ptCount val="1"/>
                <c:pt idx="0">
                  <c:v>K_real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2'!$S$4:$S$8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0-4C19-8B0F-FC956A116B48}"/>
            </c:ext>
          </c:extLst>
        </c:ser>
        <c:ser>
          <c:idx val="1"/>
          <c:order val="1"/>
          <c:tx>
            <c:strRef>
              <c:f>'Omega is 2'!$V$3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2'!$V$4:$V$8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0-4C19-8B0F-FC956A116B48}"/>
            </c:ext>
          </c:extLst>
        </c:ser>
        <c:ser>
          <c:idx val="2"/>
          <c:order val="2"/>
          <c:tx>
            <c:strRef>
              <c:f>'Omega is 2'!$AG$3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2'!$AG$4:$AG$8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0-4C19-8B0F-FC956A116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Epsilon'!$J$3:$J$20</c:f>
              <c:numCache>
                <c:formatCode>General</c:formatCode>
                <c:ptCount val="18"/>
                <c:pt idx="0">
                  <c:v>0.30752200000000002</c:v>
                </c:pt>
                <c:pt idx="1">
                  <c:v>0.30743199999999998</c:v>
                </c:pt>
                <c:pt idx="2">
                  <c:v>0.30707400000000001</c:v>
                </c:pt>
                <c:pt idx="3">
                  <c:v>0.30662600000000001</c:v>
                </c:pt>
                <c:pt idx="4">
                  <c:v>0.30617800000000001</c:v>
                </c:pt>
                <c:pt idx="5">
                  <c:v>0.30573099999999998</c:v>
                </c:pt>
                <c:pt idx="6">
                  <c:v>0.30483500000000002</c:v>
                </c:pt>
                <c:pt idx="7">
                  <c:v>0.30393999999999999</c:v>
                </c:pt>
                <c:pt idx="8">
                  <c:v>0.30304500000000001</c:v>
                </c:pt>
                <c:pt idx="9">
                  <c:v>0.302149</c:v>
                </c:pt>
                <c:pt idx="10">
                  <c:v>0.30035800000000001</c:v>
                </c:pt>
                <c:pt idx="11">
                  <c:v>0.298568</c:v>
                </c:pt>
                <c:pt idx="12">
                  <c:v>0.29409099999999999</c:v>
                </c:pt>
                <c:pt idx="13">
                  <c:v>0.28961399999999998</c:v>
                </c:pt>
                <c:pt idx="14">
                  <c:v>0.28066000000000002</c:v>
                </c:pt>
                <c:pt idx="15">
                  <c:v>0.271706</c:v>
                </c:pt>
                <c:pt idx="16">
                  <c:v>0.253799</c:v>
                </c:pt>
                <c:pt idx="17">
                  <c:v>0.23589099999999999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C-4442-841D-D7F0A202D60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C-4442-841D-D7F0A202D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84208"/>
        <c:axId val="1300497168"/>
      </c:lineChart>
      <c:catAx>
        <c:axId val="1300484208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7168"/>
        <c:crosses val="autoZero"/>
        <c:auto val="1"/>
        <c:lblAlgn val="ctr"/>
        <c:lblOffset val="100"/>
        <c:noMultiLvlLbl val="0"/>
      </c:catAx>
      <c:valAx>
        <c:axId val="1300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Epsilon'!$K$3:$K$20</c:f>
              <c:numCache>
                <c:formatCode>General</c:formatCode>
                <c:ptCount val="18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  <c:pt idx="9">
                  <c:v>-0.31289400000000001</c:v>
                </c:pt>
                <c:pt idx="10">
                  <c:v>-0.31468499999999999</c:v>
                </c:pt>
                <c:pt idx="11">
                  <c:v>-0.31647500000000001</c:v>
                </c:pt>
                <c:pt idx="12">
                  <c:v>-0.32095200000000002</c:v>
                </c:pt>
                <c:pt idx="13">
                  <c:v>-0.32542900000000002</c:v>
                </c:pt>
                <c:pt idx="14">
                  <c:v>-0.33438299999999999</c:v>
                </c:pt>
                <c:pt idx="15">
                  <c:v>-0.343337</c:v>
                </c:pt>
                <c:pt idx="16">
                  <c:v>-0.36124400000000001</c:v>
                </c:pt>
                <c:pt idx="17">
                  <c:v>-0.37915199999999999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F-4BF0-B1EA-5027351637F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F-4BF0-B1EA-502735163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90448"/>
        <c:axId val="1300484688"/>
      </c:lineChart>
      <c:catAx>
        <c:axId val="130049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688"/>
        <c:crosses val="autoZero"/>
        <c:auto val="1"/>
        <c:lblAlgn val="ctr"/>
        <c:lblOffset val="100"/>
        <c:noMultiLvlLbl val="0"/>
      </c:catAx>
      <c:valAx>
        <c:axId val="130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'Omega_1_WarmML_vs_Pet Epsilon'!$K$3:$K$11</c:f>
              <c:numCache>
                <c:formatCode>General</c:formatCode>
                <c:ptCount val="9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B-40DC-A9CC-82A5AECFC8A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'Omega_1_WarmML_vs_Pet Epsilon'!$P$3:$P$11</c:f>
              <c:numCache>
                <c:formatCode>General</c:formatCode>
                <c:ptCount val="9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9B-40DC-A9CC-82A5AECFC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4745920"/>
        <c:axId val="2094754080"/>
      </c:lineChart>
      <c:catAx>
        <c:axId val="209474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54080"/>
        <c:crosses val="autoZero"/>
        <c:auto val="1"/>
        <c:lblAlgn val="ctr"/>
        <c:lblOffset val="100"/>
        <c:noMultiLvlLbl val="0"/>
      </c:catAx>
      <c:valAx>
        <c:axId val="20947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4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8-48FF-A5DC-08D747E81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99648"/>
        <c:axId val="1762504928"/>
      </c:scatterChart>
      <c:valAx>
        <c:axId val="17624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504928"/>
        <c:crosses val="autoZero"/>
        <c:crossBetween val="midCat"/>
      </c:valAx>
      <c:valAx>
        <c:axId val="17625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49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1C-4EF2-B610-07BC78FE348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1C-4EF2-B610-07BC78FE3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Epsilon'!$W$3:$W$20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53-4A3C-B82C-84D17EBE3BF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Epsilon'!$AA$3:$AA$20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-0.30743196968875203</c:v>
                </c:pt>
                <c:pt idx="2">
                  <c:v>-0.30707381753111401</c:v>
                </c:pt>
                <c:pt idx="3">
                  <c:v>-0.30662612733406602</c:v>
                </c:pt>
                <c:pt idx="4">
                  <c:v>-0.30617843713701898</c:v>
                </c:pt>
                <c:pt idx="5">
                  <c:v>-0.30573074693997099</c:v>
                </c:pt>
                <c:pt idx="6">
                  <c:v>-0.30483536654587601</c:v>
                </c:pt>
                <c:pt idx="7">
                  <c:v>-0.30393998615178103</c:v>
                </c:pt>
                <c:pt idx="8">
                  <c:v>-0.30304460575768599</c:v>
                </c:pt>
                <c:pt idx="9">
                  <c:v>-0.30214922536359101</c:v>
                </c:pt>
                <c:pt idx="10">
                  <c:v>-0.300358464575401</c:v>
                </c:pt>
                <c:pt idx="11">
                  <c:v>-0.29856770378721098</c:v>
                </c:pt>
                <c:pt idx="12">
                  <c:v>-0.29409080181673503</c:v>
                </c:pt>
                <c:pt idx="13">
                  <c:v>-0.28961389984626001</c:v>
                </c:pt>
                <c:pt idx="14">
                  <c:v>-0.28066009590530899</c:v>
                </c:pt>
                <c:pt idx="15">
                  <c:v>-0.27170629196435803</c:v>
                </c:pt>
                <c:pt idx="16">
                  <c:v>-0.25379868408245698</c:v>
                </c:pt>
                <c:pt idx="17">
                  <c:v>-0.23589107620055499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53-4A3C-B82C-84D17EBE3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C2-4025-BDDE-67ABC5FCF596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C2-4025-BDDE-67ABC5FCF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Imag and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B-4237-A7AA-FFD8A0ED1A8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B-4237-A7AA-FFD8A0ED1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Epsilon'!$M$3:$M$20</c:f>
              <c:numCache>
                <c:formatCode>General</c:formatCode>
                <c:ptCount val="18"/>
                <c:pt idx="0">
                  <c:v>0.30723035489404599</c:v>
                </c:pt>
                <c:pt idx="1">
                  <c:v>0.30725756436426899</c:v>
                </c:pt>
                <c:pt idx="2">
                  <c:v>0.307613868204829</c:v>
                </c:pt>
                <c:pt idx="3">
                  <c:v>0.30804542261731299</c:v>
                </c:pt>
                <c:pt idx="4">
                  <c:v>0.30853143976571901</c:v>
                </c:pt>
                <c:pt idx="5">
                  <c:v>0.30905199894930602</c:v>
                </c:pt>
                <c:pt idx="6">
                  <c:v>0.311482275189575</c:v>
                </c:pt>
                <c:pt idx="7">
                  <c:v>0.31148376854967003</c:v>
                </c:pt>
                <c:pt idx="8">
                  <c:v>0.31170765216752699</c:v>
                </c:pt>
                <c:pt idx="9">
                  <c:v>0.312276772247356</c:v>
                </c:pt>
                <c:pt idx="10">
                  <c:v>0.313795350831924</c:v>
                </c:pt>
                <c:pt idx="11">
                  <c:v>0.31527619191501899</c:v>
                </c:pt>
                <c:pt idx="12">
                  <c:v>0.318673821212129</c:v>
                </c:pt>
                <c:pt idx="13">
                  <c:v>0.321627280921431</c:v>
                </c:pt>
                <c:pt idx="14">
                  <c:v>0.32636310144563702</c:v>
                </c:pt>
                <c:pt idx="15">
                  <c:v>0.32980667405303099</c:v>
                </c:pt>
                <c:pt idx="16">
                  <c:v>0.33388331280074701</c:v>
                </c:pt>
                <c:pt idx="17">
                  <c:v>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7-4600-B79E-6456D89F4C6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67-4600-B79E-6456D89F4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Imag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Epsilon'!$N$3:$N$20</c:f>
              <c:numCache>
                <c:formatCode>General</c:formatCode>
                <c:ptCount val="18"/>
                <c:pt idx="0">
                  <c:v>-0.30762339897489099</c:v>
                </c:pt>
                <c:pt idx="1">
                  <c:v>-0.30760192204916398</c:v>
                </c:pt>
                <c:pt idx="2">
                  <c:v>-0.30724679841967401</c:v>
                </c:pt>
                <c:pt idx="3">
                  <c:v>-0.30680187585665802</c:v>
                </c:pt>
                <c:pt idx="4">
                  <c:v>-0.30631610665828601</c:v>
                </c:pt>
                <c:pt idx="5">
                  <c:v>-0.30577705458875598</c:v>
                </c:pt>
                <c:pt idx="6">
                  <c:v>-0.304049744640286</c:v>
                </c:pt>
                <c:pt idx="7">
                  <c:v>-0.30367082962349401</c:v>
                </c:pt>
                <c:pt idx="8">
                  <c:v>-0.30299646828716797</c:v>
                </c:pt>
                <c:pt idx="9">
                  <c:v>-0.302112874093313</c:v>
                </c:pt>
                <c:pt idx="10">
                  <c:v>-0.30016473444527803</c:v>
                </c:pt>
                <c:pt idx="11">
                  <c:v>-0.29817092899876102</c:v>
                </c:pt>
                <c:pt idx="12">
                  <c:v>-0.29309597542305099</c:v>
                </c:pt>
                <c:pt idx="13">
                  <c:v>-0.28794706126599501</c:v>
                </c:pt>
                <c:pt idx="14">
                  <c:v>-0.277650885060505</c:v>
                </c:pt>
                <c:pt idx="15">
                  <c:v>-0.26763171227766103</c:v>
                </c:pt>
                <c:pt idx="16">
                  <c:v>-0.248951900502555</c:v>
                </c:pt>
                <c:pt idx="17">
                  <c:v>-0.23218318423637799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18-440A-B47C-ACC20E574F6E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Epsilon'!$W$3:$W$20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18-440A-B47C-ACC20E574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Sheet1!$B$4:$B$10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0E-4503-A7D4-21AD5795BFE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Sheet1!$C$4:$C$10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>
                  <c:v>0.43903701064051498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0E-4503-A7D4-21AD5795BFE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Sheet1!$F$4:$F$10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0.42971571055923502</c:v>
                </c:pt>
                <c:pt idx="5">
                  <c:v>0.434255324296282</c:v>
                </c:pt>
                <c:pt idx="6">
                  <c:v>0.44106474490185099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0E-4503-A7D4-21AD5795BFE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Sheet1!$I$4:$I$10</c:f>
              <c:numCache>
                <c:formatCode>0.000</c:formatCode>
                <c:ptCount val="7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0.56773347902228199</c:v>
                </c:pt>
                <c:pt idx="4">
                  <c:v>-0.35918754602071101</c:v>
                </c:pt>
                <c:pt idx="5">
                  <c:v>1.3532193644232</c:v>
                </c:pt>
                <c:pt idx="6">
                  <c:v>-0.75384195005925503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0E-4503-A7D4-21AD5795B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0236095"/>
        <c:axId val="1310234655"/>
      </c:lineChart>
      <c:catAx>
        <c:axId val="1310236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4655"/>
        <c:crosses val="autoZero"/>
        <c:auto val="1"/>
        <c:lblAlgn val="ctr"/>
        <c:lblOffset val="100"/>
        <c:noMultiLvlLbl val="0"/>
      </c:catAx>
      <c:valAx>
        <c:axId val="131023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image" Target="../media/image1.png"/><Relationship Id="rId9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183777</xdr:colOff>
      <xdr:row>32</xdr:row>
      <xdr:rowOff>90767</xdr:rowOff>
    </xdr:from>
    <xdr:to>
      <xdr:col>34</xdr:col>
      <xdr:colOff>492611</xdr:colOff>
      <xdr:row>47</xdr:row>
      <xdr:rowOff>90768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8A173E-5AA0-4F64-A622-72E1ECA38A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384586</xdr:colOff>
      <xdr:row>25</xdr:row>
      <xdr:rowOff>124385</xdr:rowOff>
    </xdr:from>
    <xdr:to>
      <xdr:col>40</xdr:col>
      <xdr:colOff>79786</xdr:colOff>
      <xdr:row>40</xdr:row>
      <xdr:rowOff>124385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F91DEF-290E-45DF-ACA6-4C29B2E86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363068</xdr:colOff>
      <xdr:row>28</xdr:row>
      <xdr:rowOff>17928</xdr:rowOff>
    </xdr:from>
    <xdr:to>
      <xdr:col>53</xdr:col>
      <xdr:colOff>35857</xdr:colOff>
      <xdr:row>58</xdr:row>
      <xdr:rowOff>89645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456E53-2274-0830-9B17-ABBCDE0AA5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457200</xdr:colOff>
      <xdr:row>46</xdr:row>
      <xdr:rowOff>92255</xdr:rowOff>
    </xdr:from>
    <xdr:to>
      <xdr:col>17</xdr:col>
      <xdr:colOff>259411</xdr:colOff>
      <xdr:row>55</xdr:row>
      <xdr:rowOff>66260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9812030-1C55-930B-77FC-1452FC721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7200" y="8752551"/>
          <a:ext cx="10519244" cy="1643779"/>
        </a:xfrm>
        <a:prstGeom prst="rect">
          <a:avLst/>
        </a:prstGeom>
      </xdr:spPr>
    </xdr:pic>
    <xdr:clientData/>
  </xdr:twoCellAnchor>
  <xdr:twoCellAnchor>
    <xdr:from>
      <xdr:col>30</xdr:col>
      <xdr:colOff>116541</xdr:colOff>
      <xdr:row>11</xdr:row>
      <xdr:rowOff>134471</xdr:rowOff>
    </xdr:from>
    <xdr:to>
      <xdr:col>37</xdr:col>
      <xdr:colOff>421341</xdr:colOff>
      <xdr:row>27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FBDB3A1-5651-44F6-B373-A5C82C93A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542364</xdr:colOff>
      <xdr:row>25</xdr:row>
      <xdr:rowOff>143435</xdr:rowOff>
    </xdr:from>
    <xdr:to>
      <xdr:col>36</xdr:col>
      <xdr:colOff>237564</xdr:colOff>
      <xdr:row>41</xdr:row>
      <xdr:rowOff>8965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BA8A858-A77D-12F0-F80D-E0F400E3B1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609599</xdr:colOff>
      <xdr:row>44</xdr:row>
      <xdr:rowOff>35860</xdr:rowOff>
    </xdr:from>
    <xdr:to>
      <xdr:col>37</xdr:col>
      <xdr:colOff>49305</xdr:colOff>
      <xdr:row>59</xdr:row>
      <xdr:rowOff>89648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9778ADA-587E-2759-5995-EC21F08E78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454179</xdr:colOff>
      <xdr:row>8</xdr:row>
      <xdr:rowOff>16446</xdr:rowOff>
    </xdr:from>
    <xdr:to>
      <xdr:col>33</xdr:col>
      <xdr:colOff>351085</xdr:colOff>
      <xdr:row>36</xdr:row>
      <xdr:rowOff>84500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4E3D3CB2-A68F-5BCD-C779-543D1678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152400</xdr:colOff>
      <xdr:row>9</xdr:row>
      <xdr:rowOff>160020</xdr:rowOff>
    </xdr:from>
    <xdr:to>
      <xdr:col>24</xdr:col>
      <xdr:colOff>594360</xdr:colOff>
      <xdr:row>36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5ED3BB8-2907-458F-A83D-69EB7104D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27</xdr:row>
      <xdr:rowOff>34290</xdr:rowOff>
    </xdr:from>
    <xdr:to>
      <xdr:col>38</xdr:col>
      <xdr:colOff>312420</xdr:colOff>
      <xdr:row>42</xdr:row>
      <xdr:rowOff>34290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2B068D8-5D64-6327-156D-204D67F43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42</xdr:row>
      <xdr:rowOff>57150</xdr:rowOff>
    </xdr:from>
    <xdr:to>
      <xdr:col>38</xdr:col>
      <xdr:colOff>335280</xdr:colOff>
      <xdr:row>53</xdr:row>
      <xdr:rowOff>83820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536413-671C-0232-28D2-B3EFAC2A72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29</xdr:row>
      <xdr:rowOff>148590</xdr:rowOff>
    </xdr:from>
    <xdr:to>
      <xdr:col>39</xdr:col>
      <xdr:colOff>76200</xdr:colOff>
      <xdr:row>44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222882-1D7C-E6E6-3E69-70501A333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23</xdr:row>
      <xdr:rowOff>11430</xdr:rowOff>
    </xdr:from>
    <xdr:to>
      <xdr:col>18</xdr:col>
      <xdr:colOff>342900</xdr:colOff>
      <xdr:row>38</xdr:row>
      <xdr:rowOff>11430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417B7B7-EC7A-9009-7DF2-9518421C8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175260</xdr:colOff>
      <xdr:row>24</xdr:row>
      <xdr:rowOff>68580</xdr:rowOff>
    </xdr:from>
    <xdr:to>
      <xdr:col>30</xdr:col>
      <xdr:colOff>480060</xdr:colOff>
      <xdr:row>39</xdr:row>
      <xdr:rowOff>68580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6246EC6-11D7-51EA-951D-806CD167A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182880</xdr:colOff>
      <xdr:row>24</xdr:row>
      <xdr:rowOff>76200</xdr:rowOff>
    </xdr:from>
    <xdr:to>
      <xdr:col>20</xdr:col>
      <xdr:colOff>487680</xdr:colOff>
      <xdr:row>39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CC087A9-3D06-46BF-9B1D-D9DBC1DE8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22</xdr:row>
      <xdr:rowOff>0</xdr:rowOff>
    </xdr:from>
    <xdr:to>
      <xdr:col>31</xdr:col>
      <xdr:colOff>45720</xdr:colOff>
      <xdr:row>37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70EFE1E-8B71-4449-A13C-AB5D9583A0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327660</xdr:colOff>
      <xdr:row>21</xdr:row>
      <xdr:rowOff>144780</xdr:rowOff>
    </xdr:from>
    <xdr:to>
      <xdr:col>32</xdr:col>
      <xdr:colOff>594360</xdr:colOff>
      <xdr:row>42</xdr:row>
      <xdr:rowOff>129540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7E9DB2B-E778-4B17-9234-A17F990B3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182880</xdr:colOff>
      <xdr:row>8</xdr:row>
      <xdr:rowOff>175260</xdr:rowOff>
    </xdr:from>
    <xdr:to>
      <xdr:col>31</xdr:col>
      <xdr:colOff>114300</xdr:colOff>
      <xdr:row>28</xdr:row>
      <xdr:rowOff>129540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FFA4FB2-AD23-41EF-A3C5-0CFD2FA45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38100</xdr:colOff>
      <xdr:row>15</xdr:row>
      <xdr:rowOff>15240</xdr:rowOff>
    </xdr:from>
    <xdr:to>
      <xdr:col>27</xdr:col>
      <xdr:colOff>579120</xdr:colOff>
      <xdr:row>34</xdr:row>
      <xdr:rowOff>152400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34DA224-6007-4BBD-9F46-484A085EB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1</xdr:row>
      <xdr:rowOff>133350</xdr:rowOff>
    </xdr:from>
    <xdr:to>
      <xdr:col>15</xdr:col>
      <xdr:colOff>129540</xdr:colOff>
      <xdr:row>16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C7CF4-FB46-E2C8-DECE-A9BBB5F50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403860</xdr:colOff>
      <xdr:row>19</xdr:row>
      <xdr:rowOff>68580</xdr:rowOff>
    </xdr:from>
    <xdr:to>
      <xdr:col>9</xdr:col>
      <xdr:colOff>500302</xdr:colOff>
      <xdr:row>23</xdr:row>
      <xdr:rowOff>127536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0C952E-D69F-E610-C010-0848864AA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2660" y="3550920"/>
          <a:ext cx="5704762" cy="7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997</xdr:colOff>
      <xdr:row>10</xdr:row>
      <xdr:rowOff>152399</xdr:rowOff>
    </xdr:from>
    <xdr:to>
      <xdr:col>83</xdr:col>
      <xdr:colOff>119270</xdr:colOff>
      <xdr:row>27</xdr:row>
      <xdr:rowOff>53008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001682-4E53-4DAC-B35F-35FA18F30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896840</xdr:colOff>
      <xdr:row>50</xdr:row>
      <xdr:rowOff>113802</xdr:rowOff>
    </xdr:from>
    <xdr:to>
      <xdr:col>72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ACBC61-1BD6-4DDC-B8D6-91EEAD20D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87464</xdr:colOff>
      <xdr:row>50</xdr:row>
      <xdr:rowOff>31970</xdr:rowOff>
    </xdr:from>
    <xdr:to>
      <xdr:col>76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768FEF-1062-4A62-BF3A-324B301E0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69</xdr:col>
      <xdr:colOff>178904</xdr:colOff>
      <xdr:row>18</xdr:row>
      <xdr:rowOff>79515</xdr:rowOff>
    </xdr:from>
    <xdr:to>
      <xdr:col>75</xdr:col>
      <xdr:colOff>510208</xdr:colOff>
      <xdr:row>35</xdr:row>
      <xdr:rowOff>69576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43A703-283E-4AD6-B9EB-B54C18519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444944</xdr:colOff>
      <xdr:row>9</xdr:row>
      <xdr:rowOff>106017</xdr:rowOff>
    </xdr:from>
    <xdr:to>
      <xdr:col>42</xdr:col>
      <xdr:colOff>53009</xdr:colOff>
      <xdr:row>19</xdr:row>
      <xdr:rowOff>78685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86C633-2B57-D724-1CA0-615842F8B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896840</xdr:colOff>
      <xdr:row>50</xdr:row>
      <xdr:rowOff>113802</xdr:rowOff>
    </xdr:from>
    <xdr:to>
      <xdr:col>34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A3424B-59DE-11B7-94FA-1DD17267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87464</xdr:colOff>
      <xdr:row>50</xdr:row>
      <xdr:rowOff>31970</xdr:rowOff>
    </xdr:from>
    <xdr:to>
      <xdr:col>38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384444-2261-634A-1D89-9C8B8F621F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86139</xdr:colOff>
      <xdr:row>1</xdr:row>
      <xdr:rowOff>112645</xdr:rowOff>
    </xdr:from>
    <xdr:to>
      <xdr:col>35</xdr:col>
      <xdr:colOff>417443</xdr:colOff>
      <xdr:row>18</xdr:row>
      <xdr:rowOff>96079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CB85FD6-BF79-B7A2-39AD-3BE12E9F50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27</xdr:row>
      <xdr:rowOff>34290</xdr:rowOff>
    </xdr:from>
    <xdr:to>
      <xdr:col>35</xdr:col>
      <xdr:colOff>312420</xdr:colOff>
      <xdr:row>42</xdr:row>
      <xdr:rowOff>34290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A1F33-92DD-4A43-9754-6BCFEB54E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42</xdr:row>
      <xdr:rowOff>57150</xdr:rowOff>
    </xdr:from>
    <xdr:to>
      <xdr:col>35</xdr:col>
      <xdr:colOff>335280</xdr:colOff>
      <xdr:row>53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604279-716F-486C-9C04-0437C19652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29</xdr:row>
      <xdr:rowOff>148590</xdr:rowOff>
    </xdr:from>
    <xdr:to>
      <xdr:col>36</xdr:col>
      <xdr:colOff>76200</xdr:colOff>
      <xdr:row>44</xdr:row>
      <xdr:rowOff>148590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9C8B12E-034A-48D3-8724-090EB0890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23</xdr:row>
      <xdr:rowOff>11430</xdr:rowOff>
    </xdr:from>
    <xdr:to>
      <xdr:col>17</xdr:col>
      <xdr:colOff>342900</xdr:colOff>
      <xdr:row>38</xdr:row>
      <xdr:rowOff>11430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90B3EE-7337-45F7-BAF3-F679C61CB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175260</xdr:colOff>
      <xdr:row>24</xdr:row>
      <xdr:rowOff>68580</xdr:rowOff>
    </xdr:from>
    <xdr:to>
      <xdr:col>27</xdr:col>
      <xdr:colOff>480060</xdr:colOff>
      <xdr:row>39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5B5460C-C2A4-45E6-898A-A07B5F2F0B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182880</xdr:colOff>
      <xdr:row>24</xdr:row>
      <xdr:rowOff>76200</xdr:rowOff>
    </xdr:from>
    <xdr:to>
      <xdr:col>19</xdr:col>
      <xdr:colOff>487680</xdr:colOff>
      <xdr:row>39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633FA2F-B7F6-41A1-9C6A-EE9193030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22</xdr:row>
      <xdr:rowOff>0</xdr:rowOff>
    </xdr:from>
    <xdr:to>
      <xdr:col>28</xdr:col>
      <xdr:colOff>45720</xdr:colOff>
      <xdr:row>37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4B58EF-B0A8-40D0-B3A7-3E65A7757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510540</xdr:colOff>
      <xdr:row>26</xdr:row>
      <xdr:rowOff>38100</xdr:rowOff>
    </xdr:from>
    <xdr:to>
      <xdr:col>28</xdr:col>
      <xdr:colOff>167640</xdr:colOff>
      <xdr:row>47</xdr:row>
      <xdr:rowOff>22860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517BC2E-9E29-442D-A7C2-9F626D0F0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182880</xdr:colOff>
      <xdr:row>8</xdr:row>
      <xdr:rowOff>175260</xdr:rowOff>
    </xdr:from>
    <xdr:to>
      <xdr:col>28</xdr:col>
      <xdr:colOff>114300</xdr:colOff>
      <xdr:row>28</xdr:row>
      <xdr:rowOff>129540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F878A20-C2E5-4607-B88E-55E61C51F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563880</xdr:colOff>
      <xdr:row>9</xdr:row>
      <xdr:rowOff>0</xdr:rowOff>
    </xdr:from>
    <xdr:to>
      <xdr:col>20</xdr:col>
      <xdr:colOff>144780</xdr:colOff>
      <xdr:row>28</xdr:row>
      <xdr:rowOff>137160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1E8D53-55A4-4415-8B27-8EE682544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178777</xdr:colOff>
      <xdr:row>19</xdr:row>
      <xdr:rowOff>2931</xdr:rowOff>
    </xdr:from>
    <xdr:to>
      <xdr:col>8</xdr:col>
      <xdr:colOff>389792</xdr:colOff>
      <xdr:row>34</xdr:row>
      <xdr:rowOff>20515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9B9633-454C-B8C7-8867-141B7630EE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Quilter" id="{5B6EBCD7-9BDF-44A4-AEB8-94297F1EC910}" userId="80bf69452237f07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4" dT="2026-05-05T14:57:51.23" personId="{5B6EBCD7-9BDF-44A4-AEB8-94297F1EC910}" id="{78CFF5CA-D11B-47E9-9F6D-9B6E9F9FB33C}">
    <text>to 6 d.p but real and imaginary flipped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1" dT="2026-05-05T14:57:51.23" personId="{5B6EBCD7-9BDF-44A4-AEB8-94297F1EC910}" id="{0FFA1B5E-9B4F-4E89-9997-33DA58A38FE2}">
    <text>to 6 d.p but real and imaginary flipped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K1" dT="2026-05-05T14:57:51.23" personId="{5B6EBCD7-9BDF-44A4-AEB8-94297F1EC910}" id="{32517F2F-615E-42CF-994F-A7E278AE82C5}">
    <text>to 6 d.p but real and imaginary flipped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chatgpt.com/c/69e8fc69-5474-8384-be5f-862f800be282" TargetMode="Externa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chatgpt.com/c/69e8fc69-5474-8384-be5f-862f800be282" TargetMode="External"/><Relationship Id="rId1" Type="http://schemas.openxmlformats.org/officeDocument/2006/relationships/hyperlink" Target="https://chatgpt.com/c/69e8fc69-5474-8384-be5f-862f800be282" TargetMode="Externa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chatgpt.com/c/69e8fc69-5474-8384-be5f-862f800be282" TargetMode="External"/><Relationship Id="rId1" Type="http://schemas.openxmlformats.org/officeDocument/2006/relationships/hyperlink" Target="https://chatgpt.com/c/69e8fc69-5474-8384-be5f-862f800be282" TargetMode="External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5BDE2-F7B8-4651-A878-C10D6FBFB11A}">
  <sheetPr filterMode="1"/>
  <dimension ref="A1:AA139"/>
  <sheetViews>
    <sheetView workbookViewId="0">
      <selection activeCell="F1" sqref="F1:H1"/>
    </sheetView>
  </sheetViews>
  <sheetFormatPr defaultRowHeight="14.4" x14ac:dyDescent="0.3"/>
  <cols>
    <col min="7" max="7" width="11.44140625" customWidth="1"/>
    <col min="8" max="8" width="12.33203125" customWidth="1"/>
    <col min="9" max="9" width="8.88671875" style="13"/>
  </cols>
  <sheetData>
    <row r="1" spans="1:27" x14ac:dyDescent="0.3">
      <c r="A1" t="s">
        <v>3</v>
      </c>
      <c r="B1" t="s">
        <v>91</v>
      </c>
      <c r="C1" t="s">
        <v>0</v>
      </c>
      <c r="D1" t="s">
        <v>92</v>
      </c>
      <c r="E1" t="s">
        <v>93</v>
      </c>
      <c r="F1" t="s">
        <v>2</v>
      </c>
      <c r="G1" t="s">
        <v>94</v>
      </c>
      <c r="H1" t="s">
        <v>95</v>
      </c>
      <c r="I1" s="13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440</v>
      </c>
      <c r="Y1" t="s">
        <v>25</v>
      </c>
      <c r="Z1" t="s">
        <v>97</v>
      </c>
      <c r="AA1" t="s">
        <v>472</v>
      </c>
    </row>
    <row r="2" spans="1:27" x14ac:dyDescent="0.3">
      <c r="A2">
        <v>42</v>
      </c>
      <c r="B2">
        <v>0</v>
      </c>
      <c r="C2">
        <v>0</v>
      </c>
      <c r="D2" t="s">
        <v>18</v>
      </c>
      <c r="F2">
        <v>0</v>
      </c>
      <c r="G2" s="44">
        <v>0.30762643945026302</v>
      </c>
      <c r="H2" s="44">
        <v>-0.30723201887045898</v>
      </c>
      <c r="I2" s="161">
        <v>0.43477067480232001</v>
      </c>
      <c r="J2" s="44">
        <v>2.649626E-9</v>
      </c>
      <c r="K2" s="44">
        <v>4.1021810000000004E-12</v>
      </c>
      <c r="L2">
        <v>1</v>
      </c>
      <c r="M2" s="44">
        <v>0.307521507728161</v>
      </c>
      <c r="N2" s="44">
        <v>-0.307521507728161</v>
      </c>
      <c r="O2">
        <v>15000</v>
      </c>
      <c r="P2">
        <v>16</v>
      </c>
      <c r="Q2">
        <v>1</v>
      </c>
      <c r="R2">
        <v>1</v>
      </c>
      <c r="S2">
        <v>1</v>
      </c>
      <c r="T2">
        <v>1E-3</v>
      </c>
      <c r="U2">
        <v>16</v>
      </c>
      <c r="V2">
        <v>0</v>
      </c>
      <c r="W2">
        <v>0</v>
      </c>
      <c r="X2" t="s">
        <v>442</v>
      </c>
      <c r="Y2">
        <v>304.5</v>
      </c>
      <c r="Z2" t="s">
        <v>487</v>
      </c>
      <c r="AA2" t="s">
        <v>26</v>
      </c>
    </row>
    <row r="3" spans="1:27" hidden="1" x14ac:dyDescent="0.3">
      <c r="A3">
        <v>45</v>
      </c>
      <c r="B3">
        <v>0</v>
      </c>
      <c r="C3">
        <v>0</v>
      </c>
      <c r="D3" t="s">
        <v>18</v>
      </c>
      <c r="F3">
        <v>0</v>
      </c>
      <c r="G3" s="44">
        <v>0.30756915044529098</v>
      </c>
      <c r="H3" s="44">
        <v>-0.30731173067303502</v>
      </c>
      <c r="I3" s="161">
        <v>0.43478647876273002</v>
      </c>
      <c r="J3" s="44">
        <v>2.592791E-9</v>
      </c>
      <c r="K3" s="44">
        <v>3.3944070000000002E-12</v>
      </c>
      <c r="L3">
        <v>1</v>
      </c>
      <c r="M3" s="44">
        <v>0.307521507728161</v>
      </c>
      <c r="N3" s="44">
        <v>-0.307521507728161</v>
      </c>
      <c r="O3">
        <v>15000</v>
      </c>
      <c r="P3">
        <v>16</v>
      </c>
      <c r="Q3">
        <v>1</v>
      </c>
      <c r="R3">
        <v>1</v>
      </c>
      <c r="S3">
        <v>1</v>
      </c>
      <c r="T3">
        <v>1E-3</v>
      </c>
      <c r="U3">
        <v>16</v>
      </c>
      <c r="V3">
        <v>0</v>
      </c>
      <c r="W3">
        <v>0</v>
      </c>
      <c r="X3" t="s">
        <v>442</v>
      </c>
      <c r="Y3">
        <v>299.8</v>
      </c>
      <c r="Z3" t="s">
        <v>488</v>
      </c>
      <c r="AA3" t="s">
        <v>26</v>
      </c>
    </row>
    <row r="4" spans="1:27" x14ac:dyDescent="0.3">
      <c r="A4">
        <v>42</v>
      </c>
      <c r="B4">
        <v>0</v>
      </c>
      <c r="C4">
        <v>0</v>
      </c>
      <c r="D4" t="s">
        <v>18</v>
      </c>
      <c r="F4">
        <v>0.25</v>
      </c>
      <c r="G4" s="44">
        <v>0.31377041722225102</v>
      </c>
      <c r="H4" s="44">
        <v>-0.30076009253115499</v>
      </c>
      <c r="I4" s="161">
        <v>0.43463606383177</v>
      </c>
      <c r="J4" s="44">
        <v>1.555045E-7</v>
      </c>
      <c r="K4" s="44">
        <v>1.280253E-8</v>
      </c>
      <c r="L4">
        <v>1</v>
      </c>
      <c r="M4" s="44">
        <v>0.31362972888013302</v>
      </c>
      <c r="N4" s="44">
        <v>-0.30128947640662401</v>
      </c>
      <c r="O4">
        <v>15000</v>
      </c>
      <c r="P4">
        <v>16</v>
      </c>
      <c r="Q4">
        <v>1</v>
      </c>
      <c r="R4">
        <v>1</v>
      </c>
      <c r="S4">
        <v>1</v>
      </c>
      <c r="T4">
        <v>1E-3</v>
      </c>
      <c r="U4">
        <v>16</v>
      </c>
      <c r="V4">
        <v>0</v>
      </c>
      <c r="W4">
        <v>0.25</v>
      </c>
      <c r="X4" t="s">
        <v>444</v>
      </c>
      <c r="Y4">
        <v>299</v>
      </c>
      <c r="Z4" t="s">
        <v>489</v>
      </c>
      <c r="AA4" t="s">
        <v>26</v>
      </c>
    </row>
    <row r="5" spans="1:27" hidden="1" x14ac:dyDescent="0.3">
      <c r="A5">
        <v>45</v>
      </c>
      <c r="B5">
        <v>0</v>
      </c>
      <c r="C5">
        <v>0</v>
      </c>
      <c r="D5" t="s">
        <v>18</v>
      </c>
      <c r="F5">
        <v>0.25</v>
      </c>
      <c r="G5" s="44">
        <v>0.313794779449316</v>
      </c>
      <c r="H5" s="44">
        <v>-0.30092372355747299</v>
      </c>
      <c r="I5" s="161">
        <v>0.43476689272452601</v>
      </c>
      <c r="J5" s="44">
        <v>7.3586690000000003E-9</v>
      </c>
      <c r="K5" s="44">
        <v>2.888306E-11</v>
      </c>
      <c r="L5">
        <v>1</v>
      </c>
      <c r="M5" s="44">
        <v>0.31362972888013302</v>
      </c>
      <c r="N5" s="44">
        <v>-0.30128947640662401</v>
      </c>
      <c r="O5">
        <v>15000</v>
      </c>
      <c r="P5">
        <v>16</v>
      </c>
      <c r="Q5">
        <v>1</v>
      </c>
      <c r="R5">
        <v>1</v>
      </c>
      <c r="S5">
        <v>1</v>
      </c>
      <c r="T5">
        <v>1E-3</v>
      </c>
      <c r="U5">
        <v>16</v>
      </c>
      <c r="V5">
        <v>0</v>
      </c>
      <c r="W5">
        <v>0.25</v>
      </c>
      <c r="X5" t="s">
        <v>444</v>
      </c>
      <c r="Y5">
        <v>295.2</v>
      </c>
      <c r="Z5" t="s">
        <v>490</v>
      </c>
      <c r="AA5" t="s">
        <v>26</v>
      </c>
    </row>
    <row r="6" spans="1:27" x14ac:dyDescent="0.3">
      <c r="A6">
        <v>42</v>
      </c>
      <c r="B6">
        <v>0</v>
      </c>
      <c r="C6">
        <v>0</v>
      </c>
      <c r="D6" t="s">
        <v>18</v>
      </c>
      <c r="F6">
        <v>0.5</v>
      </c>
      <c r="G6" s="44">
        <v>0.34699558719759299</v>
      </c>
      <c r="H6" s="44">
        <v>-0.25913568438449502</v>
      </c>
      <c r="I6" s="161">
        <v>0.433078792433921</v>
      </c>
      <c r="J6" s="44">
        <v>1.333293E-6</v>
      </c>
      <c r="K6" s="44">
        <v>9.1147319999999996E-7</v>
      </c>
      <c r="L6">
        <v>0.99999899999999997</v>
      </c>
      <c r="M6" s="44">
        <v>0.33118719437495803</v>
      </c>
      <c r="N6" s="44">
        <v>-0.28187585514344299</v>
      </c>
      <c r="O6">
        <v>15000</v>
      </c>
      <c r="P6">
        <v>16</v>
      </c>
      <c r="Q6">
        <v>1</v>
      </c>
      <c r="R6">
        <v>1</v>
      </c>
      <c r="S6">
        <v>1</v>
      </c>
      <c r="T6">
        <v>1E-3</v>
      </c>
      <c r="U6">
        <v>16</v>
      </c>
      <c r="V6">
        <v>0</v>
      </c>
      <c r="W6">
        <v>0.5</v>
      </c>
      <c r="X6" t="s">
        <v>444</v>
      </c>
      <c r="Y6">
        <v>297</v>
      </c>
      <c r="Z6" t="s">
        <v>491</v>
      </c>
      <c r="AA6" t="s">
        <v>26</v>
      </c>
    </row>
    <row r="7" spans="1:27" hidden="1" x14ac:dyDescent="0.3">
      <c r="A7">
        <v>45</v>
      </c>
      <c r="B7">
        <v>0</v>
      </c>
      <c r="C7">
        <v>0</v>
      </c>
      <c r="D7" t="s">
        <v>18</v>
      </c>
      <c r="F7">
        <v>0.5</v>
      </c>
      <c r="G7" s="44">
        <v>0.33212881650772802</v>
      </c>
      <c r="H7" s="44">
        <v>-0.28053683877055802</v>
      </c>
      <c r="I7" s="161">
        <v>0.43475334232436003</v>
      </c>
      <c r="J7" s="44">
        <v>6.3468959999999996E-9</v>
      </c>
      <c r="K7" s="44">
        <v>2.2486070000000001E-11</v>
      </c>
      <c r="L7">
        <v>1</v>
      </c>
      <c r="M7" s="44">
        <v>0.33118719437495803</v>
      </c>
      <c r="N7" s="44">
        <v>-0.28187585514344299</v>
      </c>
      <c r="O7">
        <v>15000</v>
      </c>
      <c r="P7">
        <v>16</v>
      </c>
      <c r="Q7">
        <v>1</v>
      </c>
      <c r="R7">
        <v>1</v>
      </c>
      <c r="S7">
        <v>1</v>
      </c>
      <c r="T7">
        <v>1E-3</v>
      </c>
      <c r="U7">
        <v>16</v>
      </c>
      <c r="V7">
        <v>0</v>
      </c>
      <c r="W7">
        <v>0.5</v>
      </c>
      <c r="X7" t="s">
        <v>444</v>
      </c>
      <c r="Y7">
        <v>289</v>
      </c>
      <c r="Z7" t="s">
        <v>492</v>
      </c>
      <c r="AA7" t="s">
        <v>26</v>
      </c>
    </row>
    <row r="8" spans="1:27" x14ac:dyDescent="0.3">
      <c r="A8">
        <v>42</v>
      </c>
      <c r="B8">
        <v>0</v>
      </c>
      <c r="C8">
        <v>0</v>
      </c>
      <c r="D8" t="s">
        <v>18</v>
      </c>
      <c r="F8">
        <v>0.75</v>
      </c>
      <c r="G8" s="44">
        <v>0.36049815158517401</v>
      </c>
      <c r="H8" s="44">
        <v>-0.24105629936856501</v>
      </c>
      <c r="I8" s="161">
        <v>0.43366698832352202</v>
      </c>
      <c r="J8" s="44">
        <v>7.6712670000000001E-8</v>
      </c>
      <c r="K8" s="44">
        <v>3.3854070000000001E-9</v>
      </c>
      <c r="L8">
        <v>1</v>
      </c>
      <c r="M8" s="44">
        <v>0.35775414248369602</v>
      </c>
      <c r="N8" s="44">
        <v>-0.24728713870025401</v>
      </c>
      <c r="O8">
        <v>15000</v>
      </c>
      <c r="P8">
        <v>16</v>
      </c>
      <c r="Q8">
        <v>1</v>
      </c>
      <c r="R8">
        <v>1</v>
      </c>
      <c r="S8">
        <v>1</v>
      </c>
      <c r="T8">
        <v>1E-3</v>
      </c>
      <c r="U8">
        <v>16</v>
      </c>
      <c r="V8">
        <v>0</v>
      </c>
      <c r="W8">
        <v>0.75</v>
      </c>
      <c r="X8" t="s">
        <v>444</v>
      </c>
      <c r="Y8">
        <v>292.89999999999998</v>
      </c>
      <c r="Z8" t="s">
        <v>493</v>
      </c>
      <c r="AA8" t="s">
        <v>26</v>
      </c>
    </row>
    <row r="9" spans="1:27" hidden="1" x14ac:dyDescent="0.3">
      <c r="A9">
        <v>45</v>
      </c>
      <c r="B9">
        <v>0</v>
      </c>
      <c r="C9">
        <v>0</v>
      </c>
      <c r="D9" t="s">
        <v>18</v>
      </c>
      <c r="F9">
        <v>0.75</v>
      </c>
      <c r="G9" s="44">
        <v>0.35971143029761998</v>
      </c>
      <c r="H9" s="44">
        <v>-0.24412275901726399</v>
      </c>
      <c r="I9" s="161">
        <v>0.43472777063003498</v>
      </c>
      <c r="J9" s="44">
        <v>5.2610329999999997E-9</v>
      </c>
      <c r="K9" s="44">
        <v>1.6092029999999998E-11</v>
      </c>
      <c r="L9">
        <v>1</v>
      </c>
      <c r="M9" s="44">
        <v>0.35775414248369602</v>
      </c>
      <c r="N9" s="44">
        <v>-0.24728713870025401</v>
      </c>
      <c r="O9">
        <v>15000</v>
      </c>
      <c r="P9">
        <v>16</v>
      </c>
      <c r="Q9">
        <v>1</v>
      </c>
      <c r="R9">
        <v>1</v>
      </c>
      <c r="S9">
        <v>1</v>
      </c>
      <c r="T9">
        <v>1E-3</v>
      </c>
      <c r="U9">
        <v>16</v>
      </c>
      <c r="V9">
        <v>0</v>
      </c>
      <c r="W9">
        <v>0.75</v>
      </c>
      <c r="X9" t="s">
        <v>444</v>
      </c>
      <c r="Y9">
        <v>294.8</v>
      </c>
      <c r="Z9" t="s">
        <v>494</v>
      </c>
      <c r="AA9" t="s">
        <v>26</v>
      </c>
    </row>
    <row r="10" spans="1:27" x14ac:dyDescent="0.3">
      <c r="A10">
        <v>42</v>
      </c>
      <c r="B10">
        <v>0</v>
      </c>
      <c r="C10">
        <v>0</v>
      </c>
      <c r="D10" t="s">
        <v>18</v>
      </c>
      <c r="F10">
        <v>1</v>
      </c>
      <c r="G10" s="44">
        <v>0.34524650597637302</v>
      </c>
      <c r="H10" s="44">
        <v>-0.25759517895649697</v>
      </c>
      <c r="I10" s="161">
        <v>0.43075564547725198</v>
      </c>
      <c r="J10" s="44">
        <v>2.6579899999999999E-6</v>
      </c>
      <c r="K10" s="44">
        <v>4.1335490000000002E-6</v>
      </c>
      <c r="L10">
        <v>0.99999499999999997</v>
      </c>
      <c r="M10" s="44">
        <v>0.38885028963483798</v>
      </c>
      <c r="N10" s="44">
        <v>-0.19476757348620899</v>
      </c>
      <c r="O10">
        <v>15000</v>
      </c>
      <c r="P10">
        <v>16</v>
      </c>
      <c r="Q10">
        <v>1</v>
      </c>
      <c r="R10">
        <v>1</v>
      </c>
      <c r="S10">
        <v>1</v>
      </c>
      <c r="T10">
        <v>1E-3</v>
      </c>
      <c r="U10">
        <v>16</v>
      </c>
      <c r="V10">
        <v>0</v>
      </c>
      <c r="W10">
        <v>1</v>
      </c>
      <c r="X10" t="s">
        <v>444</v>
      </c>
      <c r="Y10">
        <v>296</v>
      </c>
      <c r="Z10" t="s">
        <v>495</v>
      </c>
      <c r="AA10" t="s">
        <v>26</v>
      </c>
    </row>
    <row r="11" spans="1:27" hidden="1" x14ac:dyDescent="0.3">
      <c r="A11">
        <v>45</v>
      </c>
      <c r="B11">
        <v>0</v>
      </c>
      <c r="C11">
        <v>0</v>
      </c>
      <c r="D11" t="s">
        <v>18</v>
      </c>
      <c r="F11">
        <v>1</v>
      </c>
      <c r="G11" s="44">
        <v>0.39159211387075199</v>
      </c>
      <c r="H11" s="44">
        <v>-0.18872006095510399</v>
      </c>
      <c r="I11" s="161">
        <v>0.43469488730909001</v>
      </c>
      <c r="J11" s="44">
        <v>6.3862739999999997E-9</v>
      </c>
      <c r="K11" s="44">
        <v>2.17291E-11</v>
      </c>
      <c r="L11">
        <v>1</v>
      </c>
      <c r="M11" s="44">
        <v>0.38885028963483798</v>
      </c>
      <c r="N11" s="44">
        <v>-0.19476757348620899</v>
      </c>
      <c r="O11">
        <v>15000</v>
      </c>
      <c r="P11">
        <v>16</v>
      </c>
      <c r="Q11">
        <v>1</v>
      </c>
      <c r="R11">
        <v>1</v>
      </c>
      <c r="S11">
        <v>1</v>
      </c>
      <c r="T11">
        <v>1E-3</v>
      </c>
      <c r="U11">
        <v>16</v>
      </c>
      <c r="V11">
        <v>0</v>
      </c>
      <c r="W11">
        <v>1</v>
      </c>
      <c r="X11" t="s">
        <v>444</v>
      </c>
      <c r="Y11">
        <v>292.60000000000002</v>
      </c>
      <c r="Z11" t="s">
        <v>496</v>
      </c>
      <c r="AA11" t="s">
        <v>26</v>
      </c>
    </row>
    <row r="12" spans="1:27" x14ac:dyDescent="0.3">
      <c r="A12">
        <v>42</v>
      </c>
      <c r="B12">
        <v>0</v>
      </c>
      <c r="C12">
        <v>0</v>
      </c>
      <c r="D12" t="s">
        <v>18</v>
      </c>
      <c r="F12">
        <v>1.25</v>
      </c>
      <c r="G12" s="44">
        <v>0.41900911279361602</v>
      </c>
      <c r="H12" s="44">
        <v>-0.109996520773187</v>
      </c>
      <c r="I12" s="161">
        <v>0.43320649947374901</v>
      </c>
      <c r="J12" s="44">
        <v>7.6470959999999997E-8</v>
      </c>
      <c r="K12" s="44">
        <v>4.0611729999999997E-9</v>
      </c>
      <c r="L12">
        <v>1</v>
      </c>
      <c r="M12" s="44">
        <v>0.41750879410619202</v>
      </c>
      <c r="N12" s="44">
        <v>-0.121759444294053</v>
      </c>
      <c r="O12">
        <v>15000</v>
      </c>
      <c r="P12">
        <v>16</v>
      </c>
      <c r="Q12">
        <v>1</v>
      </c>
      <c r="R12">
        <v>1</v>
      </c>
      <c r="S12">
        <v>1</v>
      </c>
      <c r="T12">
        <v>1E-3</v>
      </c>
      <c r="U12">
        <v>16</v>
      </c>
      <c r="V12">
        <v>0</v>
      </c>
      <c r="W12">
        <v>1.25</v>
      </c>
      <c r="X12" t="s">
        <v>444</v>
      </c>
      <c r="Y12">
        <v>293.5</v>
      </c>
      <c r="Z12" t="s">
        <v>497</v>
      </c>
      <c r="AA12" t="s">
        <v>26</v>
      </c>
    </row>
    <row r="13" spans="1:27" hidden="1" x14ac:dyDescent="0.3">
      <c r="A13">
        <v>45</v>
      </c>
      <c r="B13">
        <v>0</v>
      </c>
      <c r="C13">
        <v>0</v>
      </c>
      <c r="D13" t="s">
        <v>18</v>
      </c>
      <c r="F13">
        <v>1.25</v>
      </c>
      <c r="G13" s="44">
        <v>0.42005850469935602</v>
      </c>
      <c r="H13" s="44">
        <v>-0.111682910625038</v>
      </c>
      <c r="I13" s="161">
        <v>0.43465183756190301</v>
      </c>
      <c r="J13" s="44">
        <v>5.3979969999999996E-9</v>
      </c>
      <c r="K13" s="44">
        <v>1.6692249999999999E-11</v>
      </c>
      <c r="L13">
        <v>1</v>
      </c>
      <c r="M13" s="44">
        <v>0.41750879410619202</v>
      </c>
      <c r="N13" s="44">
        <v>-0.121759444294053</v>
      </c>
      <c r="O13">
        <v>15000</v>
      </c>
      <c r="P13">
        <v>16</v>
      </c>
      <c r="Q13">
        <v>1</v>
      </c>
      <c r="R13">
        <v>1</v>
      </c>
      <c r="S13">
        <v>1</v>
      </c>
      <c r="T13">
        <v>1E-3</v>
      </c>
      <c r="U13">
        <v>16</v>
      </c>
      <c r="V13">
        <v>0</v>
      </c>
      <c r="W13">
        <v>1.25</v>
      </c>
      <c r="X13" t="s">
        <v>444</v>
      </c>
      <c r="Y13">
        <v>295</v>
      </c>
      <c r="Z13" t="s">
        <v>498</v>
      </c>
      <c r="AA13" t="s">
        <v>26</v>
      </c>
    </row>
    <row r="14" spans="1:27" x14ac:dyDescent="0.3">
      <c r="A14">
        <v>42</v>
      </c>
      <c r="B14">
        <v>0</v>
      </c>
      <c r="C14">
        <v>0</v>
      </c>
      <c r="D14" t="s">
        <v>18</v>
      </c>
      <c r="F14">
        <v>1.5</v>
      </c>
      <c r="G14" s="44">
        <v>0.43424058071794502</v>
      </c>
      <c r="H14" s="44">
        <v>-1.24430127780668E-2</v>
      </c>
      <c r="I14" s="161">
        <v>0.43441881923928399</v>
      </c>
      <c r="J14" s="44">
        <v>3.2185719999999998E-8</v>
      </c>
      <c r="K14" s="44">
        <v>5.6589340000000005E-10</v>
      </c>
      <c r="L14">
        <v>1</v>
      </c>
      <c r="M14" s="44">
        <v>0.43403710680369301</v>
      </c>
      <c r="N14" s="44">
        <v>-2.7399732631603901E-2</v>
      </c>
      <c r="O14">
        <v>15000</v>
      </c>
      <c r="P14">
        <v>16</v>
      </c>
      <c r="Q14">
        <v>1</v>
      </c>
      <c r="R14">
        <v>1</v>
      </c>
      <c r="S14">
        <v>1</v>
      </c>
      <c r="T14">
        <v>1E-3</v>
      </c>
      <c r="U14">
        <v>16</v>
      </c>
      <c r="V14">
        <v>0</v>
      </c>
      <c r="W14">
        <v>1.5</v>
      </c>
      <c r="X14" t="s">
        <v>444</v>
      </c>
      <c r="Y14">
        <v>295.2</v>
      </c>
      <c r="Z14" t="s">
        <v>499</v>
      </c>
      <c r="AA14" t="s">
        <v>26</v>
      </c>
    </row>
    <row r="15" spans="1:27" hidden="1" x14ac:dyDescent="0.3">
      <c r="A15">
        <v>45</v>
      </c>
      <c r="B15">
        <v>0</v>
      </c>
      <c r="C15">
        <v>0</v>
      </c>
      <c r="D15" t="s">
        <v>18</v>
      </c>
      <c r="F15">
        <v>1.5</v>
      </c>
      <c r="G15" s="44">
        <v>0.43442123842421998</v>
      </c>
      <c r="H15" s="44">
        <v>-1.2422712515341499E-2</v>
      </c>
      <c r="I15" s="161">
        <v>0.43459882211100398</v>
      </c>
      <c r="J15" s="44">
        <v>4.4714539999999999E-9</v>
      </c>
      <c r="K15" s="44">
        <v>1.1932560000000001E-11</v>
      </c>
      <c r="L15">
        <v>1</v>
      </c>
      <c r="M15" s="44">
        <v>0.43403710680369301</v>
      </c>
      <c r="N15" s="44">
        <v>-2.7399732631603901E-2</v>
      </c>
      <c r="O15">
        <v>15000</v>
      </c>
      <c r="P15">
        <v>16</v>
      </c>
      <c r="Q15">
        <v>1</v>
      </c>
      <c r="R15">
        <v>1</v>
      </c>
      <c r="S15">
        <v>1</v>
      </c>
      <c r="T15">
        <v>1E-3</v>
      </c>
      <c r="U15">
        <v>16</v>
      </c>
      <c r="V15">
        <v>0</v>
      </c>
      <c r="W15">
        <v>1.5</v>
      </c>
      <c r="X15" t="s">
        <v>444</v>
      </c>
      <c r="Y15">
        <v>294.39999999999998</v>
      </c>
      <c r="Z15" t="s">
        <v>500</v>
      </c>
      <c r="AA15" t="s">
        <v>26</v>
      </c>
    </row>
    <row r="16" spans="1:27" x14ac:dyDescent="0.3">
      <c r="A16">
        <v>42</v>
      </c>
      <c r="B16">
        <v>0</v>
      </c>
      <c r="C16">
        <v>0</v>
      </c>
      <c r="D16" t="s">
        <v>18</v>
      </c>
      <c r="F16">
        <v>1.75</v>
      </c>
      <c r="G16" s="44">
        <v>0.42101162222802702</v>
      </c>
      <c r="H16" s="44">
        <v>0.105612632607071</v>
      </c>
      <c r="I16" s="161">
        <v>0.43405623393435</v>
      </c>
      <c r="J16" s="44">
        <v>9.7337390000000005E-8</v>
      </c>
      <c r="K16" s="44">
        <v>4.9341390000000002E-9</v>
      </c>
      <c r="L16">
        <v>1</v>
      </c>
      <c r="M16" s="44">
        <v>0.42642054565481502</v>
      </c>
      <c r="N16" s="44">
        <v>8.5466213641724506E-2</v>
      </c>
      <c r="O16">
        <v>15000</v>
      </c>
      <c r="P16">
        <v>16</v>
      </c>
      <c r="Q16">
        <v>1</v>
      </c>
      <c r="R16">
        <v>1</v>
      </c>
      <c r="S16">
        <v>1</v>
      </c>
      <c r="T16">
        <v>1E-3</v>
      </c>
      <c r="U16">
        <v>16</v>
      </c>
      <c r="V16">
        <v>0</v>
      </c>
      <c r="W16">
        <v>1.75</v>
      </c>
      <c r="X16" t="s">
        <v>444</v>
      </c>
      <c r="Y16">
        <v>293</v>
      </c>
      <c r="Z16" t="s">
        <v>501</v>
      </c>
      <c r="AA16" t="s">
        <v>26</v>
      </c>
    </row>
    <row r="17" spans="1:27" hidden="1" x14ac:dyDescent="0.3">
      <c r="A17">
        <v>45</v>
      </c>
      <c r="B17">
        <v>0</v>
      </c>
      <c r="C17">
        <v>0</v>
      </c>
      <c r="D17" t="s">
        <v>18</v>
      </c>
      <c r="F17">
        <v>1.75</v>
      </c>
      <c r="G17" s="44">
        <v>0.42158714828187799</v>
      </c>
      <c r="H17" s="44">
        <v>0.105288409222378</v>
      </c>
      <c r="I17" s="161">
        <v>0.43453581292342902</v>
      </c>
      <c r="J17" s="44">
        <v>6.3417269999999996E-9</v>
      </c>
      <c r="K17" s="44">
        <v>2.10174E-11</v>
      </c>
      <c r="L17">
        <v>1</v>
      </c>
      <c r="M17" s="44">
        <v>0.42642054565481502</v>
      </c>
      <c r="N17" s="44">
        <v>8.5466213641724506E-2</v>
      </c>
      <c r="O17">
        <v>15000</v>
      </c>
      <c r="P17">
        <v>16</v>
      </c>
      <c r="Q17">
        <v>1</v>
      </c>
      <c r="R17">
        <v>1</v>
      </c>
      <c r="S17">
        <v>1</v>
      </c>
      <c r="T17">
        <v>1E-3</v>
      </c>
      <c r="U17">
        <v>16</v>
      </c>
      <c r="V17">
        <v>0</v>
      </c>
      <c r="W17">
        <v>1.75</v>
      </c>
      <c r="X17" t="s">
        <v>444</v>
      </c>
      <c r="Y17">
        <v>292.39999999999998</v>
      </c>
      <c r="Z17" t="s">
        <v>502</v>
      </c>
      <c r="AA17" t="s">
        <v>26</v>
      </c>
    </row>
    <row r="18" spans="1:27" x14ac:dyDescent="0.3">
      <c r="A18">
        <v>42</v>
      </c>
      <c r="B18">
        <v>0</v>
      </c>
      <c r="C18">
        <v>0</v>
      </c>
      <c r="D18" t="s">
        <v>18</v>
      </c>
      <c r="F18">
        <v>2</v>
      </c>
      <c r="G18" s="44">
        <v>0.36808924182463998</v>
      </c>
      <c r="H18" s="44">
        <v>0.23089657653949699</v>
      </c>
      <c r="I18" s="161">
        <v>0.43451457858706999</v>
      </c>
      <c r="J18" s="44">
        <v>2.2142949999999999E-8</v>
      </c>
      <c r="K18" s="44">
        <v>2.4928939999999999E-10</v>
      </c>
      <c r="L18">
        <v>1</v>
      </c>
      <c r="M18" s="44">
        <v>0.38191422872612701</v>
      </c>
      <c r="N18" s="44">
        <v>0.20803960518932599</v>
      </c>
      <c r="O18">
        <v>15000</v>
      </c>
      <c r="P18">
        <v>16</v>
      </c>
      <c r="Q18">
        <v>1</v>
      </c>
      <c r="R18">
        <v>1</v>
      </c>
      <c r="S18">
        <v>1</v>
      </c>
      <c r="T18">
        <v>1E-3</v>
      </c>
      <c r="U18">
        <v>16</v>
      </c>
      <c r="V18">
        <v>0</v>
      </c>
      <c r="W18">
        <v>2</v>
      </c>
      <c r="X18" t="s">
        <v>444</v>
      </c>
      <c r="Y18">
        <v>294.89999999999998</v>
      </c>
      <c r="Z18" t="s">
        <v>503</v>
      </c>
      <c r="AA18" t="s">
        <v>26</v>
      </c>
    </row>
    <row r="19" spans="1:27" hidden="1" x14ac:dyDescent="0.3">
      <c r="A19">
        <v>45</v>
      </c>
      <c r="B19">
        <v>0</v>
      </c>
      <c r="C19">
        <v>0</v>
      </c>
      <c r="D19" t="s">
        <v>18</v>
      </c>
      <c r="F19">
        <v>2</v>
      </c>
      <c r="G19" s="44">
        <v>0.368074768876335</v>
      </c>
      <c r="H19" s="44">
        <v>0.23082145001344501</v>
      </c>
      <c r="I19" s="161">
        <v>0.43446240029452099</v>
      </c>
      <c r="J19" s="44">
        <v>4.8103340000000003E-9</v>
      </c>
      <c r="K19" s="44">
        <v>1.4558150000000001E-11</v>
      </c>
      <c r="L19">
        <v>1</v>
      </c>
      <c r="M19" s="44">
        <v>0.38191422872612701</v>
      </c>
      <c r="N19" s="44">
        <v>0.20803960518932599</v>
      </c>
      <c r="O19">
        <v>15000</v>
      </c>
      <c r="P19">
        <v>16</v>
      </c>
      <c r="Q19">
        <v>1</v>
      </c>
      <c r="R19">
        <v>1</v>
      </c>
      <c r="S19">
        <v>1</v>
      </c>
      <c r="T19">
        <v>1E-3</v>
      </c>
      <c r="U19">
        <v>16</v>
      </c>
      <c r="V19">
        <v>0</v>
      </c>
      <c r="W19">
        <v>2</v>
      </c>
      <c r="X19" t="s">
        <v>444</v>
      </c>
      <c r="Y19">
        <v>295.10000000000002</v>
      </c>
      <c r="Z19" t="s">
        <v>504</v>
      </c>
      <c r="AA19" t="s">
        <v>26</v>
      </c>
    </row>
    <row r="20" spans="1:27" x14ac:dyDescent="0.3">
      <c r="A20">
        <v>42</v>
      </c>
      <c r="B20">
        <v>0</v>
      </c>
      <c r="C20">
        <v>0</v>
      </c>
      <c r="D20" t="s">
        <v>18</v>
      </c>
      <c r="F20">
        <v>2.25</v>
      </c>
      <c r="G20" s="44">
        <v>-0.36453813843897298</v>
      </c>
      <c r="H20" s="44">
        <v>0.83764486451443299</v>
      </c>
      <c r="I20" s="161">
        <v>0.91352995212196197</v>
      </c>
      <c r="J20" s="44">
        <v>1.996136E-4</v>
      </c>
      <c r="K20" s="44">
        <v>4.544831E-3</v>
      </c>
      <c r="L20">
        <v>0.99534</v>
      </c>
      <c r="M20" s="44">
        <v>0.29031308968880298</v>
      </c>
      <c r="N20" s="44">
        <v>0.32381671572997001</v>
      </c>
      <c r="O20">
        <v>15000</v>
      </c>
      <c r="P20">
        <v>16</v>
      </c>
      <c r="Q20">
        <v>1</v>
      </c>
      <c r="R20">
        <v>1</v>
      </c>
      <c r="S20">
        <v>1</v>
      </c>
      <c r="T20">
        <v>1E-3</v>
      </c>
      <c r="U20">
        <v>16</v>
      </c>
      <c r="V20">
        <v>0</v>
      </c>
      <c r="W20">
        <v>2.25</v>
      </c>
      <c r="X20" t="s">
        <v>444</v>
      </c>
      <c r="Y20">
        <v>291.7</v>
      </c>
      <c r="Z20" t="s">
        <v>505</v>
      </c>
      <c r="AA20" t="s">
        <v>26</v>
      </c>
    </row>
    <row r="21" spans="1:27" hidden="1" x14ac:dyDescent="0.3">
      <c r="A21">
        <v>45</v>
      </c>
      <c r="B21">
        <v>0</v>
      </c>
      <c r="C21">
        <v>0</v>
      </c>
      <c r="D21" t="s">
        <v>18</v>
      </c>
      <c r="F21">
        <v>2.25</v>
      </c>
      <c r="G21" s="44">
        <v>0.26400823595464201</v>
      </c>
      <c r="H21" s="44">
        <v>0.34494573251335803</v>
      </c>
      <c r="I21" s="161">
        <v>0.43438221306938901</v>
      </c>
      <c r="J21" s="44">
        <v>8.5871309999999998E-9</v>
      </c>
      <c r="K21" s="44">
        <v>3.5053569999999997E-11</v>
      </c>
      <c r="L21">
        <v>1</v>
      </c>
      <c r="M21" s="44">
        <v>0.29031308968880298</v>
      </c>
      <c r="N21" s="44">
        <v>0.32381671572997001</v>
      </c>
      <c r="O21">
        <v>15000</v>
      </c>
      <c r="P21">
        <v>16</v>
      </c>
      <c r="Q21">
        <v>1</v>
      </c>
      <c r="R21">
        <v>1</v>
      </c>
      <c r="S21">
        <v>1</v>
      </c>
      <c r="T21">
        <v>1E-3</v>
      </c>
      <c r="U21">
        <v>16</v>
      </c>
      <c r="V21">
        <v>0</v>
      </c>
      <c r="W21">
        <v>2.25</v>
      </c>
      <c r="X21" t="s">
        <v>444</v>
      </c>
      <c r="Y21">
        <v>294.10000000000002</v>
      </c>
      <c r="Z21" t="s">
        <v>506</v>
      </c>
      <c r="AA21" t="s">
        <v>26</v>
      </c>
    </row>
    <row r="22" spans="1:27" x14ac:dyDescent="0.3">
      <c r="A22">
        <v>42</v>
      </c>
      <c r="B22">
        <v>0</v>
      </c>
      <c r="C22">
        <v>0</v>
      </c>
      <c r="D22" t="s">
        <v>18</v>
      </c>
      <c r="F22">
        <v>2.5</v>
      </c>
      <c r="G22" s="44">
        <v>0.10113561820384601</v>
      </c>
      <c r="H22" s="44">
        <v>0.42094847244348599</v>
      </c>
      <c r="I22" s="161">
        <v>0.432927279946619</v>
      </c>
      <c r="J22" s="44">
        <v>2.7549399999999999E-7</v>
      </c>
      <c r="K22" s="44">
        <v>3.0109170000000003E-8</v>
      </c>
      <c r="L22">
        <v>1</v>
      </c>
      <c r="M22" s="44">
        <v>0.148985702719966</v>
      </c>
      <c r="N22" s="44">
        <v>0.40858562849890001</v>
      </c>
      <c r="O22">
        <v>15000</v>
      </c>
      <c r="P22">
        <v>16</v>
      </c>
      <c r="Q22">
        <v>1</v>
      </c>
      <c r="R22">
        <v>1</v>
      </c>
      <c r="S22">
        <v>1</v>
      </c>
      <c r="T22">
        <v>1E-3</v>
      </c>
      <c r="U22">
        <v>16</v>
      </c>
      <c r="V22">
        <v>0</v>
      </c>
      <c r="W22">
        <v>2.5</v>
      </c>
      <c r="X22" t="s">
        <v>444</v>
      </c>
      <c r="Y22">
        <v>290.39999999999998</v>
      </c>
      <c r="Z22" t="s">
        <v>507</v>
      </c>
      <c r="AA22" t="s">
        <v>26</v>
      </c>
    </row>
    <row r="23" spans="1:27" hidden="1" x14ac:dyDescent="0.3">
      <c r="A23">
        <v>45</v>
      </c>
      <c r="B23">
        <v>0</v>
      </c>
      <c r="C23">
        <v>0</v>
      </c>
      <c r="D23" t="s">
        <v>18</v>
      </c>
      <c r="F23">
        <v>2.5</v>
      </c>
      <c r="G23" s="44">
        <v>0.10903792504808001</v>
      </c>
      <c r="H23" s="44">
        <v>0.42038076850114198</v>
      </c>
      <c r="I23" s="161">
        <v>0.43429167574845601</v>
      </c>
      <c r="J23" s="44">
        <v>6.4119379999999999E-9</v>
      </c>
      <c r="K23" s="44">
        <v>2.7449690000000002E-11</v>
      </c>
      <c r="L23">
        <v>1</v>
      </c>
      <c r="M23" s="44">
        <v>0.148985702719966</v>
      </c>
      <c r="N23" s="44">
        <v>0.40858562849890001</v>
      </c>
      <c r="O23">
        <v>15000</v>
      </c>
      <c r="P23">
        <v>16</v>
      </c>
      <c r="Q23">
        <v>1</v>
      </c>
      <c r="R23">
        <v>1</v>
      </c>
      <c r="S23">
        <v>1</v>
      </c>
      <c r="T23">
        <v>1E-3</v>
      </c>
      <c r="U23">
        <v>16</v>
      </c>
      <c r="V23">
        <v>0</v>
      </c>
      <c r="W23">
        <v>2.5</v>
      </c>
      <c r="X23" t="s">
        <v>444</v>
      </c>
      <c r="Y23">
        <v>289.2</v>
      </c>
      <c r="Z23" t="s">
        <v>508</v>
      </c>
      <c r="AA23" t="s">
        <v>26</v>
      </c>
    </row>
    <row r="24" spans="1:27" x14ac:dyDescent="0.3">
      <c r="A24">
        <v>42</v>
      </c>
      <c r="B24">
        <v>0</v>
      </c>
      <c r="C24">
        <v>0</v>
      </c>
      <c r="D24" t="s">
        <v>18</v>
      </c>
      <c r="F24">
        <v>2.75</v>
      </c>
      <c r="G24" s="44">
        <v>-8.4294492157094197E-2</v>
      </c>
      <c r="H24" s="44">
        <v>0.42524499533589499</v>
      </c>
      <c r="I24" s="161">
        <v>0.43351916620404202</v>
      </c>
      <c r="J24" s="44">
        <v>7.0771659999999999E-7</v>
      </c>
      <c r="K24" s="44">
        <v>2.645313E-7</v>
      </c>
      <c r="L24">
        <v>1</v>
      </c>
      <c r="M24" s="44">
        <v>-3.1163598094273801E-2</v>
      </c>
      <c r="N24" s="44">
        <v>0.43378310892036998</v>
      </c>
      <c r="O24">
        <v>15000</v>
      </c>
      <c r="P24">
        <v>16</v>
      </c>
      <c r="Q24">
        <v>1</v>
      </c>
      <c r="R24">
        <v>1</v>
      </c>
      <c r="S24">
        <v>1</v>
      </c>
      <c r="T24">
        <v>1E-3</v>
      </c>
      <c r="U24">
        <v>16</v>
      </c>
      <c r="V24">
        <v>0</v>
      </c>
      <c r="W24">
        <v>2.75</v>
      </c>
      <c r="X24" t="s">
        <v>444</v>
      </c>
      <c r="Y24">
        <v>290.7</v>
      </c>
      <c r="Z24" t="s">
        <v>509</v>
      </c>
      <c r="AA24" t="s">
        <v>26</v>
      </c>
    </row>
    <row r="25" spans="1:27" hidden="1" x14ac:dyDescent="0.3">
      <c r="A25">
        <v>45</v>
      </c>
      <c r="B25">
        <v>0</v>
      </c>
      <c r="C25">
        <v>0</v>
      </c>
      <c r="D25" t="s">
        <v>18</v>
      </c>
      <c r="F25">
        <v>2.75</v>
      </c>
      <c r="G25" s="44">
        <v>-8.1036255876442601E-2</v>
      </c>
      <c r="H25" s="44">
        <v>0.42655988808738798</v>
      </c>
      <c r="I25" s="161">
        <v>0.434189144142962</v>
      </c>
      <c r="J25" s="44">
        <v>8.9470450000000001E-9</v>
      </c>
      <c r="K25" s="44">
        <v>3.9799459999999999E-11</v>
      </c>
      <c r="L25">
        <v>1</v>
      </c>
      <c r="M25" s="44">
        <v>-3.1163598094273801E-2</v>
      </c>
      <c r="N25" s="44">
        <v>0.43378310892036998</v>
      </c>
      <c r="O25">
        <v>15000</v>
      </c>
      <c r="P25">
        <v>16</v>
      </c>
      <c r="Q25">
        <v>1</v>
      </c>
      <c r="R25">
        <v>1</v>
      </c>
      <c r="S25">
        <v>1</v>
      </c>
      <c r="T25">
        <v>1E-3</v>
      </c>
      <c r="U25">
        <v>16</v>
      </c>
      <c r="V25">
        <v>0</v>
      </c>
      <c r="W25">
        <v>2.75</v>
      </c>
      <c r="X25" t="s">
        <v>444</v>
      </c>
      <c r="Y25">
        <v>288.7</v>
      </c>
      <c r="Z25" t="s">
        <v>510</v>
      </c>
      <c r="AA25" t="s">
        <v>26</v>
      </c>
    </row>
    <row r="26" spans="1:27" x14ac:dyDescent="0.3">
      <c r="A26">
        <v>42</v>
      </c>
      <c r="B26">
        <v>0</v>
      </c>
      <c r="C26">
        <v>0</v>
      </c>
      <c r="D26" t="s">
        <v>18</v>
      </c>
      <c r="F26">
        <v>3</v>
      </c>
      <c r="G26" s="44">
        <v>-0.26998121812981901</v>
      </c>
      <c r="H26" s="44">
        <v>0.339916575720484</v>
      </c>
      <c r="I26" s="161">
        <v>0.43408885794546798</v>
      </c>
      <c r="J26" s="44">
        <v>2.55342E-8</v>
      </c>
      <c r="K26" s="44">
        <v>3.5127099999999998E-10</v>
      </c>
      <c r="L26">
        <v>1</v>
      </c>
      <c r="M26" s="44">
        <v>-0.22106497125442601</v>
      </c>
      <c r="N26" s="44">
        <v>0.374525344823395</v>
      </c>
      <c r="O26">
        <v>15000</v>
      </c>
      <c r="P26">
        <v>16</v>
      </c>
      <c r="Q26">
        <v>1</v>
      </c>
      <c r="R26">
        <v>1</v>
      </c>
      <c r="S26">
        <v>1</v>
      </c>
      <c r="T26">
        <v>1E-3</v>
      </c>
      <c r="U26">
        <v>16</v>
      </c>
      <c r="V26">
        <v>0</v>
      </c>
      <c r="W26">
        <v>3</v>
      </c>
      <c r="X26" t="s">
        <v>444</v>
      </c>
      <c r="Y26">
        <v>288.5</v>
      </c>
      <c r="Z26" t="s">
        <v>511</v>
      </c>
      <c r="AA26" t="s">
        <v>26</v>
      </c>
    </row>
    <row r="27" spans="1:27" hidden="1" x14ac:dyDescent="0.3">
      <c r="A27">
        <v>45</v>
      </c>
      <c r="B27">
        <v>0</v>
      </c>
      <c r="C27">
        <v>0</v>
      </c>
      <c r="D27" t="s">
        <v>18</v>
      </c>
      <c r="F27">
        <v>3</v>
      </c>
      <c r="G27" s="44">
        <v>-0.27000398754822902</v>
      </c>
      <c r="H27" s="44">
        <v>0.339887020977027</v>
      </c>
      <c r="I27" s="161">
        <v>0.434079877811196</v>
      </c>
      <c r="J27" s="44">
        <v>6.5008489999999996E-9</v>
      </c>
      <c r="K27" s="44">
        <v>2.4366690000000001E-11</v>
      </c>
      <c r="L27">
        <v>1</v>
      </c>
      <c r="M27" s="44">
        <v>-0.22106497125442601</v>
      </c>
      <c r="N27" s="44">
        <v>0.374525344823395</v>
      </c>
      <c r="O27">
        <v>15000</v>
      </c>
      <c r="P27">
        <v>16</v>
      </c>
      <c r="Q27">
        <v>1</v>
      </c>
      <c r="R27">
        <v>1</v>
      </c>
      <c r="S27">
        <v>1</v>
      </c>
      <c r="T27">
        <v>1E-3</v>
      </c>
      <c r="U27">
        <v>16</v>
      </c>
      <c r="V27">
        <v>0</v>
      </c>
      <c r="W27">
        <v>3</v>
      </c>
      <c r="X27" t="s">
        <v>444</v>
      </c>
      <c r="Y27">
        <v>287.60000000000002</v>
      </c>
      <c r="Z27" t="s">
        <v>512</v>
      </c>
      <c r="AA27" t="s">
        <v>26</v>
      </c>
    </row>
    <row r="28" spans="1:27" x14ac:dyDescent="0.3">
      <c r="A28">
        <v>42</v>
      </c>
      <c r="B28">
        <v>0</v>
      </c>
      <c r="C28">
        <v>0</v>
      </c>
      <c r="D28" t="s">
        <v>18</v>
      </c>
      <c r="F28">
        <v>3.25</v>
      </c>
      <c r="G28" s="45">
        <v>-0.40396422363938</v>
      </c>
      <c r="H28" s="45">
        <v>0.158515690844476</v>
      </c>
      <c r="I28" s="161">
        <v>0.433951976864341</v>
      </c>
      <c r="J28" s="44">
        <v>2.231843E-8</v>
      </c>
      <c r="K28" s="44">
        <v>2.3175539999999999E-10</v>
      </c>
      <c r="L28">
        <v>1</v>
      </c>
      <c r="M28" s="44">
        <v>-0.37392335017320999</v>
      </c>
      <c r="N28" s="44">
        <v>0.222081704843164</v>
      </c>
      <c r="O28">
        <v>15000</v>
      </c>
      <c r="P28">
        <v>16</v>
      </c>
      <c r="Q28">
        <v>1</v>
      </c>
      <c r="R28">
        <v>1</v>
      </c>
      <c r="S28">
        <v>1</v>
      </c>
      <c r="T28">
        <v>1E-3</v>
      </c>
      <c r="U28">
        <v>16</v>
      </c>
      <c r="V28">
        <v>0</v>
      </c>
      <c r="W28">
        <v>3.25</v>
      </c>
      <c r="X28" t="s">
        <v>444</v>
      </c>
      <c r="Y28">
        <v>285.39999999999998</v>
      </c>
      <c r="Z28" t="s">
        <v>513</v>
      </c>
      <c r="AA28" t="s">
        <v>26</v>
      </c>
    </row>
    <row r="29" spans="1:27" hidden="1" x14ac:dyDescent="0.3">
      <c r="A29">
        <v>45</v>
      </c>
      <c r="B29">
        <v>0</v>
      </c>
      <c r="C29">
        <v>0</v>
      </c>
      <c r="D29" t="s">
        <v>18</v>
      </c>
      <c r="F29">
        <v>3.25</v>
      </c>
      <c r="G29" s="45">
        <v>-0.40398265368083702</v>
      </c>
      <c r="H29" s="45">
        <v>0.15848625711313299</v>
      </c>
      <c r="I29" s="161">
        <v>0.433958382991665</v>
      </c>
      <c r="J29" s="44">
        <v>5.7435230000000002E-9</v>
      </c>
      <c r="K29" s="44">
        <v>1.8148490000000001E-11</v>
      </c>
      <c r="L29">
        <v>1</v>
      </c>
      <c r="M29" s="44">
        <v>-0.37392335017320999</v>
      </c>
      <c r="N29" s="44">
        <v>0.222081704843164</v>
      </c>
      <c r="O29">
        <v>15000</v>
      </c>
      <c r="P29">
        <v>16</v>
      </c>
      <c r="Q29">
        <v>1</v>
      </c>
      <c r="R29">
        <v>1</v>
      </c>
      <c r="S29">
        <v>1</v>
      </c>
      <c r="T29">
        <v>1E-3</v>
      </c>
      <c r="U29">
        <v>16</v>
      </c>
      <c r="V29">
        <v>0</v>
      </c>
      <c r="W29">
        <v>3.25</v>
      </c>
      <c r="X29" t="s">
        <v>444</v>
      </c>
      <c r="Y29">
        <v>286.3</v>
      </c>
      <c r="Z29" t="s">
        <v>514</v>
      </c>
      <c r="AA29" t="s">
        <v>26</v>
      </c>
    </row>
    <row r="30" spans="1:27" x14ac:dyDescent="0.3">
      <c r="A30">
        <v>42</v>
      </c>
      <c r="B30">
        <v>0</v>
      </c>
      <c r="C30">
        <v>0</v>
      </c>
      <c r="D30" t="s">
        <v>18</v>
      </c>
      <c r="F30">
        <v>3.5</v>
      </c>
      <c r="G30" s="44">
        <v>-2.89070596446911</v>
      </c>
      <c r="H30" s="44">
        <v>-0.68527836312804602</v>
      </c>
      <c r="I30" s="161">
        <v>2.97082268201734</v>
      </c>
      <c r="J30" s="44">
        <v>5.4799950000000003E-4</v>
      </c>
      <c r="K30" s="44">
        <v>3.4702280000000001E-3</v>
      </c>
      <c r="L30">
        <v>0.99657899999999999</v>
      </c>
      <c r="M30" s="44">
        <v>-0.43489370505066799</v>
      </c>
      <c r="N30" s="44">
        <v>-2.5339175413038001E-3</v>
      </c>
      <c r="O30">
        <v>15000</v>
      </c>
      <c r="P30">
        <v>16</v>
      </c>
      <c r="Q30">
        <v>1</v>
      </c>
      <c r="R30">
        <v>1</v>
      </c>
      <c r="S30">
        <v>1</v>
      </c>
      <c r="T30">
        <v>1E-3</v>
      </c>
      <c r="U30">
        <v>16</v>
      </c>
      <c r="V30">
        <v>0</v>
      </c>
      <c r="W30">
        <v>3.5</v>
      </c>
      <c r="X30" t="s">
        <v>444</v>
      </c>
      <c r="Y30">
        <v>287</v>
      </c>
      <c r="Z30" t="s">
        <v>515</v>
      </c>
      <c r="AA30" t="s">
        <v>26</v>
      </c>
    </row>
    <row r="31" spans="1:27" hidden="1" x14ac:dyDescent="0.3">
      <c r="A31">
        <v>45</v>
      </c>
      <c r="B31">
        <v>0</v>
      </c>
      <c r="C31">
        <v>0</v>
      </c>
      <c r="D31" t="s">
        <v>18</v>
      </c>
      <c r="F31">
        <v>3.5</v>
      </c>
      <c r="G31" s="44">
        <v>-0.42570765063284399</v>
      </c>
      <c r="H31" s="44">
        <v>-8.3557494929724294E-2</v>
      </c>
      <c r="I31" s="161">
        <v>0.433830449330457</v>
      </c>
      <c r="J31" s="44">
        <v>6.0327809999999998E-9</v>
      </c>
      <c r="K31" s="44">
        <v>2.062341E-11</v>
      </c>
      <c r="L31">
        <v>1</v>
      </c>
      <c r="M31" s="44">
        <v>-0.43489370505066799</v>
      </c>
      <c r="N31" s="44">
        <v>-2.5339175413038001E-3</v>
      </c>
      <c r="O31">
        <v>15000</v>
      </c>
      <c r="P31">
        <v>16</v>
      </c>
      <c r="Q31">
        <v>1</v>
      </c>
      <c r="R31">
        <v>1</v>
      </c>
      <c r="S31">
        <v>1</v>
      </c>
      <c r="T31">
        <v>1E-3</v>
      </c>
      <c r="U31">
        <v>16</v>
      </c>
      <c r="V31">
        <v>0</v>
      </c>
      <c r="W31">
        <v>3.5</v>
      </c>
      <c r="X31" t="s">
        <v>444</v>
      </c>
      <c r="Y31">
        <v>286.39999999999998</v>
      </c>
      <c r="Z31" t="s">
        <v>516</v>
      </c>
      <c r="AA31" t="s">
        <v>26</v>
      </c>
    </row>
    <row r="32" spans="1:27" x14ac:dyDescent="0.3">
      <c r="A32">
        <v>42</v>
      </c>
      <c r="B32">
        <v>0</v>
      </c>
      <c r="C32">
        <v>0</v>
      </c>
      <c r="D32" t="s">
        <v>18</v>
      </c>
      <c r="F32">
        <v>3.75</v>
      </c>
      <c r="G32" s="45">
        <v>-0.29947851555650701</v>
      </c>
      <c r="H32" s="45">
        <v>-0.31288128786402097</v>
      </c>
      <c r="I32" s="161">
        <v>0.43310747116088599</v>
      </c>
      <c r="J32" s="44">
        <v>1.3911659999999999E-7</v>
      </c>
      <c r="K32" s="44">
        <v>1.152792E-8</v>
      </c>
      <c r="L32">
        <v>1</v>
      </c>
      <c r="M32" s="44">
        <v>-0.36192704155485</v>
      </c>
      <c r="N32" s="44">
        <v>-0.24113849137405899</v>
      </c>
      <c r="O32">
        <v>15000</v>
      </c>
      <c r="P32">
        <v>16</v>
      </c>
      <c r="Q32">
        <v>1</v>
      </c>
      <c r="R32">
        <v>1</v>
      </c>
      <c r="S32">
        <v>1</v>
      </c>
      <c r="T32">
        <v>1E-3</v>
      </c>
      <c r="U32">
        <v>16</v>
      </c>
      <c r="V32">
        <v>0</v>
      </c>
      <c r="W32">
        <v>3.75</v>
      </c>
      <c r="X32" t="s">
        <v>444</v>
      </c>
      <c r="Y32">
        <v>281.10000000000002</v>
      </c>
      <c r="Z32" t="s">
        <v>517</v>
      </c>
      <c r="AA32" t="s">
        <v>26</v>
      </c>
    </row>
    <row r="33" spans="1:27" hidden="1" x14ac:dyDescent="0.3">
      <c r="A33">
        <v>45</v>
      </c>
      <c r="B33">
        <v>0</v>
      </c>
      <c r="C33">
        <v>0</v>
      </c>
      <c r="D33" t="s">
        <v>18</v>
      </c>
      <c r="F33">
        <v>3.75</v>
      </c>
      <c r="G33" s="45">
        <v>-0.30105208863274502</v>
      </c>
      <c r="H33" s="45">
        <v>-0.312178057687236</v>
      </c>
      <c r="I33" s="161">
        <v>0.43369055762318998</v>
      </c>
      <c r="J33" s="44">
        <v>6.3260740000000003E-9</v>
      </c>
      <c r="K33" s="44">
        <v>2.0187270000000001E-11</v>
      </c>
      <c r="L33">
        <v>1</v>
      </c>
      <c r="M33" s="44">
        <v>-0.36192704155485</v>
      </c>
      <c r="N33" s="44">
        <v>-0.24113849137405899</v>
      </c>
      <c r="O33">
        <v>15000</v>
      </c>
      <c r="P33">
        <v>16</v>
      </c>
      <c r="Q33">
        <v>1</v>
      </c>
      <c r="R33">
        <v>1</v>
      </c>
      <c r="S33">
        <v>1</v>
      </c>
      <c r="T33">
        <v>1E-3</v>
      </c>
      <c r="U33">
        <v>16</v>
      </c>
      <c r="V33">
        <v>0</v>
      </c>
      <c r="W33">
        <v>3.75</v>
      </c>
      <c r="X33" t="s">
        <v>444</v>
      </c>
      <c r="Y33">
        <v>281.8</v>
      </c>
      <c r="Z33" t="s">
        <v>518</v>
      </c>
      <c r="AA33" t="s">
        <v>26</v>
      </c>
    </row>
    <row r="34" spans="1:27" x14ac:dyDescent="0.3">
      <c r="A34">
        <v>42</v>
      </c>
      <c r="B34">
        <v>0</v>
      </c>
      <c r="C34">
        <v>0</v>
      </c>
      <c r="D34" t="s">
        <v>18</v>
      </c>
      <c r="F34">
        <v>4</v>
      </c>
      <c r="G34" s="44">
        <v>-0.103987800170509</v>
      </c>
      <c r="H34" s="44">
        <v>-0.43229662445834599</v>
      </c>
      <c r="I34" s="161">
        <v>0.44462774778727199</v>
      </c>
      <c r="J34" s="44">
        <v>1.7406399999999999E-6</v>
      </c>
      <c r="K34" s="44">
        <v>1.4863610000000001E-6</v>
      </c>
      <c r="L34">
        <v>0.99999800000000005</v>
      </c>
      <c r="M34" s="44">
        <v>-0.15363019665698799</v>
      </c>
      <c r="N34" s="44">
        <v>-0.40686203817257099</v>
      </c>
      <c r="O34">
        <v>15000</v>
      </c>
      <c r="P34">
        <v>16</v>
      </c>
      <c r="Q34">
        <v>1</v>
      </c>
      <c r="R34">
        <v>1</v>
      </c>
      <c r="S34">
        <v>1</v>
      </c>
      <c r="T34">
        <v>1E-3</v>
      </c>
      <c r="U34">
        <v>16</v>
      </c>
      <c r="V34">
        <v>0</v>
      </c>
      <c r="W34">
        <v>4</v>
      </c>
      <c r="X34" t="s">
        <v>444</v>
      </c>
      <c r="Y34">
        <v>282.10000000000002</v>
      </c>
      <c r="Z34" t="s">
        <v>519</v>
      </c>
      <c r="AA34" t="s">
        <v>26</v>
      </c>
    </row>
    <row r="35" spans="1:27" hidden="1" x14ac:dyDescent="0.3">
      <c r="A35">
        <v>45</v>
      </c>
      <c r="B35">
        <v>0</v>
      </c>
      <c r="C35">
        <v>0</v>
      </c>
      <c r="D35" t="s">
        <v>18</v>
      </c>
      <c r="F35">
        <v>4</v>
      </c>
      <c r="G35" s="44">
        <v>-4.99552175648438E-2</v>
      </c>
      <c r="H35" s="44">
        <v>-0.43065351900302201</v>
      </c>
      <c r="I35" s="161">
        <v>0.43354120587510098</v>
      </c>
      <c r="J35" s="44">
        <v>5.7456670000000004E-9</v>
      </c>
      <c r="K35" s="44">
        <v>1.6771109999999998E-11</v>
      </c>
      <c r="L35">
        <v>1</v>
      </c>
      <c r="M35" s="44">
        <v>-0.15363019665698799</v>
      </c>
      <c r="N35" s="44">
        <v>-0.40686203817257099</v>
      </c>
      <c r="O35">
        <v>15000</v>
      </c>
      <c r="P35">
        <v>16</v>
      </c>
      <c r="Q35">
        <v>1</v>
      </c>
      <c r="R35">
        <v>1</v>
      </c>
      <c r="S35">
        <v>1</v>
      </c>
      <c r="T35">
        <v>1E-3</v>
      </c>
      <c r="U35">
        <v>16</v>
      </c>
      <c r="V35">
        <v>0</v>
      </c>
      <c r="W35">
        <v>4</v>
      </c>
      <c r="X35" t="s">
        <v>444</v>
      </c>
      <c r="Y35">
        <v>285.2</v>
      </c>
      <c r="Z35" t="s">
        <v>520</v>
      </c>
      <c r="AA35" t="s">
        <v>26</v>
      </c>
    </row>
    <row r="36" spans="1:27" x14ac:dyDescent="0.3">
      <c r="A36">
        <v>42</v>
      </c>
      <c r="B36">
        <v>0</v>
      </c>
      <c r="C36">
        <v>0</v>
      </c>
      <c r="D36" t="s">
        <v>18</v>
      </c>
      <c r="F36">
        <v>4.25</v>
      </c>
      <c r="G36" s="45">
        <v>0.23657729659027499</v>
      </c>
      <c r="H36" s="45">
        <v>-0.36260337920802399</v>
      </c>
      <c r="I36" s="161">
        <v>0.43295499520740099</v>
      </c>
      <c r="J36" s="44">
        <v>1.031859E-7</v>
      </c>
      <c r="K36" s="44">
        <v>5.4316299999999998E-9</v>
      </c>
      <c r="L36">
        <v>1</v>
      </c>
      <c r="M36" s="44">
        <v>0.12898390421313599</v>
      </c>
      <c r="N36" s="44">
        <v>-0.41533373073317797</v>
      </c>
      <c r="O36">
        <v>15000</v>
      </c>
      <c r="P36">
        <v>16</v>
      </c>
      <c r="Q36">
        <v>1</v>
      </c>
      <c r="R36">
        <v>1</v>
      </c>
      <c r="S36">
        <v>1</v>
      </c>
      <c r="T36">
        <v>1E-3</v>
      </c>
      <c r="U36">
        <v>16</v>
      </c>
      <c r="V36">
        <v>0</v>
      </c>
      <c r="W36">
        <v>4.25</v>
      </c>
      <c r="X36" t="s">
        <v>444</v>
      </c>
      <c r="Y36">
        <v>285.39999999999998</v>
      </c>
      <c r="Z36" t="s">
        <v>521</v>
      </c>
      <c r="AA36" t="s">
        <v>26</v>
      </c>
    </row>
    <row r="37" spans="1:27" hidden="1" x14ac:dyDescent="0.3">
      <c r="A37">
        <v>45</v>
      </c>
      <c r="B37">
        <v>0</v>
      </c>
      <c r="C37">
        <v>0</v>
      </c>
      <c r="D37" t="s">
        <v>18</v>
      </c>
      <c r="F37">
        <v>4.25</v>
      </c>
      <c r="G37" s="45">
        <v>0.23690339518256501</v>
      </c>
      <c r="H37" s="45">
        <v>-0.362902699028192</v>
      </c>
      <c r="I37" s="161">
        <v>0.43338388019280699</v>
      </c>
      <c r="J37" s="44">
        <v>6.022913E-9</v>
      </c>
      <c r="K37" s="44">
        <v>2.331663E-11</v>
      </c>
      <c r="L37">
        <v>1</v>
      </c>
      <c r="M37" s="44">
        <v>0.12898390421313599</v>
      </c>
      <c r="N37" s="44">
        <v>-0.41533373073317797</v>
      </c>
      <c r="O37">
        <v>15000</v>
      </c>
      <c r="P37">
        <v>16</v>
      </c>
      <c r="Q37">
        <v>1</v>
      </c>
      <c r="R37">
        <v>1</v>
      </c>
      <c r="S37">
        <v>1</v>
      </c>
      <c r="T37">
        <v>1E-3</v>
      </c>
      <c r="U37">
        <v>16</v>
      </c>
      <c r="V37">
        <v>0</v>
      </c>
      <c r="W37">
        <v>4.25</v>
      </c>
      <c r="X37" t="s">
        <v>444</v>
      </c>
      <c r="Y37">
        <v>282.89999999999998</v>
      </c>
      <c r="Z37" t="s">
        <v>522</v>
      </c>
      <c r="AA37" t="s">
        <v>26</v>
      </c>
    </row>
    <row r="38" spans="1:27" x14ac:dyDescent="0.3">
      <c r="A38">
        <v>42</v>
      </c>
      <c r="B38">
        <v>0</v>
      </c>
      <c r="C38">
        <v>0</v>
      </c>
      <c r="D38" t="s">
        <v>18</v>
      </c>
      <c r="F38">
        <v>4.5</v>
      </c>
      <c r="G38" s="44">
        <v>0.38523563824152102</v>
      </c>
      <c r="H38" s="44">
        <v>0.33513050735565297</v>
      </c>
      <c r="I38" s="161">
        <v>0.51060645700168095</v>
      </c>
      <c r="J38" s="44">
        <v>1.013756E-5</v>
      </c>
      <c r="K38" s="44">
        <v>3.722223E-5</v>
      </c>
      <c r="L38">
        <v>0.99995999999999996</v>
      </c>
      <c r="M38" s="44">
        <v>0.36675359306684402</v>
      </c>
      <c r="N38" s="44">
        <v>-0.23373223441229299</v>
      </c>
      <c r="O38">
        <v>15000</v>
      </c>
      <c r="P38">
        <v>16</v>
      </c>
      <c r="Q38">
        <v>1</v>
      </c>
      <c r="R38">
        <v>1</v>
      </c>
      <c r="S38">
        <v>1</v>
      </c>
      <c r="T38">
        <v>1E-3</v>
      </c>
      <c r="U38">
        <v>16</v>
      </c>
      <c r="V38">
        <v>0</v>
      </c>
      <c r="W38">
        <v>4.5</v>
      </c>
      <c r="X38" t="s">
        <v>444</v>
      </c>
      <c r="Y38">
        <v>279</v>
      </c>
      <c r="Z38" t="s">
        <v>523</v>
      </c>
      <c r="AA38" t="s">
        <v>26</v>
      </c>
    </row>
    <row r="39" spans="1:27" hidden="1" x14ac:dyDescent="0.3">
      <c r="A39">
        <v>45</v>
      </c>
      <c r="B39">
        <v>0</v>
      </c>
      <c r="C39">
        <v>0</v>
      </c>
      <c r="D39" t="s">
        <v>18</v>
      </c>
      <c r="F39">
        <v>4.5</v>
      </c>
      <c r="G39" s="44">
        <v>0.41903295779589</v>
      </c>
      <c r="H39" s="44">
        <v>-0.109938999436324</v>
      </c>
      <c r="I39" s="161">
        <v>0.43321496201797199</v>
      </c>
      <c r="J39" s="44">
        <v>7.6873560000000006E-9</v>
      </c>
      <c r="K39" s="44">
        <v>2.921424E-11</v>
      </c>
      <c r="L39">
        <v>1</v>
      </c>
      <c r="M39" s="44">
        <v>0.36675359306684402</v>
      </c>
      <c r="N39" s="44">
        <v>-0.23373223441229299</v>
      </c>
      <c r="O39">
        <v>15000</v>
      </c>
      <c r="P39">
        <v>16</v>
      </c>
      <c r="Q39">
        <v>1</v>
      </c>
      <c r="R39">
        <v>1</v>
      </c>
      <c r="S39">
        <v>1</v>
      </c>
      <c r="T39">
        <v>1E-3</v>
      </c>
      <c r="U39">
        <v>16</v>
      </c>
      <c r="V39">
        <v>0</v>
      </c>
      <c r="W39">
        <v>4.5</v>
      </c>
      <c r="X39" t="s">
        <v>444</v>
      </c>
      <c r="Y39">
        <v>277</v>
      </c>
      <c r="Z39" t="s">
        <v>524</v>
      </c>
      <c r="AA39" t="s">
        <v>26</v>
      </c>
    </row>
    <row r="40" spans="1:27" x14ac:dyDescent="0.3">
      <c r="A40">
        <v>42</v>
      </c>
      <c r="B40">
        <v>0</v>
      </c>
      <c r="C40">
        <v>0</v>
      </c>
      <c r="D40" t="s">
        <v>18</v>
      </c>
      <c r="F40" s="162">
        <v>4.75</v>
      </c>
      <c r="G40" s="98">
        <v>0.29751718232728402</v>
      </c>
      <c r="H40" s="98">
        <v>0.75669127149900695</v>
      </c>
      <c r="I40" s="161">
        <v>0.81307942671226796</v>
      </c>
      <c r="J40" s="44">
        <v>4.1385060000000002E-5</v>
      </c>
      <c r="K40" s="44">
        <v>2.337869E-4</v>
      </c>
      <c r="L40">
        <v>0.99972700000000003</v>
      </c>
      <c r="M40" s="44">
        <v>0.42825683585732799</v>
      </c>
      <c r="N40" s="44">
        <v>7.5730033489181905E-2</v>
      </c>
      <c r="O40">
        <v>15000</v>
      </c>
      <c r="P40">
        <v>16</v>
      </c>
      <c r="Q40">
        <v>1</v>
      </c>
      <c r="R40">
        <v>1</v>
      </c>
      <c r="S40">
        <v>1</v>
      </c>
      <c r="T40">
        <v>1E-3</v>
      </c>
      <c r="U40">
        <v>16</v>
      </c>
      <c r="V40">
        <v>0</v>
      </c>
      <c r="W40">
        <v>4.75</v>
      </c>
      <c r="X40" t="s">
        <v>444</v>
      </c>
      <c r="Y40">
        <v>282.39999999999998</v>
      </c>
      <c r="Z40" t="s">
        <v>525</v>
      </c>
      <c r="AA40" t="s">
        <v>26</v>
      </c>
    </row>
    <row r="41" spans="1:27" hidden="1" x14ac:dyDescent="0.3">
      <c r="A41">
        <v>45</v>
      </c>
      <c r="B41">
        <v>0</v>
      </c>
      <c r="C41">
        <v>0</v>
      </c>
      <c r="D41" t="s">
        <v>18</v>
      </c>
      <c r="F41" s="162">
        <v>4.75</v>
      </c>
      <c r="G41" s="98">
        <v>0.37550957212769298</v>
      </c>
      <c r="H41" s="98">
        <v>0.215672931553577</v>
      </c>
      <c r="I41" s="161">
        <v>0.43303839571617297</v>
      </c>
      <c r="J41" s="44">
        <v>7.3879440000000001E-9</v>
      </c>
      <c r="K41" s="44">
        <v>3.2452340000000002E-11</v>
      </c>
      <c r="L41">
        <v>1</v>
      </c>
      <c r="M41" s="44">
        <v>0.42825683585732799</v>
      </c>
      <c r="N41" s="44">
        <v>7.5730033489181905E-2</v>
      </c>
      <c r="O41">
        <v>15000</v>
      </c>
      <c r="P41">
        <v>16</v>
      </c>
      <c r="Q41">
        <v>1</v>
      </c>
      <c r="R41">
        <v>1</v>
      </c>
      <c r="S41">
        <v>1</v>
      </c>
      <c r="T41">
        <v>1E-3</v>
      </c>
      <c r="U41">
        <v>16</v>
      </c>
      <c r="V41">
        <v>0</v>
      </c>
      <c r="W41">
        <v>4.75</v>
      </c>
      <c r="X41" t="s">
        <v>444</v>
      </c>
      <c r="Y41">
        <v>281.3</v>
      </c>
      <c r="Z41" t="s">
        <v>526</v>
      </c>
      <c r="AA41" t="s">
        <v>26</v>
      </c>
    </row>
    <row r="42" spans="1:27" x14ac:dyDescent="0.3">
      <c r="A42">
        <v>42</v>
      </c>
      <c r="B42">
        <v>0</v>
      </c>
      <c r="C42">
        <v>0</v>
      </c>
      <c r="D42" t="s">
        <v>18</v>
      </c>
      <c r="F42">
        <v>5</v>
      </c>
      <c r="G42" s="44">
        <v>9.0424038282531594E-2</v>
      </c>
      <c r="H42" s="44">
        <v>0.42063658365697598</v>
      </c>
      <c r="I42" s="161">
        <v>0.43024602521108002</v>
      </c>
      <c r="J42" s="44">
        <v>3.2461679999999999E-7</v>
      </c>
      <c r="K42" s="44">
        <v>4.9222979999999997E-8</v>
      </c>
      <c r="L42">
        <v>1</v>
      </c>
      <c r="M42" s="44">
        <v>0.25028795366583501</v>
      </c>
      <c r="N42" s="44">
        <v>0.35566120913106603</v>
      </c>
      <c r="O42">
        <v>15000</v>
      </c>
      <c r="P42">
        <v>16</v>
      </c>
      <c r="Q42">
        <v>1</v>
      </c>
      <c r="R42">
        <v>1</v>
      </c>
      <c r="S42">
        <v>1</v>
      </c>
      <c r="T42">
        <v>1E-3</v>
      </c>
      <c r="U42">
        <v>16</v>
      </c>
      <c r="V42">
        <v>0</v>
      </c>
      <c r="W42">
        <v>5</v>
      </c>
      <c r="X42" t="s">
        <v>444</v>
      </c>
      <c r="Y42">
        <v>278.10000000000002</v>
      </c>
      <c r="Z42" t="s">
        <v>527</v>
      </c>
      <c r="AA42" t="s">
        <v>26</v>
      </c>
    </row>
    <row r="43" spans="1:27" hidden="1" x14ac:dyDescent="0.3">
      <c r="A43">
        <v>45</v>
      </c>
      <c r="B43">
        <v>0</v>
      </c>
      <c r="C43">
        <v>0</v>
      </c>
      <c r="D43" t="s">
        <v>18</v>
      </c>
      <c r="F43">
        <v>5</v>
      </c>
      <c r="G43" s="44">
        <v>9.8459907915989395E-2</v>
      </c>
      <c r="H43" s="44">
        <v>0.42150205162194498</v>
      </c>
      <c r="I43" s="161">
        <v>0.43284908800681798</v>
      </c>
      <c r="J43" s="44">
        <v>1.05895E-8</v>
      </c>
      <c r="K43" s="44">
        <v>5.4884919999999999E-11</v>
      </c>
      <c r="L43">
        <v>1</v>
      </c>
      <c r="M43" s="44">
        <v>0.25028795366583501</v>
      </c>
      <c r="N43" s="44">
        <v>0.35566120913106603</v>
      </c>
      <c r="O43">
        <v>15000</v>
      </c>
      <c r="P43">
        <v>16</v>
      </c>
      <c r="Q43">
        <v>1</v>
      </c>
      <c r="R43">
        <v>1</v>
      </c>
      <c r="S43">
        <v>1</v>
      </c>
      <c r="T43">
        <v>1E-3</v>
      </c>
      <c r="U43">
        <v>16</v>
      </c>
      <c r="V43">
        <v>0</v>
      </c>
      <c r="W43">
        <v>5</v>
      </c>
      <c r="X43" t="s">
        <v>444</v>
      </c>
      <c r="Y43">
        <v>281.3</v>
      </c>
      <c r="Z43" t="s">
        <v>528</v>
      </c>
      <c r="AA43" t="s">
        <v>26</v>
      </c>
    </row>
    <row r="44" spans="1:27" x14ac:dyDescent="0.3">
      <c r="A44">
        <v>42</v>
      </c>
      <c r="B44">
        <v>0</v>
      </c>
      <c r="C44">
        <v>0</v>
      </c>
      <c r="D44" t="s">
        <v>18</v>
      </c>
      <c r="F44">
        <v>5.25</v>
      </c>
      <c r="G44" s="44">
        <v>-0.25580446727247502</v>
      </c>
      <c r="H44" s="44">
        <v>0.34901680185230399</v>
      </c>
      <c r="I44" s="161">
        <v>0.432722374567996</v>
      </c>
      <c r="J44" s="44">
        <v>2.527199E-8</v>
      </c>
      <c r="K44" s="44">
        <v>3.5450959999999997E-10</v>
      </c>
      <c r="L44">
        <v>1</v>
      </c>
      <c r="M44" s="44">
        <v>-9.0429339268449205E-2</v>
      </c>
      <c r="N44" s="44">
        <v>0.425395686426502</v>
      </c>
      <c r="O44">
        <v>15000</v>
      </c>
      <c r="P44">
        <v>16</v>
      </c>
      <c r="Q44">
        <v>1</v>
      </c>
      <c r="R44">
        <v>1</v>
      </c>
      <c r="S44">
        <v>1</v>
      </c>
      <c r="T44">
        <v>1E-3</v>
      </c>
      <c r="U44">
        <v>16</v>
      </c>
      <c r="V44">
        <v>0</v>
      </c>
      <c r="W44">
        <v>5.25</v>
      </c>
      <c r="X44" t="s">
        <v>444</v>
      </c>
      <c r="Y44">
        <v>281.8</v>
      </c>
      <c r="Z44" t="s">
        <v>529</v>
      </c>
      <c r="AA44" t="s">
        <v>26</v>
      </c>
    </row>
    <row r="45" spans="1:27" hidden="1" x14ac:dyDescent="0.3">
      <c r="A45">
        <v>45</v>
      </c>
      <c r="B45">
        <v>0</v>
      </c>
      <c r="C45">
        <v>0</v>
      </c>
      <c r="D45" t="s">
        <v>18</v>
      </c>
      <c r="F45">
        <v>5.25</v>
      </c>
      <c r="G45" s="44">
        <v>-0.25578506533446499</v>
      </c>
      <c r="H45" s="44">
        <v>0.34894679683971802</v>
      </c>
      <c r="I45" s="161">
        <v>0.43265444256687902</v>
      </c>
      <c r="J45" s="44">
        <v>8.6185830000000004E-9</v>
      </c>
      <c r="K45" s="44">
        <v>4.4067169999999998E-11</v>
      </c>
      <c r="L45">
        <v>1</v>
      </c>
      <c r="M45" s="44">
        <v>-9.0429339268449205E-2</v>
      </c>
      <c r="N45" s="44">
        <v>0.425395686426502</v>
      </c>
      <c r="O45">
        <v>15000</v>
      </c>
      <c r="P45">
        <v>16</v>
      </c>
      <c r="Q45">
        <v>1</v>
      </c>
      <c r="R45">
        <v>1</v>
      </c>
      <c r="S45">
        <v>1</v>
      </c>
      <c r="T45">
        <v>1E-3</v>
      </c>
      <c r="U45">
        <v>16</v>
      </c>
      <c r="V45">
        <v>0</v>
      </c>
      <c r="W45">
        <v>5.25</v>
      </c>
      <c r="X45" t="s">
        <v>444</v>
      </c>
      <c r="Y45">
        <v>280.60000000000002</v>
      </c>
      <c r="Z45" t="s">
        <v>530</v>
      </c>
      <c r="AA45" t="s">
        <v>26</v>
      </c>
    </row>
    <row r="46" spans="1:27" x14ac:dyDescent="0.3">
      <c r="A46">
        <v>42</v>
      </c>
      <c r="B46">
        <v>0</v>
      </c>
      <c r="C46">
        <v>0</v>
      </c>
      <c r="D46" t="s">
        <v>18</v>
      </c>
      <c r="F46">
        <v>5.5</v>
      </c>
      <c r="G46" s="44">
        <v>-0.43168734232761702</v>
      </c>
      <c r="H46" s="44">
        <v>6.0115151052851298E-2</v>
      </c>
      <c r="I46" s="161">
        <v>0.43585294872466801</v>
      </c>
      <c r="J46" s="44">
        <v>1.083266E-6</v>
      </c>
      <c r="K46" s="44">
        <v>5.6288759999999996E-7</v>
      </c>
      <c r="L46">
        <v>0.99999899999999997</v>
      </c>
      <c r="M46" s="44">
        <v>-0.38196867215320102</v>
      </c>
      <c r="N46" s="44">
        <v>0.20793962807585201</v>
      </c>
      <c r="O46">
        <v>15000</v>
      </c>
      <c r="P46">
        <v>16</v>
      </c>
      <c r="Q46">
        <v>1</v>
      </c>
      <c r="R46">
        <v>1</v>
      </c>
      <c r="S46">
        <v>1</v>
      </c>
      <c r="T46">
        <v>1E-3</v>
      </c>
      <c r="U46">
        <v>16</v>
      </c>
      <c r="V46">
        <v>0</v>
      </c>
      <c r="W46">
        <v>5.5</v>
      </c>
      <c r="X46" t="s">
        <v>444</v>
      </c>
      <c r="Y46">
        <v>283.10000000000002</v>
      </c>
      <c r="Z46" t="s">
        <v>531</v>
      </c>
      <c r="AA46" t="s">
        <v>26</v>
      </c>
    </row>
    <row r="47" spans="1:27" hidden="1" x14ac:dyDescent="0.3">
      <c r="A47">
        <v>45</v>
      </c>
      <c r="B47">
        <v>0</v>
      </c>
      <c r="C47">
        <v>0</v>
      </c>
      <c r="D47" t="s">
        <v>18</v>
      </c>
      <c r="F47">
        <v>5.5</v>
      </c>
      <c r="G47" s="44">
        <v>-0.43219586766431101</v>
      </c>
      <c r="H47" s="44">
        <v>1.4776864272422601E-2</v>
      </c>
      <c r="I47" s="161">
        <v>0.43244840587500399</v>
      </c>
      <c r="J47" s="44">
        <v>7.2605660000000003E-9</v>
      </c>
      <c r="K47" s="44">
        <v>3.0499390000000001E-11</v>
      </c>
      <c r="L47">
        <v>1</v>
      </c>
      <c r="M47" s="44">
        <v>-0.38196867215320102</v>
      </c>
      <c r="N47" s="44">
        <v>0.20793962807585201</v>
      </c>
      <c r="O47">
        <v>15000</v>
      </c>
      <c r="P47">
        <v>16</v>
      </c>
      <c r="Q47">
        <v>1</v>
      </c>
      <c r="R47">
        <v>1</v>
      </c>
      <c r="S47">
        <v>1</v>
      </c>
      <c r="T47">
        <v>1E-3</v>
      </c>
      <c r="U47">
        <v>16</v>
      </c>
      <c r="V47">
        <v>0</v>
      </c>
      <c r="W47">
        <v>5.5</v>
      </c>
      <c r="X47" t="s">
        <v>444</v>
      </c>
      <c r="Y47">
        <v>279.39999999999998</v>
      </c>
      <c r="Z47" t="s">
        <v>532</v>
      </c>
      <c r="AA47" t="s">
        <v>26</v>
      </c>
    </row>
    <row r="48" spans="1:27" x14ac:dyDescent="0.3">
      <c r="A48">
        <v>42</v>
      </c>
      <c r="B48">
        <v>0</v>
      </c>
      <c r="C48">
        <v>0</v>
      </c>
      <c r="D48" t="s">
        <v>18</v>
      </c>
      <c r="F48">
        <v>5.75</v>
      </c>
      <c r="G48" s="44">
        <v>-0.26538851754802401</v>
      </c>
      <c r="H48" s="44">
        <v>-0.34156600375720803</v>
      </c>
      <c r="I48" s="161">
        <v>0.432548725774342</v>
      </c>
      <c r="J48" s="44">
        <v>1.188161E-7</v>
      </c>
      <c r="K48" s="44">
        <v>6.11743E-9</v>
      </c>
      <c r="L48">
        <v>1</v>
      </c>
      <c r="M48" s="44">
        <v>-0.399818391919529</v>
      </c>
      <c r="N48" s="44">
        <v>-0.17112629521404599</v>
      </c>
      <c r="O48">
        <v>15000</v>
      </c>
      <c r="P48">
        <v>16</v>
      </c>
      <c r="Q48">
        <v>1</v>
      </c>
      <c r="R48">
        <v>1</v>
      </c>
      <c r="S48">
        <v>1</v>
      </c>
      <c r="T48">
        <v>1E-3</v>
      </c>
      <c r="U48">
        <v>16</v>
      </c>
      <c r="V48">
        <v>0</v>
      </c>
      <c r="W48">
        <v>5.75</v>
      </c>
      <c r="X48" t="s">
        <v>444</v>
      </c>
      <c r="Y48">
        <v>283.89999999999998</v>
      </c>
      <c r="Z48" t="s">
        <v>533</v>
      </c>
      <c r="AA48" t="s">
        <v>26</v>
      </c>
    </row>
    <row r="49" spans="1:27" hidden="1" x14ac:dyDescent="0.3">
      <c r="A49">
        <v>45</v>
      </c>
      <c r="B49">
        <v>0</v>
      </c>
      <c r="C49">
        <v>0</v>
      </c>
      <c r="D49" t="s">
        <v>18</v>
      </c>
      <c r="F49">
        <v>5.75</v>
      </c>
      <c r="G49" s="44">
        <v>-0.26461615824175899</v>
      </c>
      <c r="H49" s="44">
        <v>-0.34176531399023802</v>
      </c>
      <c r="I49" s="161">
        <v>0.43223285512495802</v>
      </c>
      <c r="J49" s="44">
        <v>6.8007299999999999E-9</v>
      </c>
      <c r="K49" s="44">
        <v>2.7407910000000001E-11</v>
      </c>
      <c r="L49">
        <v>1</v>
      </c>
      <c r="M49" s="44">
        <v>-0.399818391919529</v>
      </c>
      <c r="N49" s="44">
        <v>-0.17112629521404599</v>
      </c>
      <c r="O49">
        <v>15000</v>
      </c>
      <c r="P49">
        <v>16</v>
      </c>
      <c r="Q49">
        <v>1</v>
      </c>
      <c r="R49">
        <v>1</v>
      </c>
      <c r="S49">
        <v>1</v>
      </c>
      <c r="T49">
        <v>1E-3</v>
      </c>
      <c r="U49">
        <v>16</v>
      </c>
      <c r="V49">
        <v>0</v>
      </c>
      <c r="W49">
        <v>5.75</v>
      </c>
      <c r="X49" t="s">
        <v>444</v>
      </c>
      <c r="Y49">
        <v>278.39999999999998</v>
      </c>
      <c r="Z49" t="s">
        <v>534</v>
      </c>
      <c r="AA49" t="s">
        <v>26</v>
      </c>
    </row>
    <row r="50" spans="1:27" x14ac:dyDescent="0.3">
      <c r="A50">
        <v>42</v>
      </c>
      <c r="B50">
        <v>0</v>
      </c>
      <c r="C50">
        <v>0</v>
      </c>
      <c r="D50" t="s">
        <v>18</v>
      </c>
      <c r="F50">
        <v>6</v>
      </c>
      <c r="G50" s="44">
        <v>0.13970751681530999</v>
      </c>
      <c r="H50" s="44">
        <v>-0.40589235802400297</v>
      </c>
      <c r="I50" s="161">
        <v>0.42926308548136999</v>
      </c>
      <c r="J50" s="44">
        <v>2.6526170000000001E-7</v>
      </c>
      <c r="K50" s="44">
        <v>3.9287340000000002E-8</v>
      </c>
      <c r="L50">
        <v>1</v>
      </c>
      <c r="M50" s="44">
        <v>-9.6310638158220802E-2</v>
      </c>
      <c r="N50" s="44">
        <v>-0.42410283706709601</v>
      </c>
      <c r="O50">
        <v>15000</v>
      </c>
      <c r="P50">
        <v>16</v>
      </c>
      <c r="Q50">
        <v>1</v>
      </c>
      <c r="R50">
        <v>1</v>
      </c>
      <c r="S50">
        <v>1</v>
      </c>
      <c r="T50">
        <v>1E-3</v>
      </c>
      <c r="U50">
        <v>16</v>
      </c>
      <c r="V50">
        <v>0</v>
      </c>
      <c r="W50">
        <v>6</v>
      </c>
      <c r="X50" t="s">
        <v>444</v>
      </c>
      <c r="Y50">
        <v>282.7</v>
      </c>
      <c r="Z50" t="s">
        <v>535</v>
      </c>
      <c r="AA50" t="s">
        <v>26</v>
      </c>
    </row>
    <row r="51" spans="1:27" hidden="1" x14ac:dyDescent="0.3">
      <c r="A51">
        <v>45</v>
      </c>
      <c r="B51">
        <v>0</v>
      </c>
      <c r="C51">
        <v>0</v>
      </c>
      <c r="D51" t="s">
        <v>18</v>
      </c>
      <c r="F51">
        <v>6</v>
      </c>
      <c r="G51" s="44">
        <v>0.13971326169609699</v>
      </c>
      <c r="H51" s="44">
        <v>-0.40879266932263703</v>
      </c>
      <c r="I51" s="161">
        <v>0.43200838184656598</v>
      </c>
      <c r="J51" s="44">
        <v>8.8496910000000006E-9</v>
      </c>
      <c r="K51" s="44">
        <v>3.5868839999999997E-11</v>
      </c>
      <c r="L51">
        <v>1</v>
      </c>
      <c r="M51" s="44">
        <v>-9.6310638158220802E-2</v>
      </c>
      <c r="N51" s="44">
        <v>-0.42410283706709601</v>
      </c>
      <c r="O51">
        <v>15000</v>
      </c>
      <c r="P51">
        <v>16</v>
      </c>
      <c r="Q51">
        <v>1</v>
      </c>
      <c r="R51">
        <v>1</v>
      </c>
      <c r="S51">
        <v>1</v>
      </c>
      <c r="T51">
        <v>1E-3</v>
      </c>
      <c r="U51">
        <v>16</v>
      </c>
      <c r="V51">
        <v>0</v>
      </c>
      <c r="W51">
        <v>6</v>
      </c>
      <c r="X51" t="s">
        <v>444</v>
      </c>
      <c r="Y51">
        <v>283.2</v>
      </c>
      <c r="Z51" t="s">
        <v>536</v>
      </c>
      <c r="AA51" t="s">
        <v>26</v>
      </c>
    </row>
    <row r="52" spans="1:27" x14ac:dyDescent="0.3">
      <c r="A52">
        <v>42</v>
      </c>
      <c r="B52">
        <v>0</v>
      </c>
      <c r="C52">
        <v>0</v>
      </c>
      <c r="D52" t="s">
        <v>18</v>
      </c>
      <c r="F52">
        <v>6.25</v>
      </c>
      <c r="G52" s="44">
        <v>0.42210757188655801</v>
      </c>
      <c r="H52" s="44">
        <v>-9.0385509932802005E-2</v>
      </c>
      <c r="I52" s="161">
        <v>0.431676201162143</v>
      </c>
      <c r="J52" s="44">
        <v>3.7606619999999998E-8</v>
      </c>
      <c r="K52" s="44">
        <v>7.5633349999999999E-10</v>
      </c>
      <c r="L52">
        <v>1</v>
      </c>
      <c r="M52" s="44">
        <v>0.29958083084489201</v>
      </c>
      <c r="N52" s="44">
        <v>-0.31526224198449099</v>
      </c>
      <c r="O52">
        <v>15000</v>
      </c>
      <c r="P52">
        <v>16</v>
      </c>
      <c r="Q52">
        <v>1</v>
      </c>
      <c r="R52">
        <v>1</v>
      </c>
      <c r="S52">
        <v>1</v>
      </c>
      <c r="T52">
        <v>1E-3</v>
      </c>
      <c r="U52">
        <v>16</v>
      </c>
      <c r="V52">
        <v>0</v>
      </c>
      <c r="W52">
        <v>6.25</v>
      </c>
      <c r="X52" t="s">
        <v>444</v>
      </c>
      <c r="Y52">
        <v>281.10000000000002</v>
      </c>
      <c r="Z52" t="s">
        <v>537</v>
      </c>
      <c r="AA52" t="s">
        <v>26</v>
      </c>
    </row>
    <row r="53" spans="1:27" hidden="1" x14ac:dyDescent="0.3">
      <c r="A53">
        <v>45</v>
      </c>
      <c r="B53">
        <v>0</v>
      </c>
      <c r="C53">
        <v>0</v>
      </c>
      <c r="D53" t="s">
        <v>18</v>
      </c>
      <c r="F53">
        <v>6.25</v>
      </c>
      <c r="G53" s="44">
        <v>0.42217616477301401</v>
      </c>
      <c r="H53" s="44">
        <v>-9.0534783667053295E-2</v>
      </c>
      <c r="I53" s="161">
        <v>0.43177454899066398</v>
      </c>
      <c r="J53" s="44">
        <v>8.8265989999999998E-9</v>
      </c>
      <c r="K53" s="44">
        <v>4.6757889999999999E-11</v>
      </c>
      <c r="L53">
        <v>1</v>
      </c>
      <c r="M53" s="44">
        <v>0.29958083084489201</v>
      </c>
      <c r="N53" s="44">
        <v>-0.31526224198449099</v>
      </c>
      <c r="O53">
        <v>15000</v>
      </c>
      <c r="P53">
        <v>16</v>
      </c>
      <c r="Q53">
        <v>1</v>
      </c>
      <c r="R53">
        <v>1</v>
      </c>
      <c r="S53">
        <v>1</v>
      </c>
      <c r="T53">
        <v>1E-3</v>
      </c>
      <c r="U53">
        <v>16</v>
      </c>
      <c r="V53">
        <v>0</v>
      </c>
      <c r="W53">
        <v>6.25</v>
      </c>
      <c r="X53" t="s">
        <v>444</v>
      </c>
      <c r="Y53">
        <v>279.10000000000002</v>
      </c>
      <c r="Z53" t="s">
        <v>538</v>
      </c>
      <c r="AA53" t="s">
        <v>26</v>
      </c>
    </row>
    <row r="54" spans="1:27" x14ac:dyDescent="0.3">
      <c r="A54">
        <v>42</v>
      </c>
      <c r="B54">
        <v>0</v>
      </c>
      <c r="C54">
        <v>0</v>
      </c>
      <c r="D54" t="s">
        <v>18</v>
      </c>
      <c r="F54">
        <v>6.5</v>
      </c>
      <c r="G54" s="44">
        <v>0.27641095168922297</v>
      </c>
      <c r="H54" s="44">
        <v>0.33002675604669601</v>
      </c>
      <c r="I54" s="161">
        <v>0.430488877812711</v>
      </c>
      <c r="J54" s="44">
        <v>2.9874219999999997E-7</v>
      </c>
      <c r="K54" s="44">
        <v>5.0131150000000002E-8</v>
      </c>
      <c r="L54">
        <v>1</v>
      </c>
      <c r="M54" s="44">
        <v>0.42512444070403799</v>
      </c>
      <c r="N54" s="44">
        <v>9.1696048698305305E-2</v>
      </c>
      <c r="O54">
        <v>15000</v>
      </c>
      <c r="P54">
        <v>16</v>
      </c>
      <c r="Q54">
        <v>1</v>
      </c>
      <c r="R54">
        <v>1</v>
      </c>
      <c r="S54">
        <v>1</v>
      </c>
      <c r="T54">
        <v>1E-3</v>
      </c>
      <c r="U54">
        <v>16</v>
      </c>
      <c r="V54">
        <v>0</v>
      </c>
      <c r="W54">
        <v>6.5</v>
      </c>
      <c r="X54" t="s">
        <v>444</v>
      </c>
      <c r="Y54">
        <v>274.8</v>
      </c>
      <c r="Z54" t="s">
        <v>539</v>
      </c>
      <c r="AA54" t="s">
        <v>26</v>
      </c>
    </row>
    <row r="55" spans="1:27" hidden="1" x14ac:dyDescent="0.3">
      <c r="A55">
        <v>45</v>
      </c>
      <c r="B55">
        <v>0</v>
      </c>
      <c r="C55">
        <v>0</v>
      </c>
      <c r="D55" t="s">
        <v>18</v>
      </c>
      <c r="F55">
        <v>6.5</v>
      </c>
      <c r="G55" s="44">
        <v>0.28121121461869902</v>
      </c>
      <c r="H55" s="44">
        <v>0.32732112778928801</v>
      </c>
      <c r="I55" s="161">
        <v>0.43153084237928602</v>
      </c>
      <c r="J55" s="44">
        <v>8.6950309999999994E-9</v>
      </c>
      <c r="K55" s="44">
        <v>4.5321889999999997E-11</v>
      </c>
      <c r="L55">
        <v>1</v>
      </c>
      <c r="M55" s="44">
        <v>0.42512444070403799</v>
      </c>
      <c r="N55" s="44">
        <v>9.1696048698305305E-2</v>
      </c>
      <c r="O55">
        <v>15000</v>
      </c>
      <c r="P55">
        <v>16</v>
      </c>
      <c r="Q55">
        <v>1</v>
      </c>
      <c r="R55">
        <v>1</v>
      </c>
      <c r="S55">
        <v>1</v>
      </c>
      <c r="T55">
        <v>1E-3</v>
      </c>
      <c r="U55">
        <v>16</v>
      </c>
      <c r="V55">
        <v>0</v>
      </c>
      <c r="W55">
        <v>6.5</v>
      </c>
      <c r="X55" t="s">
        <v>444</v>
      </c>
      <c r="Y55">
        <v>279.3</v>
      </c>
      <c r="Z55" t="s">
        <v>540</v>
      </c>
      <c r="AA55" t="s">
        <v>26</v>
      </c>
    </row>
    <row r="56" spans="1:27" x14ac:dyDescent="0.3">
      <c r="A56">
        <v>42</v>
      </c>
      <c r="B56">
        <v>0</v>
      </c>
      <c r="C56">
        <v>0</v>
      </c>
      <c r="D56" t="s">
        <v>18</v>
      </c>
      <c r="F56">
        <v>6.75</v>
      </c>
      <c r="G56" s="44">
        <v>0.42922935668967999</v>
      </c>
      <c r="H56" s="44">
        <v>0.87054781580497698</v>
      </c>
      <c r="I56" s="161">
        <v>0.97061389864716696</v>
      </c>
      <c r="J56" s="44">
        <v>9.4530619999999994E-5</v>
      </c>
      <c r="K56" s="44">
        <v>9.9706129999999993E-4</v>
      </c>
      <c r="L56">
        <v>0.99907299999999999</v>
      </c>
      <c r="M56" s="44">
        <v>0.12639842613082</v>
      </c>
      <c r="N56" s="44">
        <v>0.41612785691714399</v>
      </c>
      <c r="O56">
        <v>15000</v>
      </c>
      <c r="P56">
        <v>16</v>
      </c>
      <c r="Q56">
        <v>1</v>
      </c>
      <c r="R56">
        <v>1</v>
      </c>
      <c r="S56">
        <v>1</v>
      </c>
      <c r="T56">
        <v>1E-3</v>
      </c>
      <c r="U56">
        <v>16</v>
      </c>
      <c r="V56">
        <v>0</v>
      </c>
      <c r="W56">
        <v>6.75</v>
      </c>
      <c r="X56" t="s">
        <v>444</v>
      </c>
      <c r="Y56">
        <v>282.10000000000002</v>
      </c>
      <c r="Z56" t="s">
        <v>541</v>
      </c>
      <c r="AA56" t="s">
        <v>26</v>
      </c>
    </row>
    <row r="57" spans="1:27" hidden="1" x14ac:dyDescent="0.3">
      <c r="A57">
        <v>45</v>
      </c>
      <c r="B57">
        <v>0</v>
      </c>
      <c r="C57">
        <v>0</v>
      </c>
      <c r="D57" t="s">
        <v>18</v>
      </c>
      <c r="F57">
        <v>6.75</v>
      </c>
      <c r="G57" s="44">
        <v>-0.16975356987934001</v>
      </c>
      <c r="H57" s="44">
        <v>0.39646310593318701</v>
      </c>
      <c r="I57" s="161">
        <v>0.43127632540283201</v>
      </c>
      <c r="J57" s="44">
        <v>1.115689E-8</v>
      </c>
      <c r="K57" s="44">
        <v>6.099835E-11</v>
      </c>
      <c r="L57">
        <v>1</v>
      </c>
      <c r="M57" s="44">
        <v>0.12639842613082</v>
      </c>
      <c r="N57" s="44">
        <v>0.41612785691714399</v>
      </c>
      <c r="O57">
        <v>15000</v>
      </c>
      <c r="P57">
        <v>16</v>
      </c>
      <c r="Q57">
        <v>1</v>
      </c>
      <c r="R57">
        <v>1</v>
      </c>
      <c r="S57">
        <v>1</v>
      </c>
      <c r="T57">
        <v>1E-3</v>
      </c>
      <c r="U57">
        <v>16</v>
      </c>
      <c r="V57">
        <v>0</v>
      </c>
      <c r="W57">
        <v>6.75</v>
      </c>
      <c r="X57" t="s">
        <v>444</v>
      </c>
      <c r="Y57">
        <v>278.3</v>
      </c>
      <c r="Z57" t="s">
        <v>542</v>
      </c>
      <c r="AA57" t="s">
        <v>26</v>
      </c>
    </row>
    <row r="58" spans="1:27" x14ac:dyDescent="0.3">
      <c r="A58">
        <v>42</v>
      </c>
      <c r="B58">
        <v>0</v>
      </c>
      <c r="C58">
        <v>0</v>
      </c>
      <c r="D58" t="s">
        <v>18</v>
      </c>
      <c r="F58">
        <v>7</v>
      </c>
      <c r="G58" s="44">
        <v>-0.43038826162495503</v>
      </c>
      <c r="H58" s="44">
        <v>2.2766394850668599E-3</v>
      </c>
      <c r="I58" s="161">
        <v>0.430394282991649</v>
      </c>
      <c r="J58" s="44">
        <v>1.4362599999999999E-7</v>
      </c>
      <c r="K58" s="44">
        <v>1.3000820000000001E-8</v>
      </c>
      <c r="L58">
        <v>1</v>
      </c>
      <c r="M58" s="44">
        <v>-0.31460438747207398</v>
      </c>
      <c r="N58" s="44">
        <v>0.30027160174436202</v>
      </c>
      <c r="O58">
        <v>15000</v>
      </c>
      <c r="P58">
        <v>16</v>
      </c>
      <c r="Q58">
        <v>1</v>
      </c>
      <c r="R58">
        <v>1</v>
      </c>
      <c r="S58">
        <v>1</v>
      </c>
      <c r="T58">
        <v>1E-3</v>
      </c>
      <c r="U58">
        <v>16</v>
      </c>
      <c r="V58">
        <v>0</v>
      </c>
      <c r="W58">
        <v>7</v>
      </c>
      <c r="X58" t="s">
        <v>444</v>
      </c>
      <c r="Y58">
        <v>275.7</v>
      </c>
      <c r="Z58" t="s">
        <v>543</v>
      </c>
      <c r="AA58" t="s">
        <v>26</v>
      </c>
    </row>
    <row r="59" spans="1:27" hidden="1" x14ac:dyDescent="0.3">
      <c r="A59">
        <v>45</v>
      </c>
      <c r="B59">
        <v>0</v>
      </c>
      <c r="C59">
        <v>0</v>
      </c>
      <c r="D59" t="s">
        <v>18</v>
      </c>
      <c r="F59">
        <v>7</v>
      </c>
      <c r="G59" s="44">
        <v>-0.43099409555526602</v>
      </c>
      <c r="H59" s="44">
        <v>4.2540810630158398E-3</v>
      </c>
      <c r="I59" s="161">
        <v>0.43101508976971198</v>
      </c>
      <c r="J59" s="44">
        <v>1.173858E-8</v>
      </c>
      <c r="K59" s="44">
        <v>8.0309680000000001E-11</v>
      </c>
      <c r="L59">
        <v>1</v>
      </c>
      <c r="M59" s="44">
        <v>-0.31460438747207398</v>
      </c>
      <c r="N59" s="44">
        <v>0.30027160174436202</v>
      </c>
      <c r="O59">
        <v>15000</v>
      </c>
      <c r="P59">
        <v>16</v>
      </c>
      <c r="Q59">
        <v>1</v>
      </c>
      <c r="R59">
        <v>1</v>
      </c>
      <c r="S59">
        <v>1</v>
      </c>
      <c r="T59">
        <v>1E-3</v>
      </c>
      <c r="U59">
        <v>16</v>
      </c>
      <c r="V59">
        <v>0</v>
      </c>
      <c r="W59">
        <v>7</v>
      </c>
      <c r="X59" t="s">
        <v>444</v>
      </c>
      <c r="Y59">
        <v>280.2</v>
      </c>
      <c r="Z59" t="s">
        <v>544</v>
      </c>
      <c r="AA59" t="s">
        <v>26</v>
      </c>
    </row>
    <row r="60" spans="1:27" x14ac:dyDescent="0.3">
      <c r="A60">
        <v>42</v>
      </c>
      <c r="B60">
        <v>0</v>
      </c>
      <c r="C60">
        <v>0</v>
      </c>
      <c r="D60" t="s">
        <v>18</v>
      </c>
      <c r="F60">
        <v>7.25</v>
      </c>
      <c r="G60" s="44">
        <v>-0.16067912299978099</v>
      </c>
      <c r="H60" s="44">
        <v>-0.39964849606020098</v>
      </c>
      <c r="I60" s="161">
        <v>0.43073971371485997</v>
      </c>
      <c r="J60" s="44">
        <v>2.3932029999999998E-8</v>
      </c>
      <c r="K60" s="44">
        <v>2.8303460000000002E-10</v>
      </c>
      <c r="L60">
        <v>1</v>
      </c>
      <c r="M60" s="44">
        <v>-0.40361295054312302</v>
      </c>
      <c r="N60" s="44">
        <v>-0.16197389167602899</v>
      </c>
      <c r="O60">
        <v>15000</v>
      </c>
      <c r="P60">
        <v>16</v>
      </c>
      <c r="Q60">
        <v>1</v>
      </c>
      <c r="R60">
        <v>1</v>
      </c>
      <c r="S60">
        <v>1</v>
      </c>
      <c r="T60">
        <v>1E-3</v>
      </c>
      <c r="U60">
        <v>16</v>
      </c>
      <c r="V60">
        <v>0</v>
      </c>
      <c r="W60">
        <v>7.25</v>
      </c>
      <c r="X60" t="s">
        <v>444</v>
      </c>
      <c r="Y60">
        <v>279.2</v>
      </c>
      <c r="Z60" t="s">
        <v>545</v>
      </c>
      <c r="AA60" t="s">
        <v>26</v>
      </c>
    </row>
    <row r="61" spans="1:27" hidden="1" x14ac:dyDescent="0.3">
      <c r="A61">
        <v>45</v>
      </c>
      <c r="B61">
        <v>0</v>
      </c>
      <c r="C61">
        <v>0</v>
      </c>
      <c r="D61" t="s">
        <v>18</v>
      </c>
      <c r="F61">
        <v>7.25</v>
      </c>
      <c r="G61" s="44">
        <v>-0.160667035507848</v>
      </c>
      <c r="H61" s="44">
        <v>-0.39965362141446098</v>
      </c>
      <c r="I61" s="161">
        <v>0.43073996031082801</v>
      </c>
      <c r="J61" s="44">
        <v>2.5459079999999999E-8</v>
      </c>
      <c r="K61" s="44">
        <v>3.3132579999999999E-10</v>
      </c>
      <c r="L61">
        <v>1</v>
      </c>
      <c r="M61" s="44">
        <v>-0.40361295054312302</v>
      </c>
      <c r="N61" s="44">
        <v>-0.16197389167602899</v>
      </c>
      <c r="O61">
        <v>15000</v>
      </c>
      <c r="P61">
        <v>16</v>
      </c>
      <c r="Q61">
        <v>1</v>
      </c>
      <c r="R61">
        <v>1</v>
      </c>
      <c r="S61">
        <v>1</v>
      </c>
      <c r="T61">
        <v>1E-3</v>
      </c>
      <c r="U61">
        <v>16</v>
      </c>
      <c r="V61">
        <v>0</v>
      </c>
      <c r="W61">
        <v>7.25</v>
      </c>
      <c r="X61" t="s">
        <v>444</v>
      </c>
      <c r="Y61">
        <v>276.2</v>
      </c>
      <c r="Z61" t="s">
        <v>546</v>
      </c>
      <c r="AA61" t="s">
        <v>26</v>
      </c>
    </row>
    <row r="62" spans="1:27" x14ac:dyDescent="0.3">
      <c r="A62">
        <v>42</v>
      </c>
      <c r="B62">
        <v>0</v>
      </c>
      <c r="C62">
        <v>0</v>
      </c>
      <c r="D62" t="s">
        <v>18</v>
      </c>
      <c r="F62">
        <v>7.5</v>
      </c>
      <c r="G62" s="44">
        <v>0.31919479294269798</v>
      </c>
      <c r="H62" s="44">
        <v>-0.285369757147448</v>
      </c>
      <c r="I62" s="161">
        <v>0.42816026688160302</v>
      </c>
      <c r="J62" s="44">
        <v>5.3430859999999998E-7</v>
      </c>
      <c r="K62" s="44">
        <v>1.6525929999999999E-7</v>
      </c>
      <c r="L62">
        <v>1</v>
      </c>
      <c r="M62" s="44">
        <v>-2.3062413813719701E-3</v>
      </c>
      <c r="N62" s="44">
        <v>-0.43489497201220201</v>
      </c>
      <c r="O62">
        <v>15000</v>
      </c>
      <c r="P62">
        <v>16</v>
      </c>
      <c r="Q62">
        <v>1</v>
      </c>
      <c r="R62">
        <v>1</v>
      </c>
      <c r="S62">
        <v>1</v>
      </c>
      <c r="T62">
        <v>1E-3</v>
      </c>
      <c r="U62">
        <v>16</v>
      </c>
      <c r="V62">
        <v>0</v>
      </c>
      <c r="W62">
        <v>7.5</v>
      </c>
      <c r="X62" t="s">
        <v>444</v>
      </c>
      <c r="Y62">
        <v>277.5</v>
      </c>
      <c r="Z62" t="s">
        <v>547</v>
      </c>
      <c r="AA62" t="s">
        <v>26</v>
      </c>
    </row>
    <row r="63" spans="1:27" hidden="1" x14ac:dyDescent="0.3">
      <c r="A63">
        <v>45</v>
      </c>
      <c r="B63">
        <v>0</v>
      </c>
      <c r="C63">
        <v>0</v>
      </c>
      <c r="D63" t="s">
        <v>18</v>
      </c>
      <c r="F63">
        <v>7.5</v>
      </c>
      <c r="G63" s="44">
        <v>0.325724081914184</v>
      </c>
      <c r="H63" s="44">
        <v>-0.28142508334095701</v>
      </c>
      <c r="I63" s="161">
        <v>0.43046051511410699</v>
      </c>
      <c r="J63" s="44">
        <v>1.3007479999999999E-8</v>
      </c>
      <c r="K63" s="44">
        <v>1.145061E-10</v>
      </c>
      <c r="L63">
        <v>1</v>
      </c>
      <c r="M63" s="44">
        <v>-2.3062413813719701E-3</v>
      </c>
      <c r="N63" s="44">
        <v>-0.43489497201220201</v>
      </c>
      <c r="O63">
        <v>15000</v>
      </c>
      <c r="P63">
        <v>16</v>
      </c>
      <c r="Q63">
        <v>1</v>
      </c>
      <c r="R63">
        <v>1</v>
      </c>
      <c r="S63">
        <v>1</v>
      </c>
      <c r="T63">
        <v>1E-3</v>
      </c>
      <c r="U63">
        <v>16</v>
      </c>
      <c r="V63">
        <v>0</v>
      </c>
      <c r="W63">
        <v>7.5</v>
      </c>
      <c r="X63" t="s">
        <v>444</v>
      </c>
      <c r="Y63">
        <v>278.60000000000002</v>
      </c>
      <c r="Z63" t="s">
        <v>548</v>
      </c>
      <c r="AA63" t="s">
        <v>26</v>
      </c>
    </row>
    <row r="64" spans="1:27" x14ac:dyDescent="0.3">
      <c r="A64">
        <v>42</v>
      </c>
      <c r="B64">
        <v>0</v>
      </c>
      <c r="C64">
        <v>0</v>
      </c>
      <c r="D64" t="s">
        <v>18</v>
      </c>
      <c r="F64">
        <v>7.75</v>
      </c>
      <c r="G64" s="44">
        <v>0.2628939079125</v>
      </c>
      <c r="H64" s="44">
        <v>0.238917140523669</v>
      </c>
      <c r="I64" s="161">
        <v>0.35523880257301899</v>
      </c>
      <c r="J64" s="44">
        <v>6.1115250000000003E-7</v>
      </c>
      <c r="K64" s="44">
        <v>3.0490869999999999E-7</v>
      </c>
      <c r="L64">
        <v>1</v>
      </c>
      <c r="M64" s="44">
        <v>0.40821861560144801</v>
      </c>
      <c r="N64" s="44">
        <v>-0.14998839057487401</v>
      </c>
      <c r="O64">
        <v>15000</v>
      </c>
      <c r="P64">
        <v>16</v>
      </c>
      <c r="Q64">
        <v>1</v>
      </c>
      <c r="R64">
        <v>1</v>
      </c>
      <c r="S64">
        <v>1</v>
      </c>
      <c r="T64">
        <v>1E-3</v>
      </c>
      <c r="U64">
        <v>16</v>
      </c>
      <c r="V64">
        <v>0</v>
      </c>
      <c r="W64">
        <v>7.75</v>
      </c>
      <c r="X64" t="s">
        <v>444</v>
      </c>
      <c r="Y64">
        <v>276.89999999999998</v>
      </c>
      <c r="Z64" t="s">
        <v>549</v>
      </c>
      <c r="AA64" t="s">
        <v>26</v>
      </c>
    </row>
    <row r="65" spans="1:27" hidden="1" x14ac:dyDescent="0.3">
      <c r="A65">
        <v>45</v>
      </c>
      <c r="B65">
        <v>0</v>
      </c>
      <c r="C65">
        <v>0</v>
      </c>
      <c r="D65" t="s">
        <v>18</v>
      </c>
      <c r="F65">
        <v>7.75</v>
      </c>
      <c r="G65" s="44">
        <v>0.36217112475068503</v>
      </c>
      <c r="H65" s="44">
        <v>0.23211889895219201</v>
      </c>
      <c r="I65" s="161">
        <v>0.43017102047203698</v>
      </c>
      <c r="J65" s="44">
        <v>9.4497279999999996E-9</v>
      </c>
      <c r="K65" s="44">
        <v>4.6139859999999998E-11</v>
      </c>
      <c r="L65">
        <v>1</v>
      </c>
      <c r="M65" s="44">
        <v>0.40821861560144801</v>
      </c>
      <c r="N65" s="44">
        <v>-0.14998839057487401</v>
      </c>
      <c r="O65">
        <v>15000</v>
      </c>
      <c r="P65">
        <v>16</v>
      </c>
      <c r="Q65">
        <v>1</v>
      </c>
      <c r="R65">
        <v>1</v>
      </c>
      <c r="S65">
        <v>1</v>
      </c>
      <c r="T65">
        <v>1E-3</v>
      </c>
      <c r="U65">
        <v>16</v>
      </c>
      <c r="V65">
        <v>0</v>
      </c>
      <c r="W65">
        <v>7.75</v>
      </c>
      <c r="X65" t="s">
        <v>444</v>
      </c>
      <c r="Y65">
        <v>277.60000000000002</v>
      </c>
      <c r="Z65" t="s">
        <v>550</v>
      </c>
      <c r="AA65" t="s">
        <v>26</v>
      </c>
    </row>
    <row r="66" spans="1:27" x14ac:dyDescent="0.3">
      <c r="A66">
        <v>42</v>
      </c>
      <c r="B66">
        <v>0</v>
      </c>
      <c r="C66">
        <v>0</v>
      </c>
      <c r="D66" t="s">
        <v>18</v>
      </c>
      <c r="F66">
        <v>8</v>
      </c>
      <c r="G66" s="44">
        <v>0.70351496586419204</v>
      </c>
      <c r="H66" s="44">
        <v>1.3695885192425501</v>
      </c>
      <c r="I66" s="161">
        <v>1.5397097191470499</v>
      </c>
      <c r="J66" s="44">
        <v>1.565781E-4</v>
      </c>
      <c r="K66" s="44">
        <v>1.0714850000000001E-3</v>
      </c>
      <c r="L66">
        <v>0.99897599999999998</v>
      </c>
      <c r="M66" s="44">
        <v>0.26622813818270302</v>
      </c>
      <c r="N66" s="44">
        <v>0.34389174731385302</v>
      </c>
      <c r="O66">
        <v>15000</v>
      </c>
      <c r="P66">
        <v>16</v>
      </c>
      <c r="Q66">
        <v>1</v>
      </c>
      <c r="R66">
        <v>1</v>
      </c>
      <c r="S66">
        <v>1</v>
      </c>
      <c r="T66">
        <v>1E-3</v>
      </c>
      <c r="U66">
        <v>16</v>
      </c>
      <c r="V66">
        <v>0</v>
      </c>
      <c r="W66">
        <v>8</v>
      </c>
      <c r="X66" t="s">
        <v>444</v>
      </c>
      <c r="Y66">
        <v>277.3</v>
      </c>
      <c r="Z66" t="s">
        <v>551</v>
      </c>
      <c r="AA66" t="s">
        <v>26</v>
      </c>
    </row>
    <row r="67" spans="1:27" hidden="1" x14ac:dyDescent="0.3">
      <c r="A67">
        <v>45</v>
      </c>
      <c r="B67">
        <v>0</v>
      </c>
      <c r="C67">
        <v>0</v>
      </c>
      <c r="D67" t="s">
        <v>18</v>
      </c>
      <c r="F67">
        <v>8</v>
      </c>
      <c r="G67" s="44">
        <v>-0.13674628237887501</v>
      </c>
      <c r="H67" s="44">
        <v>0.40754089688279999</v>
      </c>
      <c r="I67" s="161">
        <v>0.42987106017558302</v>
      </c>
      <c r="J67" s="44">
        <v>1.4881980000000001E-8</v>
      </c>
      <c r="K67" s="44">
        <v>1.4055320000000001E-10</v>
      </c>
      <c r="L67">
        <v>1</v>
      </c>
      <c r="M67" s="44">
        <v>0.26622813818270302</v>
      </c>
      <c r="N67" s="44">
        <v>0.34389174731385302</v>
      </c>
      <c r="O67">
        <v>15000</v>
      </c>
      <c r="P67">
        <v>16</v>
      </c>
      <c r="Q67">
        <v>1</v>
      </c>
      <c r="R67">
        <v>1</v>
      </c>
      <c r="S67">
        <v>1</v>
      </c>
      <c r="T67">
        <v>1E-3</v>
      </c>
      <c r="U67">
        <v>16</v>
      </c>
      <c r="V67">
        <v>0</v>
      </c>
      <c r="W67">
        <v>8</v>
      </c>
      <c r="X67" t="s">
        <v>444</v>
      </c>
      <c r="Y67">
        <v>276.10000000000002</v>
      </c>
      <c r="Z67" t="s">
        <v>552</v>
      </c>
      <c r="AA67" t="s">
        <v>26</v>
      </c>
    </row>
    <row r="68" spans="1:27" x14ac:dyDescent="0.3">
      <c r="A68">
        <v>42</v>
      </c>
      <c r="B68">
        <v>0</v>
      </c>
      <c r="C68">
        <v>0</v>
      </c>
      <c r="D68" t="s">
        <v>18</v>
      </c>
      <c r="F68">
        <v>8.25</v>
      </c>
      <c r="G68" s="44">
        <v>-0.42634813729276699</v>
      </c>
      <c r="H68" s="44">
        <v>-5.04297958308038E-2</v>
      </c>
      <c r="I68" s="161">
        <v>0.429320274946978</v>
      </c>
      <c r="J68" s="44">
        <v>1.113417E-7</v>
      </c>
      <c r="K68" s="44">
        <v>6.2884379999999996E-9</v>
      </c>
      <c r="L68">
        <v>1</v>
      </c>
      <c r="M68" s="44">
        <v>-0.26162305354856003</v>
      </c>
      <c r="N68" s="44">
        <v>0.34740802132755999</v>
      </c>
      <c r="O68">
        <v>15000</v>
      </c>
      <c r="P68">
        <v>16</v>
      </c>
      <c r="Q68">
        <v>1</v>
      </c>
      <c r="R68">
        <v>1</v>
      </c>
      <c r="S68">
        <v>1</v>
      </c>
      <c r="T68">
        <v>1E-3</v>
      </c>
      <c r="U68">
        <v>16</v>
      </c>
      <c r="V68">
        <v>0</v>
      </c>
      <c r="W68">
        <v>8.25</v>
      </c>
      <c r="X68" t="s">
        <v>444</v>
      </c>
      <c r="Y68">
        <v>276.3</v>
      </c>
      <c r="Z68" t="s">
        <v>553</v>
      </c>
      <c r="AA68" t="s">
        <v>26</v>
      </c>
    </row>
    <row r="69" spans="1:27" hidden="1" x14ac:dyDescent="0.3">
      <c r="A69">
        <v>45</v>
      </c>
      <c r="B69">
        <v>0</v>
      </c>
      <c r="C69">
        <v>0</v>
      </c>
      <c r="D69" t="s">
        <v>18</v>
      </c>
      <c r="F69">
        <v>8.25</v>
      </c>
      <c r="G69" s="44">
        <v>-0.42649381604770598</v>
      </c>
      <c r="H69" s="44">
        <v>-5.1237363345370497E-2</v>
      </c>
      <c r="I69" s="161">
        <v>0.42956052254545002</v>
      </c>
      <c r="J69" s="44">
        <v>1.27497E-8</v>
      </c>
      <c r="K69" s="44">
        <v>1.023535E-10</v>
      </c>
      <c r="L69">
        <v>1</v>
      </c>
      <c r="M69" s="44">
        <v>-0.26162305354856003</v>
      </c>
      <c r="N69" s="44">
        <v>0.34740802132755999</v>
      </c>
      <c r="O69">
        <v>15000</v>
      </c>
      <c r="P69">
        <v>16</v>
      </c>
      <c r="Q69">
        <v>1</v>
      </c>
      <c r="R69">
        <v>1</v>
      </c>
      <c r="S69">
        <v>1</v>
      </c>
      <c r="T69">
        <v>1E-3</v>
      </c>
      <c r="U69">
        <v>16</v>
      </c>
      <c r="V69">
        <v>0</v>
      </c>
      <c r="W69">
        <v>8.25</v>
      </c>
      <c r="X69" t="s">
        <v>444</v>
      </c>
      <c r="Y69">
        <v>278.8</v>
      </c>
      <c r="Z69" t="s">
        <v>554</v>
      </c>
      <c r="AA69" t="s">
        <v>26</v>
      </c>
    </row>
    <row r="70" spans="1:27" x14ac:dyDescent="0.3">
      <c r="A70">
        <v>42</v>
      </c>
      <c r="B70">
        <v>0</v>
      </c>
      <c r="C70">
        <v>0</v>
      </c>
      <c r="D70" t="s">
        <v>18</v>
      </c>
      <c r="F70">
        <v>8.5</v>
      </c>
      <c r="G70" s="44">
        <v>-2.2470712507145E-2</v>
      </c>
      <c r="H70" s="44">
        <v>-0.420888631459574</v>
      </c>
      <c r="I70" s="161">
        <v>0.42148804610865498</v>
      </c>
      <c r="J70" s="44">
        <v>1.157992E-6</v>
      </c>
      <c r="K70" s="44">
        <v>6.6391309999999999E-7</v>
      </c>
      <c r="L70">
        <v>0.99999899999999997</v>
      </c>
      <c r="M70" s="44">
        <v>-0.39727183691364698</v>
      </c>
      <c r="N70" s="44">
        <v>-0.176957743617114</v>
      </c>
      <c r="O70">
        <v>15000</v>
      </c>
      <c r="P70">
        <v>16</v>
      </c>
      <c r="Q70">
        <v>1</v>
      </c>
      <c r="R70">
        <v>1</v>
      </c>
      <c r="S70">
        <v>1</v>
      </c>
      <c r="T70">
        <v>1E-3</v>
      </c>
      <c r="U70">
        <v>16</v>
      </c>
      <c r="V70">
        <v>0</v>
      </c>
      <c r="W70">
        <v>8.5</v>
      </c>
      <c r="X70" t="s">
        <v>444</v>
      </c>
      <c r="Y70">
        <v>275.3</v>
      </c>
      <c r="Z70" t="s">
        <v>555</v>
      </c>
      <c r="AA70" t="s">
        <v>26</v>
      </c>
    </row>
    <row r="71" spans="1:27" hidden="1" x14ac:dyDescent="0.3">
      <c r="A71">
        <v>45</v>
      </c>
      <c r="B71">
        <v>0</v>
      </c>
      <c r="C71">
        <v>0</v>
      </c>
      <c r="D71" t="s">
        <v>18</v>
      </c>
      <c r="F71">
        <v>8.5</v>
      </c>
      <c r="G71" s="44">
        <v>-1.82634099855346E-2</v>
      </c>
      <c r="H71" s="44">
        <v>-0.428853948838682</v>
      </c>
      <c r="I71" s="161">
        <v>0.42924266048335702</v>
      </c>
      <c r="J71" s="44">
        <v>1.438629E-8</v>
      </c>
      <c r="K71" s="44">
        <v>1.115471E-10</v>
      </c>
      <c r="L71">
        <v>1</v>
      </c>
      <c r="M71" s="44">
        <v>-0.39727183691364698</v>
      </c>
      <c r="N71" s="44">
        <v>-0.176957743617114</v>
      </c>
      <c r="O71">
        <v>15000</v>
      </c>
      <c r="P71">
        <v>16</v>
      </c>
      <c r="Q71">
        <v>1</v>
      </c>
      <c r="R71">
        <v>1</v>
      </c>
      <c r="S71">
        <v>1</v>
      </c>
      <c r="T71">
        <v>1E-3</v>
      </c>
      <c r="U71">
        <v>16</v>
      </c>
      <c r="V71">
        <v>0</v>
      </c>
      <c r="W71">
        <v>8.5</v>
      </c>
      <c r="X71" t="s">
        <v>444</v>
      </c>
      <c r="Y71">
        <v>277</v>
      </c>
      <c r="Z71" t="s">
        <v>556</v>
      </c>
      <c r="AA71" t="s">
        <v>26</v>
      </c>
    </row>
    <row r="72" spans="1:27" x14ac:dyDescent="0.3">
      <c r="A72">
        <v>42</v>
      </c>
      <c r="B72">
        <v>0</v>
      </c>
      <c r="C72">
        <v>0</v>
      </c>
      <c r="D72" t="s">
        <v>18</v>
      </c>
      <c r="F72">
        <v>8.75</v>
      </c>
      <c r="G72" s="44">
        <v>0.42310732511913601</v>
      </c>
      <c r="H72" s="44">
        <v>-6.9020732294131304E-2</v>
      </c>
      <c r="I72" s="161">
        <v>0.42869997673884702</v>
      </c>
      <c r="J72" s="44">
        <v>2.7223409999999999E-7</v>
      </c>
      <c r="K72" s="44">
        <v>4.4871470000000003E-8</v>
      </c>
      <c r="L72">
        <v>1</v>
      </c>
      <c r="M72" s="44">
        <v>0.100318080377098</v>
      </c>
      <c r="N72" s="44">
        <v>-0.423172823064357</v>
      </c>
      <c r="O72">
        <v>15000</v>
      </c>
      <c r="P72">
        <v>16</v>
      </c>
      <c r="Q72">
        <v>1</v>
      </c>
      <c r="R72">
        <v>1</v>
      </c>
      <c r="S72">
        <v>1</v>
      </c>
      <c r="T72">
        <v>1E-3</v>
      </c>
      <c r="U72">
        <v>16</v>
      </c>
      <c r="V72">
        <v>0</v>
      </c>
      <c r="W72">
        <v>8.75</v>
      </c>
      <c r="X72" t="s">
        <v>444</v>
      </c>
      <c r="Y72">
        <v>277</v>
      </c>
      <c r="Z72" t="s">
        <v>557</v>
      </c>
      <c r="AA72" t="s">
        <v>26</v>
      </c>
    </row>
    <row r="73" spans="1:27" hidden="1" x14ac:dyDescent="0.3">
      <c r="A73">
        <v>45</v>
      </c>
      <c r="B73">
        <v>0</v>
      </c>
      <c r="C73">
        <v>0</v>
      </c>
      <c r="D73" t="s">
        <v>18</v>
      </c>
      <c r="F73">
        <v>8.75</v>
      </c>
      <c r="G73" s="44">
        <v>0.42325477430081399</v>
      </c>
      <c r="H73" s="44">
        <v>-6.9448585871600896E-2</v>
      </c>
      <c r="I73" s="161">
        <v>0.42891457196975502</v>
      </c>
      <c r="J73" s="44">
        <v>1.316767E-8</v>
      </c>
      <c r="K73" s="44">
        <v>1.6266179999999999E-10</v>
      </c>
      <c r="L73">
        <v>1</v>
      </c>
      <c r="M73" s="44">
        <v>0.100318080377098</v>
      </c>
      <c r="N73" s="44">
        <v>-0.423172823064357</v>
      </c>
      <c r="O73">
        <v>15000</v>
      </c>
      <c r="P73">
        <v>16</v>
      </c>
      <c r="Q73">
        <v>1</v>
      </c>
      <c r="R73">
        <v>1</v>
      </c>
      <c r="S73">
        <v>1</v>
      </c>
      <c r="T73">
        <v>1E-3</v>
      </c>
      <c r="U73">
        <v>16</v>
      </c>
      <c r="V73">
        <v>0</v>
      </c>
      <c r="W73">
        <v>8.75</v>
      </c>
      <c r="X73" t="s">
        <v>444</v>
      </c>
      <c r="Y73">
        <v>276.10000000000002</v>
      </c>
      <c r="Z73" t="s">
        <v>558</v>
      </c>
      <c r="AA73" t="s">
        <v>26</v>
      </c>
    </row>
    <row r="74" spans="1:27" x14ac:dyDescent="0.3">
      <c r="A74">
        <v>42</v>
      </c>
      <c r="B74">
        <v>0</v>
      </c>
      <c r="C74">
        <v>0</v>
      </c>
      <c r="D74" t="s">
        <v>18</v>
      </c>
      <c r="F74">
        <v>9</v>
      </c>
      <c r="G74" s="44">
        <v>0.47996507629089402</v>
      </c>
      <c r="H74" s="44">
        <v>-0.413389314796892</v>
      </c>
      <c r="I74" s="161">
        <v>0.63344865620440605</v>
      </c>
      <c r="J74" s="44">
        <v>7.9196340000000002E-5</v>
      </c>
      <c r="K74" s="44">
        <v>1.426081E-3</v>
      </c>
      <c r="L74">
        <v>0.99835700000000005</v>
      </c>
      <c r="M74" s="44">
        <v>0.43327088787003598</v>
      </c>
      <c r="N74" s="44">
        <v>3.76203821766041E-2</v>
      </c>
      <c r="O74">
        <v>15000</v>
      </c>
      <c r="P74">
        <v>16</v>
      </c>
      <c r="Q74">
        <v>1</v>
      </c>
      <c r="R74">
        <v>1</v>
      </c>
      <c r="S74">
        <v>1</v>
      </c>
      <c r="T74">
        <v>1E-3</v>
      </c>
      <c r="U74">
        <v>16</v>
      </c>
      <c r="V74">
        <v>0</v>
      </c>
      <c r="W74">
        <v>9</v>
      </c>
      <c r="X74" t="s">
        <v>444</v>
      </c>
      <c r="Y74">
        <v>276.5</v>
      </c>
      <c r="Z74" t="s">
        <v>559</v>
      </c>
      <c r="AA74" t="s">
        <v>26</v>
      </c>
    </row>
    <row r="75" spans="1:27" hidden="1" x14ac:dyDescent="0.3">
      <c r="A75">
        <v>45</v>
      </c>
      <c r="B75">
        <v>0</v>
      </c>
      <c r="C75">
        <v>0</v>
      </c>
      <c r="D75" t="s">
        <v>18</v>
      </c>
      <c r="F75">
        <v>9</v>
      </c>
      <c r="G75" s="44">
        <v>0.10214740593260099</v>
      </c>
      <c r="H75" s="44">
        <v>0.41622792553008398</v>
      </c>
      <c r="I75" s="161">
        <v>0.42857878917398301</v>
      </c>
      <c r="J75" s="44">
        <v>1.906355E-8</v>
      </c>
      <c r="K75" s="44">
        <v>1.670409E-10</v>
      </c>
      <c r="L75">
        <v>1</v>
      </c>
      <c r="M75" s="44">
        <v>0.43327088787003598</v>
      </c>
      <c r="N75" s="44">
        <v>3.76203821766041E-2</v>
      </c>
      <c r="O75">
        <v>15000</v>
      </c>
      <c r="P75">
        <v>16</v>
      </c>
      <c r="Q75">
        <v>1</v>
      </c>
      <c r="R75">
        <v>1</v>
      </c>
      <c r="S75">
        <v>1</v>
      </c>
      <c r="T75">
        <v>1E-3</v>
      </c>
      <c r="U75">
        <v>16</v>
      </c>
      <c r="V75">
        <v>0</v>
      </c>
      <c r="W75">
        <v>9</v>
      </c>
      <c r="X75" t="s">
        <v>444</v>
      </c>
      <c r="Y75">
        <v>277.39999999999998</v>
      </c>
      <c r="Z75" t="s">
        <v>560</v>
      </c>
      <c r="AA75" t="s">
        <v>26</v>
      </c>
    </row>
    <row r="76" spans="1:27" x14ac:dyDescent="0.3">
      <c r="A76">
        <v>42</v>
      </c>
      <c r="B76">
        <v>0</v>
      </c>
      <c r="C76">
        <v>0</v>
      </c>
      <c r="D76" t="s">
        <v>18</v>
      </c>
      <c r="F76">
        <v>9.25</v>
      </c>
      <c r="G76" s="44">
        <v>-0.40047997479366099</v>
      </c>
      <c r="H76" s="44">
        <v>0.12541982085671499</v>
      </c>
      <c r="I76" s="161">
        <v>0.41965979277798499</v>
      </c>
      <c r="J76" s="44">
        <v>1.113363E-6</v>
      </c>
      <c r="K76" s="44">
        <v>6.839504E-7</v>
      </c>
      <c r="L76">
        <v>0.99999899999999997</v>
      </c>
      <c r="M76" s="44">
        <v>8.4413320387401406E-3</v>
      </c>
      <c r="N76" s="44">
        <v>0.434819157057523</v>
      </c>
      <c r="O76">
        <v>15000</v>
      </c>
      <c r="P76">
        <v>16</v>
      </c>
      <c r="Q76">
        <v>1</v>
      </c>
      <c r="R76">
        <v>1</v>
      </c>
      <c r="S76">
        <v>1</v>
      </c>
      <c r="T76">
        <v>1E-3</v>
      </c>
      <c r="U76">
        <v>16</v>
      </c>
      <c r="V76">
        <v>0</v>
      </c>
      <c r="W76">
        <v>9.25</v>
      </c>
      <c r="X76" t="s">
        <v>444</v>
      </c>
      <c r="Y76">
        <v>280</v>
      </c>
      <c r="Z76" t="s">
        <v>561</v>
      </c>
      <c r="AA76" t="s">
        <v>26</v>
      </c>
    </row>
    <row r="77" spans="1:27" hidden="1" x14ac:dyDescent="0.3">
      <c r="A77">
        <v>45</v>
      </c>
      <c r="B77">
        <v>0</v>
      </c>
      <c r="C77">
        <v>0</v>
      </c>
      <c r="D77" t="s">
        <v>18</v>
      </c>
      <c r="F77">
        <v>9.25</v>
      </c>
      <c r="G77" s="44">
        <v>-0.41195120091673498</v>
      </c>
      <c r="H77" s="44">
        <v>0.116956679905468</v>
      </c>
      <c r="I77" s="161">
        <v>0.42823201294537799</v>
      </c>
      <c r="J77" s="44">
        <v>1.7603320000000002E-8</v>
      </c>
      <c r="K77" s="44">
        <v>1.6559249999999999E-10</v>
      </c>
      <c r="L77">
        <v>1</v>
      </c>
      <c r="M77" s="44">
        <v>8.4413320387401406E-3</v>
      </c>
      <c r="N77" s="44">
        <v>0.434819157057523</v>
      </c>
      <c r="O77">
        <v>15000</v>
      </c>
      <c r="P77">
        <v>16</v>
      </c>
      <c r="Q77">
        <v>1</v>
      </c>
      <c r="R77">
        <v>1</v>
      </c>
      <c r="S77">
        <v>1</v>
      </c>
      <c r="T77">
        <v>1E-3</v>
      </c>
      <c r="U77">
        <v>16</v>
      </c>
      <c r="V77">
        <v>0</v>
      </c>
      <c r="W77">
        <v>9.25</v>
      </c>
      <c r="X77" t="s">
        <v>444</v>
      </c>
      <c r="Y77">
        <v>279.2</v>
      </c>
      <c r="Z77" t="s">
        <v>562</v>
      </c>
      <c r="AA77" t="s">
        <v>26</v>
      </c>
    </row>
    <row r="78" spans="1:27" x14ac:dyDescent="0.3">
      <c r="A78">
        <v>42</v>
      </c>
      <c r="B78">
        <v>0</v>
      </c>
      <c r="C78">
        <v>0</v>
      </c>
      <c r="D78" t="s">
        <v>18</v>
      </c>
      <c r="F78">
        <v>9.5</v>
      </c>
      <c r="G78" s="44">
        <v>-0.127623889292903</v>
      </c>
      <c r="H78" s="44">
        <v>-0.41363815226036799</v>
      </c>
      <c r="I78" s="161">
        <v>0.432879172660939</v>
      </c>
      <c r="J78" s="44">
        <v>3.3131350000000001E-7</v>
      </c>
      <c r="K78" s="44">
        <v>6.4308510000000006E-8</v>
      </c>
      <c r="L78">
        <v>1</v>
      </c>
      <c r="M78" s="44">
        <v>-0.43331975438257297</v>
      </c>
      <c r="N78" s="44">
        <v>3.70532845052906E-2</v>
      </c>
      <c r="O78">
        <v>15000</v>
      </c>
      <c r="P78">
        <v>16</v>
      </c>
      <c r="Q78">
        <v>1</v>
      </c>
      <c r="R78">
        <v>1</v>
      </c>
      <c r="S78">
        <v>1</v>
      </c>
      <c r="T78">
        <v>1E-3</v>
      </c>
      <c r="U78">
        <v>16</v>
      </c>
      <c r="V78">
        <v>0</v>
      </c>
      <c r="W78">
        <v>9.5</v>
      </c>
      <c r="X78" t="s">
        <v>444</v>
      </c>
      <c r="Y78">
        <v>278.39999999999998</v>
      </c>
      <c r="Z78" t="s">
        <v>563</v>
      </c>
      <c r="AA78" t="s">
        <v>26</v>
      </c>
    </row>
    <row r="79" spans="1:27" hidden="1" x14ac:dyDescent="0.3">
      <c r="A79">
        <v>45</v>
      </c>
      <c r="B79">
        <v>0</v>
      </c>
      <c r="C79">
        <v>0</v>
      </c>
      <c r="D79" t="s">
        <v>18</v>
      </c>
      <c r="F79">
        <v>9.5</v>
      </c>
      <c r="G79" s="44">
        <v>-0.11435605687002801</v>
      </c>
      <c r="H79" s="44">
        <v>-0.41231206315053398</v>
      </c>
      <c r="I79" s="161">
        <v>0.42787678736093099</v>
      </c>
      <c r="J79" s="44">
        <v>1.7357800000000001E-8</v>
      </c>
      <c r="K79" s="44">
        <v>1.9473009999999999E-10</v>
      </c>
      <c r="L79">
        <v>1</v>
      </c>
      <c r="M79" s="44">
        <v>-0.43331975438257297</v>
      </c>
      <c r="N79" s="44">
        <v>3.70532845052906E-2</v>
      </c>
      <c r="O79">
        <v>15000</v>
      </c>
      <c r="P79">
        <v>16</v>
      </c>
      <c r="Q79">
        <v>1</v>
      </c>
      <c r="R79">
        <v>1</v>
      </c>
      <c r="S79">
        <v>1</v>
      </c>
      <c r="T79">
        <v>1E-3</v>
      </c>
      <c r="U79">
        <v>16</v>
      </c>
      <c r="V79">
        <v>0</v>
      </c>
      <c r="W79">
        <v>9.5</v>
      </c>
      <c r="X79" t="s">
        <v>444</v>
      </c>
      <c r="Y79">
        <v>278.89999999999998</v>
      </c>
      <c r="Z79" t="s">
        <v>564</v>
      </c>
      <c r="AA79" t="s">
        <v>26</v>
      </c>
    </row>
    <row r="80" spans="1:27" x14ac:dyDescent="0.3">
      <c r="A80">
        <v>42</v>
      </c>
      <c r="B80">
        <v>0</v>
      </c>
      <c r="C80">
        <v>0</v>
      </c>
      <c r="D80" t="s">
        <v>18</v>
      </c>
      <c r="F80">
        <v>9.75</v>
      </c>
      <c r="G80" s="44">
        <v>0.41704075035041599</v>
      </c>
      <c r="H80" s="44">
        <v>-9.4250195297153699E-2</v>
      </c>
      <c r="I80" s="161">
        <v>0.427558284642444</v>
      </c>
      <c r="J80" s="44">
        <v>4.4927259999999999E-8</v>
      </c>
      <c r="K80" s="44">
        <v>1.2988090000000001E-9</v>
      </c>
      <c r="L80">
        <v>1</v>
      </c>
      <c r="M80" s="44">
        <v>-4.8202492850108601E-2</v>
      </c>
      <c r="N80" s="44">
        <v>-0.43222155790038802</v>
      </c>
      <c r="O80">
        <v>15000</v>
      </c>
      <c r="P80">
        <v>16</v>
      </c>
      <c r="Q80">
        <v>1</v>
      </c>
      <c r="R80">
        <v>1</v>
      </c>
      <c r="S80">
        <v>1</v>
      </c>
      <c r="T80">
        <v>1E-3</v>
      </c>
      <c r="U80">
        <v>16</v>
      </c>
      <c r="V80">
        <v>0</v>
      </c>
      <c r="W80">
        <v>9.75</v>
      </c>
      <c r="X80" t="s">
        <v>444</v>
      </c>
      <c r="Y80">
        <v>278.7</v>
      </c>
      <c r="Z80" t="s">
        <v>565</v>
      </c>
      <c r="AA80" t="s">
        <v>26</v>
      </c>
    </row>
    <row r="81" spans="1:27" hidden="1" x14ac:dyDescent="0.3">
      <c r="A81">
        <v>45</v>
      </c>
      <c r="B81">
        <v>0</v>
      </c>
      <c r="C81">
        <v>0</v>
      </c>
      <c r="D81" t="s">
        <v>18</v>
      </c>
      <c r="F81">
        <v>9.75</v>
      </c>
      <c r="G81" s="44">
        <v>0.41698034724215799</v>
      </c>
      <c r="H81" s="44">
        <v>-9.4307419974778206E-2</v>
      </c>
      <c r="I81" s="161">
        <v>0.42751198749098301</v>
      </c>
      <c r="J81" s="44">
        <v>1.648319E-8</v>
      </c>
      <c r="K81" s="44">
        <v>1.2418400000000001E-10</v>
      </c>
      <c r="L81">
        <v>1</v>
      </c>
      <c r="M81" s="44">
        <v>-4.8202492850108601E-2</v>
      </c>
      <c r="N81" s="44">
        <v>-0.43222155790038802</v>
      </c>
      <c r="O81">
        <v>15000</v>
      </c>
      <c r="P81">
        <v>16</v>
      </c>
      <c r="Q81">
        <v>1</v>
      </c>
      <c r="R81">
        <v>1</v>
      </c>
      <c r="S81">
        <v>1</v>
      </c>
      <c r="T81">
        <v>1E-3</v>
      </c>
      <c r="U81">
        <v>16</v>
      </c>
      <c r="V81">
        <v>0</v>
      </c>
      <c r="W81">
        <v>9.75</v>
      </c>
      <c r="X81" t="s">
        <v>444</v>
      </c>
      <c r="Y81">
        <v>276.39999999999998</v>
      </c>
      <c r="Z81" t="s">
        <v>566</v>
      </c>
      <c r="AA81" t="s">
        <v>26</v>
      </c>
    </row>
    <row r="82" spans="1:27" x14ac:dyDescent="0.3">
      <c r="A82">
        <v>42</v>
      </c>
      <c r="B82">
        <v>0</v>
      </c>
      <c r="C82">
        <v>0</v>
      </c>
      <c r="D82" t="s">
        <v>18</v>
      </c>
      <c r="F82">
        <v>0</v>
      </c>
      <c r="G82" s="44">
        <v>-0.30755883961495301</v>
      </c>
      <c r="H82" s="44">
        <v>0.30733349907628899</v>
      </c>
      <c r="I82" s="161">
        <v>0.43479457158498702</v>
      </c>
      <c r="J82" s="44">
        <v>2.8252040000000002E-9</v>
      </c>
      <c r="K82" s="44">
        <v>6.878331E-12</v>
      </c>
      <c r="L82">
        <v>1</v>
      </c>
      <c r="M82" s="44">
        <v>0.307521507728161</v>
      </c>
      <c r="N82" s="44">
        <v>-0.307521507728161</v>
      </c>
      <c r="O82">
        <v>15000</v>
      </c>
      <c r="P82">
        <v>16</v>
      </c>
      <c r="Q82">
        <v>1</v>
      </c>
      <c r="R82">
        <v>1</v>
      </c>
      <c r="S82">
        <v>1</v>
      </c>
      <c r="T82">
        <v>1E-4</v>
      </c>
      <c r="U82">
        <v>16</v>
      </c>
      <c r="V82">
        <v>0</v>
      </c>
      <c r="W82">
        <v>0</v>
      </c>
      <c r="X82" t="s">
        <v>442</v>
      </c>
      <c r="Y82">
        <v>293.8</v>
      </c>
      <c r="Z82" t="s">
        <v>567</v>
      </c>
      <c r="AA82" t="s">
        <v>26</v>
      </c>
    </row>
    <row r="83" spans="1:27" hidden="1" x14ac:dyDescent="0.3">
      <c r="A83">
        <v>45</v>
      </c>
      <c r="B83">
        <v>0</v>
      </c>
      <c r="C83">
        <v>0</v>
      </c>
      <c r="D83" t="s">
        <v>18</v>
      </c>
      <c r="F83">
        <v>0</v>
      </c>
      <c r="G83" s="44">
        <v>0.30753974005265899</v>
      </c>
      <c r="H83" s="44">
        <v>-0.30732345537060102</v>
      </c>
      <c r="I83" s="161">
        <v>0.434773961884314</v>
      </c>
      <c r="J83" s="44">
        <v>2.5931639999999998E-9</v>
      </c>
      <c r="K83" s="44">
        <v>3.857015E-12</v>
      </c>
      <c r="L83">
        <v>1</v>
      </c>
      <c r="M83" s="44">
        <v>0.307521507728161</v>
      </c>
      <c r="N83" s="44">
        <v>-0.307521507728161</v>
      </c>
      <c r="O83">
        <v>15000</v>
      </c>
      <c r="P83">
        <v>16</v>
      </c>
      <c r="Q83">
        <v>1</v>
      </c>
      <c r="R83">
        <v>1</v>
      </c>
      <c r="S83">
        <v>1</v>
      </c>
      <c r="T83">
        <v>1E-4</v>
      </c>
      <c r="U83">
        <v>16</v>
      </c>
      <c r="V83">
        <v>0</v>
      </c>
      <c r="W83">
        <v>0</v>
      </c>
      <c r="X83" t="s">
        <v>442</v>
      </c>
      <c r="Y83">
        <v>292.2</v>
      </c>
      <c r="Z83" t="s">
        <v>568</v>
      </c>
      <c r="AA83" t="s">
        <v>26</v>
      </c>
    </row>
    <row r="84" spans="1:27" x14ac:dyDescent="0.3">
      <c r="A84">
        <v>42</v>
      </c>
      <c r="B84">
        <v>0</v>
      </c>
      <c r="C84">
        <v>0</v>
      </c>
      <c r="D84" t="s">
        <v>18</v>
      </c>
      <c r="F84">
        <v>0.25</v>
      </c>
      <c r="G84" s="44">
        <v>0.313750349135896</v>
      </c>
      <c r="H84" s="44">
        <v>-0.30095607951759701</v>
      </c>
      <c r="I84" s="161">
        <v>0.43475722349548002</v>
      </c>
      <c r="J84" s="44">
        <v>6.088571E-8</v>
      </c>
      <c r="K84" s="44">
        <v>2.3454989999999999E-9</v>
      </c>
      <c r="L84">
        <v>1</v>
      </c>
      <c r="M84" s="44">
        <v>0.31362972888013302</v>
      </c>
      <c r="N84" s="44">
        <v>-0.30128947640662401</v>
      </c>
      <c r="O84">
        <v>15000</v>
      </c>
      <c r="P84">
        <v>16</v>
      </c>
      <c r="Q84">
        <v>1</v>
      </c>
      <c r="R84">
        <v>1</v>
      </c>
      <c r="S84">
        <v>1</v>
      </c>
      <c r="T84">
        <v>1E-4</v>
      </c>
      <c r="U84">
        <v>16</v>
      </c>
      <c r="V84">
        <v>0</v>
      </c>
      <c r="W84">
        <v>0.25</v>
      </c>
      <c r="X84" t="s">
        <v>444</v>
      </c>
      <c r="Y84">
        <v>290.5</v>
      </c>
      <c r="Z84" t="s">
        <v>569</v>
      </c>
      <c r="AA84" t="s">
        <v>26</v>
      </c>
    </row>
    <row r="85" spans="1:27" hidden="1" x14ac:dyDescent="0.3">
      <c r="A85">
        <v>45</v>
      </c>
      <c r="B85">
        <v>0</v>
      </c>
      <c r="C85">
        <v>0</v>
      </c>
      <c r="D85" t="s">
        <v>18</v>
      </c>
      <c r="F85">
        <v>0.25</v>
      </c>
      <c r="G85" s="44">
        <v>0.313821640742043</v>
      </c>
      <c r="H85" s="44">
        <v>-0.3009003945764</v>
      </c>
      <c r="I85" s="161">
        <v>0.43477013427127398</v>
      </c>
      <c r="J85" s="44">
        <v>9.0978129999999998E-9</v>
      </c>
      <c r="K85" s="44">
        <v>4.4437189999999997E-11</v>
      </c>
      <c r="L85">
        <v>1</v>
      </c>
      <c r="M85" s="44">
        <v>0.31362972888013302</v>
      </c>
      <c r="N85" s="44">
        <v>-0.30128947640662401</v>
      </c>
      <c r="O85">
        <v>15000</v>
      </c>
      <c r="P85">
        <v>16</v>
      </c>
      <c r="Q85">
        <v>1</v>
      </c>
      <c r="R85">
        <v>1</v>
      </c>
      <c r="S85">
        <v>1</v>
      </c>
      <c r="T85">
        <v>1E-4</v>
      </c>
      <c r="U85">
        <v>16</v>
      </c>
      <c r="V85">
        <v>0</v>
      </c>
      <c r="W85">
        <v>0.25</v>
      </c>
      <c r="X85" t="s">
        <v>444</v>
      </c>
      <c r="Y85">
        <v>292</v>
      </c>
      <c r="Z85" t="s">
        <v>570</v>
      </c>
      <c r="AA85" t="s">
        <v>26</v>
      </c>
    </row>
    <row r="86" spans="1:27" x14ac:dyDescent="0.3">
      <c r="A86">
        <v>42</v>
      </c>
      <c r="B86">
        <v>0</v>
      </c>
      <c r="C86">
        <v>0</v>
      </c>
      <c r="D86" t="s">
        <v>18</v>
      </c>
      <c r="F86">
        <v>0.5</v>
      </c>
      <c r="G86" s="44">
        <v>0.33216221019865999</v>
      </c>
      <c r="H86" s="44">
        <v>-0.280577111364196</v>
      </c>
      <c r="I86" s="161">
        <v>0.43480484048080198</v>
      </c>
      <c r="J86" s="44">
        <v>1.3010999999999999E-7</v>
      </c>
      <c r="K86" s="44">
        <v>9.3951679999999997E-9</v>
      </c>
      <c r="L86">
        <v>1</v>
      </c>
      <c r="M86" s="44">
        <v>0.33118719437495803</v>
      </c>
      <c r="N86" s="44">
        <v>-0.28187585514344299</v>
      </c>
      <c r="O86">
        <v>15000</v>
      </c>
      <c r="P86">
        <v>16</v>
      </c>
      <c r="Q86">
        <v>1</v>
      </c>
      <c r="R86">
        <v>1</v>
      </c>
      <c r="S86">
        <v>1</v>
      </c>
      <c r="T86">
        <v>1E-4</v>
      </c>
      <c r="U86">
        <v>16</v>
      </c>
      <c r="V86">
        <v>0</v>
      </c>
      <c r="W86">
        <v>0.5</v>
      </c>
      <c r="X86" t="s">
        <v>444</v>
      </c>
      <c r="Y86">
        <v>296.7</v>
      </c>
      <c r="Z86" t="s">
        <v>571</v>
      </c>
      <c r="AA86" t="s">
        <v>26</v>
      </c>
    </row>
    <row r="87" spans="1:27" hidden="1" x14ac:dyDescent="0.3">
      <c r="A87">
        <v>45</v>
      </c>
      <c r="B87">
        <v>0</v>
      </c>
      <c r="C87">
        <v>0</v>
      </c>
      <c r="D87" t="s">
        <v>18</v>
      </c>
      <c r="F87">
        <v>0.5</v>
      </c>
      <c r="G87" s="44">
        <v>0.33216399902909599</v>
      </c>
      <c r="H87" s="44">
        <v>-0.28052149286471201</v>
      </c>
      <c r="I87" s="161">
        <v>0.43477031891568702</v>
      </c>
      <c r="J87" s="44">
        <v>6.4010670000000004E-9</v>
      </c>
      <c r="K87" s="44">
        <v>2.3398439999999999E-11</v>
      </c>
      <c r="L87">
        <v>1</v>
      </c>
      <c r="M87" s="44">
        <v>0.33118719437495803</v>
      </c>
      <c r="N87" s="44">
        <v>-0.28187585514344299</v>
      </c>
      <c r="O87">
        <v>15000</v>
      </c>
      <c r="P87">
        <v>16</v>
      </c>
      <c r="Q87">
        <v>1</v>
      </c>
      <c r="R87">
        <v>1</v>
      </c>
      <c r="S87">
        <v>1</v>
      </c>
      <c r="T87">
        <v>1E-4</v>
      </c>
      <c r="U87">
        <v>16</v>
      </c>
      <c r="V87">
        <v>0</v>
      </c>
      <c r="W87">
        <v>0.5</v>
      </c>
      <c r="X87" t="s">
        <v>444</v>
      </c>
      <c r="Y87">
        <v>293.7</v>
      </c>
      <c r="Z87" t="s">
        <v>572</v>
      </c>
      <c r="AA87" t="s">
        <v>26</v>
      </c>
    </row>
    <row r="88" spans="1:27" x14ac:dyDescent="0.3">
      <c r="A88">
        <v>42</v>
      </c>
      <c r="B88">
        <v>0</v>
      </c>
      <c r="C88">
        <v>0</v>
      </c>
      <c r="D88" t="s">
        <v>18</v>
      </c>
      <c r="F88">
        <v>0.75</v>
      </c>
      <c r="G88" s="44">
        <v>0.35964554081876898</v>
      </c>
      <c r="H88" s="44">
        <v>-0.24707959147158701</v>
      </c>
      <c r="I88" s="161">
        <v>0.43634073790168998</v>
      </c>
      <c r="J88" s="44">
        <v>2.320191E-7</v>
      </c>
      <c r="K88" s="44">
        <v>3.0317690000000001E-8</v>
      </c>
      <c r="L88">
        <v>1</v>
      </c>
      <c r="M88" s="44">
        <v>0.35775414248369602</v>
      </c>
      <c r="N88" s="44">
        <v>-0.24728713870025401</v>
      </c>
      <c r="O88">
        <v>15000</v>
      </c>
      <c r="P88">
        <v>16</v>
      </c>
      <c r="Q88">
        <v>1</v>
      </c>
      <c r="R88">
        <v>1</v>
      </c>
      <c r="S88">
        <v>1</v>
      </c>
      <c r="T88">
        <v>1E-4</v>
      </c>
      <c r="U88">
        <v>16</v>
      </c>
      <c r="V88">
        <v>0</v>
      </c>
      <c r="W88">
        <v>0.75</v>
      </c>
      <c r="X88" t="s">
        <v>444</v>
      </c>
      <c r="Y88">
        <v>295.10000000000002</v>
      </c>
      <c r="Z88" t="s">
        <v>573</v>
      </c>
      <c r="AA88" t="s">
        <v>26</v>
      </c>
    </row>
    <row r="89" spans="1:27" hidden="1" x14ac:dyDescent="0.3">
      <c r="A89">
        <v>45</v>
      </c>
      <c r="B89">
        <v>0</v>
      </c>
      <c r="C89">
        <v>0</v>
      </c>
      <c r="D89" t="s">
        <v>18</v>
      </c>
      <c r="F89">
        <v>0.75</v>
      </c>
      <c r="G89" s="44">
        <v>0.35976416876506501</v>
      </c>
      <c r="H89" s="44">
        <v>-0.24411669347095999</v>
      </c>
      <c r="I89" s="161">
        <v>0.43476800383470399</v>
      </c>
      <c r="J89" s="44">
        <v>4.9328659999999997E-9</v>
      </c>
      <c r="K89" s="44">
        <v>1.332319E-11</v>
      </c>
      <c r="L89">
        <v>1</v>
      </c>
      <c r="M89" s="44">
        <v>0.35775414248369602</v>
      </c>
      <c r="N89" s="44">
        <v>-0.24728713870025401</v>
      </c>
      <c r="O89">
        <v>15000</v>
      </c>
      <c r="P89">
        <v>16</v>
      </c>
      <c r="Q89">
        <v>1</v>
      </c>
      <c r="R89">
        <v>1</v>
      </c>
      <c r="S89">
        <v>1</v>
      </c>
      <c r="T89">
        <v>1E-4</v>
      </c>
      <c r="U89">
        <v>16</v>
      </c>
      <c r="V89">
        <v>0</v>
      </c>
      <c r="W89">
        <v>0.75</v>
      </c>
      <c r="X89" t="s">
        <v>444</v>
      </c>
      <c r="Y89">
        <v>295.2</v>
      </c>
      <c r="Z89" t="s">
        <v>574</v>
      </c>
      <c r="AA89" t="s">
        <v>26</v>
      </c>
    </row>
    <row r="90" spans="1:27" x14ac:dyDescent="0.3">
      <c r="A90">
        <v>42</v>
      </c>
      <c r="B90">
        <v>0</v>
      </c>
      <c r="C90">
        <v>0</v>
      </c>
      <c r="D90" t="s">
        <v>18</v>
      </c>
      <c r="F90">
        <v>1</v>
      </c>
      <c r="G90" s="44">
        <v>0.39003605765931798</v>
      </c>
      <c r="H90" s="44">
        <v>-0.20206338696100401</v>
      </c>
      <c r="I90" s="161">
        <v>0.43926955121494099</v>
      </c>
      <c r="J90" s="44">
        <v>7.0481320000000004E-7</v>
      </c>
      <c r="K90" s="44">
        <v>2.778834E-7</v>
      </c>
      <c r="L90">
        <v>1</v>
      </c>
      <c r="M90" s="44">
        <v>0.38885028963483798</v>
      </c>
      <c r="N90" s="44">
        <v>-0.19476757348620899</v>
      </c>
      <c r="O90">
        <v>15000</v>
      </c>
      <c r="P90">
        <v>16</v>
      </c>
      <c r="Q90">
        <v>1</v>
      </c>
      <c r="R90">
        <v>1</v>
      </c>
      <c r="S90">
        <v>1</v>
      </c>
      <c r="T90">
        <v>1E-4</v>
      </c>
      <c r="U90">
        <v>16</v>
      </c>
      <c r="V90">
        <v>0</v>
      </c>
      <c r="W90">
        <v>1</v>
      </c>
      <c r="X90" t="s">
        <v>444</v>
      </c>
      <c r="Y90">
        <v>291</v>
      </c>
      <c r="Z90" t="s">
        <v>575</v>
      </c>
      <c r="AA90" t="s">
        <v>26</v>
      </c>
    </row>
    <row r="91" spans="1:27" hidden="1" x14ac:dyDescent="0.3">
      <c r="A91">
        <v>45</v>
      </c>
      <c r="B91">
        <v>0</v>
      </c>
      <c r="C91">
        <v>0</v>
      </c>
      <c r="D91" t="s">
        <v>18</v>
      </c>
      <c r="F91">
        <v>1</v>
      </c>
      <c r="G91" s="44">
        <v>0.39166902946674498</v>
      </c>
      <c r="H91" s="44">
        <v>-0.18871859009514</v>
      </c>
      <c r="I91" s="161">
        <v>0.43476353905418402</v>
      </c>
      <c r="J91" s="44">
        <v>5.5676720000000003E-9</v>
      </c>
      <c r="K91" s="44">
        <v>1.583855E-11</v>
      </c>
      <c r="L91">
        <v>1</v>
      </c>
      <c r="M91" s="44">
        <v>0.38885028963483798</v>
      </c>
      <c r="N91" s="44">
        <v>-0.19476757348620899</v>
      </c>
      <c r="O91">
        <v>15000</v>
      </c>
      <c r="P91">
        <v>16</v>
      </c>
      <c r="Q91">
        <v>1</v>
      </c>
      <c r="R91">
        <v>1</v>
      </c>
      <c r="S91">
        <v>1</v>
      </c>
      <c r="T91">
        <v>1E-4</v>
      </c>
      <c r="U91">
        <v>16</v>
      </c>
      <c r="V91">
        <v>0</v>
      </c>
      <c r="W91">
        <v>1</v>
      </c>
      <c r="X91" t="s">
        <v>444</v>
      </c>
      <c r="Y91">
        <v>291.7</v>
      </c>
      <c r="Z91" t="s">
        <v>576</v>
      </c>
      <c r="AA91" t="s">
        <v>26</v>
      </c>
    </row>
    <row r="92" spans="1:27" x14ac:dyDescent="0.3">
      <c r="A92">
        <v>42</v>
      </c>
      <c r="B92">
        <v>0</v>
      </c>
      <c r="C92">
        <v>0</v>
      </c>
      <c r="D92" t="s">
        <v>18</v>
      </c>
      <c r="F92">
        <v>1.25</v>
      </c>
      <c r="G92" s="44">
        <v>-0.68281315150101796</v>
      </c>
      <c r="H92" s="44">
        <v>-0.89655166540793196</v>
      </c>
      <c r="I92" s="161">
        <v>1.1269599321220201</v>
      </c>
      <c r="J92" s="44">
        <v>0.17050270000000001</v>
      </c>
      <c r="K92" s="44">
        <v>0.48480400000000001</v>
      </c>
      <c r="L92">
        <v>0.296213</v>
      </c>
      <c r="M92" s="44">
        <v>0.41750879410619202</v>
      </c>
      <c r="N92" s="44">
        <v>-0.121759444294053</v>
      </c>
      <c r="O92">
        <v>15000</v>
      </c>
      <c r="P92">
        <v>16</v>
      </c>
      <c r="Q92">
        <v>1</v>
      </c>
      <c r="R92">
        <v>1</v>
      </c>
      <c r="S92">
        <v>1</v>
      </c>
      <c r="T92">
        <v>1E-4</v>
      </c>
      <c r="U92">
        <v>16</v>
      </c>
      <c r="V92">
        <v>0</v>
      </c>
      <c r="W92">
        <v>1.25</v>
      </c>
      <c r="X92" t="s">
        <v>444</v>
      </c>
      <c r="Y92">
        <v>298.5</v>
      </c>
      <c r="Z92" t="s">
        <v>577</v>
      </c>
      <c r="AA92" t="s">
        <v>26</v>
      </c>
    </row>
    <row r="93" spans="1:27" hidden="1" x14ac:dyDescent="0.3">
      <c r="A93">
        <v>45</v>
      </c>
      <c r="B93">
        <v>0</v>
      </c>
      <c r="C93">
        <v>0</v>
      </c>
      <c r="D93" t="s">
        <v>18</v>
      </c>
      <c r="F93">
        <v>1.25</v>
      </c>
      <c r="G93" s="44">
        <v>0.420171973650248</v>
      </c>
      <c r="H93" s="44">
        <v>-0.11167705061185</v>
      </c>
      <c r="I93" s="161">
        <v>0.43475999249529201</v>
      </c>
      <c r="J93" s="44">
        <v>5.924242E-9</v>
      </c>
      <c r="K93" s="44">
        <v>1.616771E-11</v>
      </c>
      <c r="L93">
        <v>1</v>
      </c>
      <c r="M93" s="44">
        <v>0.41750879410619202</v>
      </c>
      <c r="N93" s="44">
        <v>-0.121759444294053</v>
      </c>
      <c r="O93">
        <v>15000</v>
      </c>
      <c r="P93">
        <v>16</v>
      </c>
      <c r="Q93">
        <v>1</v>
      </c>
      <c r="R93">
        <v>1</v>
      </c>
      <c r="S93">
        <v>1</v>
      </c>
      <c r="T93">
        <v>1E-4</v>
      </c>
      <c r="U93">
        <v>16</v>
      </c>
      <c r="V93">
        <v>0</v>
      </c>
      <c r="W93">
        <v>1.25</v>
      </c>
      <c r="X93" t="s">
        <v>444</v>
      </c>
      <c r="Y93">
        <v>289.89999999999998</v>
      </c>
      <c r="Z93" t="s">
        <v>578</v>
      </c>
      <c r="AA93" t="s">
        <v>26</v>
      </c>
    </row>
    <row r="94" spans="1:27" x14ac:dyDescent="0.3">
      <c r="A94">
        <v>42</v>
      </c>
      <c r="B94">
        <v>0</v>
      </c>
      <c r="C94">
        <v>0</v>
      </c>
      <c r="D94" t="s">
        <v>18</v>
      </c>
      <c r="F94">
        <v>1.5</v>
      </c>
      <c r="G94" s="44">
        <v>0.43435653801374002</v>
      </c>
      <c r="H94" s="44">
        <v>-1.2770646952721201E-2</v>
      </c>
      <c r="I94" s="161">
        <v>0.43454423427180799</v>
      </c>
      <c r="J94" s="44">
        <v>1.4831229999999999E-7</v>
      </c>
      <c r="K94" s="44">
        <v>1.7111919999999999E-8</v>
      </c>
      <c r="L94">
        <v>1</v>
      </c>
      <c r="M94" s="44">
        <v>0.43403710680369301</v>
      </c>
      <c r="N94" s="44">
        <v>-2.7399732631603901E-2</v>
      </c>
      <c r="O94">
        <v>15000</v>
      </c>
      <c r="P94">
        <v>16</v>
      </c>
      <c r="Q94">
        <v>1</v>
      </c>
      <c r="R94">
        <v>1</v>
      </c>
      <c r="S94">
        <v>1</v>
      </c>
      <c r="T94">
        <v>1E-4</v>
      </c>
      <c r="U94">
        <v>16</v>
      </c>
      <c r="V94">
        <v>0</v>
      </c>
      <c r="W94">
        <v>1.5</v>
      </c>
      <c r="X94" t="s">
        <v>444</v>
      </c>
      <c r="Y94">
        <v>295.10000000000002</v>
      </c>
      <c r="Z94" t="s">
        <v>579</v>
      </c>
      <c r="AA94" t="s">
        <v>26</v>
      </c>
    </row>
    <row r="95" spans="1:27" hidden="1" x14ac:dyDescent="0.3">
      <c r="A95">
        <v>45</v>
      </c>
      <c r="B95">
        <v>0</v>
      </c>
      <c r="C95">
        <v>0</v>
      </c>
      <c r="D95" t="s">
        <v>18</v>
      </c>
      <c r="F95">
        <v>1.5</v>
      </c>
      <c r="G95" s="44">
        <v>0.43457730999426197</v>
      </c>
      <c r="H95" s="44">
        <v>-1.23922018793481E-2</v>
      </c>
      <c r="I95" s="161">
        <v>0.43475395918756998</v>
      </c>
      <c r="J95" s="44">
        <v>6.6974740000000001E-9</v>
      </c>
      <c r="K95" s="44">
        <v>2.786363E-11</v>
      </c>
      <c r="L95">
        <v>1</v>
      </c>
      <c r="M95" s="44">
        <v>0.43403710680369301</v>
      </c>
      <c r="N95" s="44">
        <v>-2.7399732631603901E-2</v>
      </c>
      <c r="O95">
        <v>15000</v>
      </c>
      <c r="P95">
        <v>16</v>
      </c>
      <c r="Q95">
        <v>1</v>
      </c>
      <c r="R95">
        <v>1</v>
      </c>
      <c r="S95">
        <v>1</v>
      </c>
      <c r="T95">
        <v>1E-4</v>
      </c>
      <c r="U95">
        <v>16</v>
      </c>
      <c r="V95">
        <v>0</v>
      </c>
      <c r="W95">
        <v>1.5</v>
      </c>
      <c r="X95" t="s">
        <v>444</v>
      </c>
      <c r="Y95">
        <v>295.10000000000002</v>
      </c>
      <c r="Z95" t="s">
        <v>580</v>
      </c>
      <c r="AA95" t="s">
        <v>26</v>
      </c>
    </row>
    <row r="96" spans="1:27" x14ac:dyDescent="0.3">
      <c r="A96">
        <v>42</v>
      </c>
      <c r="B96">
        <v>0</v>
      </c>
      <c r="C96">
        <v>0</v>
      </c>
      <c r="D96" t="s">
        <v>18</v>
      </c>
      <c r="F96">
        <v>1.75</v>
      </c>
      <c r="G96" s="44">
        <v>0.42157995854341102</v>
      </c>
      <c r="H96" s="44">
        <v>0.10397879081011301</v>
      </c>
      <c r="I96" s="161">
        <v>0.43421336965113999</v>
      </c>
      <c r="J96" s="44">
        <v>7.1540390000000003E-8</v>
      </c>
      <c r="K96" s="44">
        <v>2.6871929999999998E-9</v>
      </c>
      <c r="L96">
        <v>1</v>
      </c>
      <c r="M96" s="44">
        <v>0.42642054565481502</v>
      </c>
      <c r="N96" s="44">
        <v>8.5466213641724506E-2</v>
      </c>
      <c r="O96">
        <v>15000</v>
      </c>
      <c r="P96">
        <v>16</v>
      </c>
      <c r="Q96">
        <v>1</v>
      </c>
      <c r="R96">
        <v>1</v>
      </c>
      <c r="S96">
        <v>1</v>
      </c>
      <c r="T96">
        <v>1E-4</v>
      </c>
      <c r="U96">
        <v>16</v>
      </c>
      <c r="V96">
        <v>0</v>
      </c>
      <c r="W96">
        <v>1.75</v>
      </c>
      <c r="X96" t="s">
        <v>444</v>
      </c>
      <c r="Y96">
        <v>293.5</v>
      </c>
      <c r="Z96" t="s">
        <v>581</v>
      </c>
      <c r="AA96" t="s">
        <v>26</v>
      </c>
    </row>
    <row r="97" spans="1:27" hidden="1" x14ac:dyDescent="0.3">
      <c r="A97">
        <v>45</v>
      </c>
      <c r="B97">
        <v>0</v>
      </c>
      <c r="C97">
        <v>0</v>
      </c>
      <c r="D97" t="s">
        <v>18</v>
      </c>
      <c r="F97">
        <v>1.75</v>
      </c>
      <c r="G97" s="44">
        <v>0.42178458213557701</v>
      </c>
      <c r="H97" s="44">
        <v>0.10537348314669</v>
      </c>
      <c r="I97" s="161">
        <v>0.43474797834808798</v>
      </c>
      <c r="J97" s="44">
        <v>6.0429390000000003E-9</v>
      </c>
      <c r="K97" s="44">
        <v>2.0597620000000001E-11</v>
      </c>
      <c r="L97">
        <v>1</v>
      </c>
      <c r="M97" s="44">
        <v>0.42642054565481502</v>
      </c>
      <c r="N97" s="44">
        <v>8.5466213641724506E-2</v>
      </c>
      <c r="O97">
        <v>15000</v>
      </c>
      <c r="P97">
        <v>16</v>
      </c>
      <c r="Q97">
        <v>1</v>
      </c>
      <c r="R97">
        <v>1</v>
      </c>
      <c r="S97">
        <v>1</v>
      </c>
      <c r="T97">
        <v>1E-4</v>
      </c>
      <c r="U97">
        <v>16</v>
      </c>
      <c r="V97">
        <v>0</v>
      </c>
      <c r="W97">
        <v>1.75</v>
      </c>
      <c r="X97" t="s">
        <v>444</v>
      </c>
      <c r="Y97">
        <v>295.89999999999998</v>
      </c>
      <c r="Z97" t="s">
        <v>582</v>
      </c>
      <c r="AA97" t="s">
        <v>26</v>
      </c>
    </row>
    <row r="98" spans="1:27" x14ac:dyDescent="0.3">
      <c r="A98">
        <v>42</v>
      </c>
      <c r="B98">
        <v>0</v>
      </c>
      <c r="C98">
        <v>0</v>
      </c>
      <c r="D98" t="s">
        <v>18</v>
      </c>
      <c r="F98">
        <v>2</v>
      </c>
      <c r="G98" s="44">
        <v>0.36942649040900299</v>
      </c>
      <c r="H98" s="44">
        <v>0.22950036975292401</v>
      </c>
      <c r="I98" s="161">
        <v>0.434909590067456</v>
      </c>
      <c r="J98" s="44">
        <v>1.908371E-7</v>
      </c>
      <c r="K98" s="44">
        <v>2.0267650000000001E-8</v>
      </c>
      <c r="L98">
        <v>1</v>
      </c>
      <c r="M98" s="44">
        <v>0.38191422872612701</v>
      </c>
      <c r="N98" s="44">
        <v>0.20803960518932599</v>
      </c>
      <c r="O98">
        <v>15000</v>
      </c>
      <c r="P98">
        <v>16</v>
      </c>
      <c r="Q98">
        <v>1</v>
      </c>
      <c r="R98">
        <v>1</v>
      </c>
      <c r="S98">
        <v>1</v>
      </c>
      <c r="T98">
        <v>1E-4</v>
      </c>
      <c r="U98">
        <v>16</v>
      </c>
      <c r="V98">
        <v>0</v>
      </c>
      <c r="W98">
        <v>2</v>
      </c>
      <c r="X98" t="s">
        <v>444</v>
      </c>
      <c r="Y98">
        <v>287.89999999999998</v>
      </c>
      <c r="Z98" t="s">
        <v>583</v>
      </c>
      <c r="AA98" t="s">
        <v>26</v>
      </c>
    </row>
    <row r="99" spans="1:27" hidden="1" x14ac:dyDescent="0.3">
      <c r="A99">
        <v>45</v>
      </c>
      <c r="B99">
        <v>0</v>
      </c>
      <c r="C99">
        <v>0</v>
      </c>
      <c r="D99" t="s">
        <v>18</v>
      </c>
      <c r="F99">
        <v>2</v>
      </c>
      <c r="G99" s="44">
        <v>0.36829254419942598</v>
      </c>
      <c r="H99" s="44">
        <v>0.23099866947769901</v>
      </c>
      <c r="I99" s="161">
        <v>0.434741053287303</v>
      </c>
      <c r="J99" s="44">
        <v>5.1647870000000002E-9</v>
      </c>
      <c r="K99" s="44">
        <v>1.5993869999999999E-11</v>
      </c>
      <c r="L99">
        <v>1</v>
      </c>
      <c r="M99" s="44">
        <v>0.38191422872612701</v>
      </c>
      <c r="N99" s="44">
        <v>0.20803960518932599</v>
      </c>
      <c r="O99">
        <v>15000</v>
      </c>
      <c r="P99">
        <v>16</v>
      </c>
      <c r="Q99">
        <v>1</v>
      </c>
      <c r="R99">
        <v>1</v>
      </c>
      <c r="S99">
        <v>1</v>
      </c>
      <c r="T99">
        <v>1E-4</v>
      </c>
      <c r="U99">
        <v>16</v>
      </c>
      <c r="V99">
        <v>0</v>
      </c>
      <c r="W99">
        <v>2</v>
      </c>
      <c r="X99" t="s">
        <v>444</v>
      </c>
      <c r="Y99">
        <v>293</v>
      </c>
      <c r="Z99" t="s">
        <v>584</v>
      </c>
      <c r="AA99" t="s">
        <v>26</v>
      </c>
    </row>
    <row r="100" spans="1:27" x14ac:dyDescent="0.3">
      <c r="A100">
        <v>42</v>
      </c>
      <c r="B100">
        <v>0</v>
      </c>
      <c r="C100">
        <v>0</v>
      </c>
      <c r="D100" t="s">
        <v>18</v>
      </c>
      <c r="F100">
        <v>2.25</v>
      </c>
      <c r="G100" s="44">
        <v>0.26659418074368002</v>
      </c>
      <c r="H100" s="44">
        <v>0.346481949960038</v>
      </c>
      <c r="I100" s="161">
        <v>0.43717524959048698</v>
      </c>
      <c r="J100" s="44">
        <v>1.0698130000000001E-6</v>
      </c>
      <c r="K100" s="44">
        <v>5.5080189999999999E-7</v>
      </c>
      <c r="L100">
        <v>0.99999899999999997</v>
      </c>
      <c r="M100" s="44">
        <v>0.29031308968880298</v>
      </c>
      <c r="N100" s="44">
        <v>0.32381671572997001</v>
      </c>
      <c r="O100">
        <v>15000</v>
      </c>
      <c r="P100">
        <v>16</v>
      </c>
      <c r="Q100">
        <v>1</v>
      </c>
      <c r="R100">
        <v>1</v>
      </c>
      <c r="S100">
        <v>1</v>
      </c>
      <c r="T100">
        <v>1E-4</v>
      </c>
      <c r="U100">
        <v>16</v>
      </c>
      <c r="V100">
        <v>0</v>
      </c>
      <c r="W100">
        <v>2.25</v>
      </c>
      <c r="X100" t="s">
        <v>444</v>
      </c>
      <c r="Y100">
        <v>289.10000000000002</v>
      </c>
      <c r="Z100" t="s">
        <v>585</v>
      </c>
      <c r="AA100" t="s">
        <v>26</v>
      </c>
    </row>
    <row r="101" spans="1:27" hidden="1" x14ac:dyDescent="0.3">
      <c r="A101">
        <v>45</v>
      </c>
      <c r="B101">
        <v>0</v>
      </c>
      <c r="C101">
        <v>0</v>
      </c>
      <c r="D101" t="s">
        <v>18</v>
      </c>
      <c r="F101">
        <v>2.25</v>
      </c>
      <c r="G101" s="44">
        <v>0.26419386629284197</v>
      </c>
      <c r="H101" s="44">
        <v>0.34524521529966001</v>
      </c>
      <c r="I101" s="161">
        <v>0.434732857826585</v>
      </c>
      <c r="J101" s="44">
        <v>6.4257219999999998E-9</v>
      </c>
      <c r="K101" s="44">
        <v>2.2814480000000001E-11</v>
      </c>
      <c r="L101">
        <v>1</v>
      </c>
      <c r="M101" s="44">
        <v>0.29031308968880298</v>
      </c>
      <c r="N101" s="44">
        <v>0.32381671572997001</v>
      </c>
      <c r="O101">
        <v>15000</v>
      </c>
      <c r="P101">
        <v>16</v>
      </c>
      <c r="Q101">
        <v>1</v>
      </c>
      <c r="R101">
        <v>1</v>
      </c>
      <c r="S101">
        <v>1</v>
      </c>
      <c r="T101">
        <v>1E-4</v>
      </c>
      <c r="U101">
        <v>16</v>
      </c>
      <c r="V101">
        <v>0</v>
      </c>
      <c r="W101">
        <v>2.25</v>
      </c>
      <c r="X101" t="s">
        <v>444</v>
      </c>
      <c r="Y101">
        <v>285.60000000000002</v>
      </c>
      <c r="Z101" t="s">
        <v>586</v>
      </c>
      <c r="AA101" t="s">
        <v>26</v>
      </c>
    </row>
    <row r="102" spans="1:27" x14ac:dyDescent="0.3">
      <c r="A102">
        <v>42</v>
      </c>
      <c r="B102">
        <v>0</v>
      </c>
      <c r="C102">
        <v>0</v>
      </c>
      <c r="D102" t="s">
        <v>18</v>
      </c>
      <c r="F102">
        <v>2.5</v>
      </c>
      <c r="G102" s="44">
        <v>5.9753825112243898E-2</v>
      </c>
      <c r="H102" s="44">
        <v>0.43913968633294198</v>
      </c>
      <c r="I102" s="161">
        <v>0.443186398401552</v>
      </c>
      <c r="J102" s="44">
        <v>2.4939069999999999E-6</v>
      </c>
      <c r="K102" s="44">
        <v>3.112573E-6</v>
      </c>
      <c r="L102">
        <v>0.99999700000000002</v>
      </c>
      <c r="M102" s="44">
        <v>0.148985702719966</v>
      </c>
      <c r="N102" s="44">
        <v>0.40858562849890001</v>
      </c>
      <c r="O102">
        <v>15000</v>
      </c>
      <c r="P102">
        <v>16</v>
      </c>
      <c r="Q102">
        <v>1</v>
      </c>
      <c r="R102">
        <v>1</v>
      </c>
      <c r="S102">
        <v>1</v>
      </c>
      <c r="T102">
        <v>1E-4</v>
      </c>
      <c r="U102">
        <v>16</v>
      </c>
      <c r="V102">
        <v>0</v>
      </c>
      <c r="W102">
        <v>2.5</v>
      </c>
      <c r="X102" t="s">
        <v>444</v>
      </c>
      <c r="Y102">
        <v>292</v>
      </c>
      <c r="Z102" t="s">
        <v>587</v>
      </c>
      <c r="AA102" t="s">
        <v>26</v>
      </c>
    </row>
    <row r="103" spans="1:27" hidden="1" x14ac:dyDescent="0.3">
      <c r="A103">
        <v>45</v>
      </c>
      <c r="B103">
        <v>0</v>
      </c>
      <c r="C103">
        <v>0</v>
      </c>
      <c r="D103" t="s">
        <v>18</v>
      </c>
      <c r="F103">
        <v>2.5</v>
      </c>
      <c r="G103" s="44">
        <v>0.109112396159613</v>
      </c>
      <c r="H103" s="44">
        <v>0.420807142036566</v>
      </c>
      <c r="I103" s="161">
        <v>0.43472309092648298</v>
      </c>
      <c r="J103" s="44">
        <v>7.8786799999999995E-9</v>
      </c>
      <c r="K103" s="44">
        <v>3.284562E-11</v>
      </c>
      <c r="L103">
        <v>1</v>
      </c>
      <c r="M103" s="44">
        <v>0.148985702719966</v>
      </c>
      <c r="N103" s="44">
        <v>0.40858562849890001</v>
      </c>
      <c r="O103">
        <v>15000</v>
      </c>
      <c r="P103">
        <v>16</v>
      </c>
      <c r="Q103">
        <v>1</v>
      </c>
      <c r="R103">
        <v>1</v>
      </c>
      <c r="S103">
        <v>1</v>
      </c>
      <c r="T103">
        <v>1E-4</v>
      </c>
      <c r="U103">
        <v>16</v>
      </c>
      <c r="V103">
        <v>0</v>
      </c>
      <c r="W103">
        <v>2.5</v>
      </c>
      <c r="X103" t="s">
        <v>444</v>
      </c>
      <c r="Y103">
        <v>288.10000000000002</v>
      </c>
      <c r="Z103" t="s">
        <v>588</v>
      </c>
      <c r="AA103" t="s">
        <v>26</v>
      </c>
    </row>
    <row r="104" spans="1:27" x14ac:dyDescent="0.3">
      <c r="A104">
        <v>42</v>
      </c>
      <c r="B104">
        <v>0</v>
      </c>
      <c r="C104">
        <v>0</v>
      </c>
      <c r="D104" t="s">
        <v>18</v>
      </c>
      <c r="F104">
        <v>2.75</v>
      </c>
      <c r="G104" s="44">
        <v>-4.4380135539771499E-2</v>
      </c>
      <c r="H104" s="44">
        <v>0.40719506054600801</v>
      </c>
      <c r="I104" s="161">
        <v>0.40960641323543301</v>
      </c>
      <c r="J104" s="44">
        <v>9.7099660000000005E-6</v>
      </c>
      <c r="K104" s="44">
        <v>5.8026319999999998E-5</v>
      </c>
      <c r="L104">
        <v>0.99994499999999997</v>
      </c>
      <c r="M104" s="44">
        <v>-3.1163598094273801E-2</v>
      </c>
      <c r="N104" s="44">
        <v>0.43378310892036998</v>
      </c>
      <c r="O104">
        <v>15000</v>
      </c>
      <c r="P104">
        <v>16</v>
      </c>
      <c r="Q104">
        <v>1</v>
      </c>
      <c r="R104">
        <v>1</v>
      </c>
      <c r="S104">
        <v>1</v>
      </c>
      <c r="T104">
        <v>1E-4</v>
      </c>
      <c r="U104">
        <v>16</v>
      </c>
      <c r="V104">
        <v>0</v>
      </c>
      <c r="W104">
        <v>2.75</v>
      </c>
      <c r="X104" t="s">
        <v>444</v>
      </c>
      <c r="Y104">
        <v>286.5</v>
      </c>
      <c r="Z104" t="s">
        <v>589</v>
      </c>
      <c r="AA104" t="s">
        <v>26</v>
      </c>
    </row>
    <row r="105" spans="1:27" hidden="1" x14ac:dyDescent="0.3">
      <c r="A105">
        <v>45</v>
      </c>
      <c r="B105">
        <v>0</v>
      </c>
      <c r="C105">
        <v>0</v>
      </c>
      <c r="D105" t="s">
        <v>18</v>
      </c>
      <c r="F105">
        <v>2.75</v>
      </c>
      <c r="G105" s="44">
        <v>-8.11682815398799E-2</v>
      </c>
      <c r="H105" s="44">
        <v>0.42706900129606801</v>
      </c>
      <c r="I105" s="161">
        <v>0.43471395399292001</v>
      </c>
      <c r="J105" s="44">
        <v>5.3055439999999999E-9</v>
      </c>
      <c r="K105" s="44">
        <v>1.404317E-11</v>
      </c>
      <c r="L105">
        <v>1</v>
      </c>
      <c r="M105" s="44">
        <v>-3.1163598094273801E-2</v>
      </c>
      <c r="N105" s="44">
        <v>0.43378310892036998</v>
      </c>
      <c r="O105">
        <v>15000</v>
      </c>
      <c r="P105">
        <v>16</v>
      </c>
      <c r="Q105">
        <v>1</v>
      </c>
      <c r="R105">
        <v>1</v>
      </c>
      <c r="S105">
        <v>1</v>
      </c>
      <c r="T105">
        <v>1E-4</v>
      </c>
      <c r="U105">
        <v>16</v>
      </c>
      <c r="V105">
        <v>0</v>
      </c>
      <c r="W105">
        <v>2.75</v>
      </c>
      <c r="X105" t="s">
        <v>444</v>
      </c>
      <c r="Y105">
        <v>287.10000000000002</v>
      </c>
      <c r="Z105" t="s">
        <v>590</v>
      </c>
      <c r="AA105" t="s">
        <v>26</v>
      </c>
    </row>
    <row r="106" spans="1:27" x14ac:dyDescent="0.3">
      <c r="A106">
        <v>42</v>
      </c>
      <c r="B106">
        <v>0</v>
      </c>
      <c r="C106">
        <v>0</v>
      </c>
      <c r="D106" t="s">
        <v>18</v>
      </c>
      <c r="F106">
        <v>3</v>
      </c>
      <c r="G106" s="44">
        <v>-0.27048780039964698</v>
      </c>
      <c r="H106" s="44">
        <v>0.34025761484167599</v>
      </c>
      <c r="I106" s="161">
        <v>0.43467101884389098</v>
      </c>
      <c r="J106" s="44">
        <v>1.033756E-7</v>
      </c>
      <c r="K106" s="44">
        <v>5.9119820000000003E-9</v>
      </c>
      <c r="L106">
        <v>1</v>
      </c>
      <c r="M106" s="44">
        <v>-0.22106497125442601</v>
      </c>
      <c r="N106" s="44">
        <v>0.374525344823395</v>
      </c>
      <c r="O106">
        <v>15000</v>
      </c>
      <c r="P106">
        <v>16</v>
      </c>
      <c r="Q106">
        <v>1</v>
      </c>
      <c r="R106">
        <v>1</v>
      </c>
      <c r="S106">
        <v>1</v>
      </c>
      <c r="T106">
        <v>1E-4</v>
      </c>
      <c r="U106">
        <v>16</v>
      </c>
      <c r="V106">
        <v>0</v>
      </c>
      <c r="W106">
        <v>3</v>
      </c>
      <c r="X106" t="s">
        <v>444</v>
      </c>
      <c r="Y106">
        <v>289.10000000000002</v>
      </c>
      <c r="Z106" t="s">
        <v>591</v>
      </c>
      <c r="AA106" t="s">
        <v>26</v>
      </c>
    </row>
    <row r="107" spans="1:27" hidden="1" x14ac:dyDescent="0.3">
      <c r="A107">
        <v>45</v>
      </c>
      <c r="B107">
        <v>0</v>
      </c>
      <c r="C107">
        <v>0</v>
      </c>
      <c r="D107" t="s">
        <v>18</v>
      </c>
      <c r="F107">
        <v>3</v>
      </c>
      <c r="G107" s="44">
        <v>-0.270419237012619</v>
      </c>
      <c r="H107" s="44">
        <v>0.34035378617248702</v>
      </c>
      <c r="I107" s="161">
        <v>0.43470365021291701</v>
      </c>
      <c r="J107" s="44">
        <v>6.5883889999999999E-9</v>
      </c>
      <c r="K107" s="44">
        <v>2.5125320000000001E-11</v>
      </c>
      <c r="L107">
        <v>1</v>
      </c>
      <c r="M107" s="44">
        <v>-0.22106497125442601</v>
      </c>
      <c r="N107" s="44">
        <v>0.374525344823395</v>
      </c>
      <c r="O107">
        <v>15000</v>
      </c>
      <c r="P107">
        <v>16</v>
      </c>
      <c r="Q107">
        <v>1</v>
      </c>
      <c r="R107">
        <v>1</v>
      </c>
      <c r="S107">
        <v>1</v>
      </c>
      <c r="T107">
        <v>1E-4</v>
      </c>
      <c r="U107">
        <v>16</v>
      </c>
      <c r="V107">
        <v>0</v>
      </c>
      <c r="W107">
        <v>3</v>
      </c>
      <c r="X107" t="s">
        <v>444</v>
      </c>
      <c r="Y107">
        <v>288.7</v>
      </c>
      <c r="Z107" t="s">
        <v>592</v>
      </c>
      <c r="AA107" t="s">
        <v>26</v>
      </c>
    </row>
    <row r="108" spans="1:27" x14ac:dyDescent="0.3">
      <c r="A108">
        <v>42</v>
      </c>
      <c r="B108">
        <v>0</v>
      </c>
      <c r="C108">
        <v>0</v>
      </c>
      <c r="D108" t="s">
        <v>18</v>
      </c>
      <c r="F108">
        <v>3.25</v>
      </c>
      <c r="G108" s="44">
        <v>-0.40473118428218602</v>
      </c>
      <c r="H108" s="44">
        <v>0.158540595159568</v>
      </c>
      <c r="I108" s="161">
        <v>0.43467511067924097</v>
      </c>
      <c r="J108" s="44">
        <v>2.6470630000000002E-7</v>
      </c>
      <c r="K108" s="44">
        <v>3.5156880000000003E-8</v>
      </c>
      <c r="L108">
        <v>1</v>
      </c>
      <c r="M108" s="44">
        <v>-0.37392335017320999</v>
      </c>
      <c r="N108" s="44">
        <v>0.222081704843164</v>
      </c>
      <c r="O108">
        <v>15000</v>
      </c>
      <c r="P108">
        <v>16</v>
      </c>
      <c r="Q108">
        <v>1</v>
      </c>
      <c r="R108">
        <v>1</v>
      </c>
      <c r="S108">
        <v>1</v>
      </c>
      <c r="T108">
        <v>1E-4</v>
      </c>
      <c r="U108">
        <v>16</v>
      </c>
      <c r="V108">
        <v>0</v>
      </c>
      <c r="W108">
        <v>3.25</v>
      </c>
      <c r="X108" t="s">
        <v>444</v>
      </c>
      <c r="Y108">
        <v>280.7</v>
      </c>
      <c r="Z108" t="s">
        <v>593</v>
      </c>
      <c r="AA108" t="s">
        <v>26</v>
      </c>
    </row>
    <row r="109" spans="1:27" hidden="1" x14ac:dyDescent="0.3">
      <c r="A109">
        <v>45</v>
      </c>
      <c r="B109">
        <v>0</v>
      </c>
      <c r="C109">
        <v>0</v>
      </c>
      <c r="D109" t="s">
        <v>18</v>
      </c>
      <c r="F109">
        <v>3.25</v>
      </c>
      <c r="G109" s="44">
        <v>-0.404677005428067</v>
      </c>
      <c r="H109" s="44">
        <v>0.158721471052168</v>
      </c>
      <c r="I109" s="161">
        <v>0.43469067633800501</v>
      </c>
      <c r="J109" s="44">
        <v>6.9769539999999996E-9</v>
      </c>
      <c r="K109" s="44">
        <v>2.4994359999999999E-11</v>
      </c>
      <c r="L109">
        <v>1</v>
      </c>
      <c r="M109" s="44">
        <v>-0.37392335017320999</v>
      </c>
      <c r="N109" s="44">
        <v>0.222081704843164</v>
      </c>
      <c r="O109">
        <v>15000</v>
      </c>
      <c r="P109">
        <v>16</v>
      </c>
      <c r="Q109">
        <v>1</v>
      </c>
      <c r="R109">
        <v>1</v>
      </c>
      <c r="S109">
        <v>1</v>
      </c>
      <c r="T109">
        <v>1E-4</v>
      </c>
      <c r="U109">
        <v>16</v>
      </c>
      <c r="V109">
        <v>0</v>
      </c>
      <c r="W109">
        <v>3.25</v>
      </c>
      <c r="X109" t="s">
        <v>444</v>
      </c>
      <c r="Y109">
        <v>289.39999999999998</v>
      </c>
      <c r="Z109" t="s">
        <v>594</v>
      </c>
      <c r="AA109" t="s">
        <v>26</v>
      </c>
    </row>
    <row r="110" spans="1:27" x14ac:dyDescent="0.3">
      <c r="A110">
        <v>42</v>
      </c>
      <c r="B110">
        <v>0</v>
      </c>
      <c r="C110">
        <v>0</v>
      </c>
      <c r="D110" t="s">
        <v>18</v>
      </c>
      <c r="F110">
        <v>3.5</v>
      </c>
      <c r="G110" s="44">
        <v>-0.426609723780696</v>
      </c>
      <c r="H110" s="44">
        <v>-8.3582516430093901E-2</v>
      </c>
      <c r="I110" s="161">
        <v>0.43472047740706798</v>
      </c>
      <c r="J110" s="44">
        <v>7.5262279999999999E-8</v>
      </c>
      <c r="K110" s="44">
        <v>3.051972E-9</v>
      </c>
      <c r="L110">
        <v>1</v>
      </c>
      <c r="M110" s="44">
        <v>-0.43489370505066799</v>
      </c>
      <c r="N110" s="44">
        <v>-2.5339175413038001E-3</v>
      </c>
      <c r="O110">
        <v>15000</v>
      </c>
      <c r="P110">
        <v>16</v>
      </c>
      <c r="Q110">
        <v>1</v>
      </c>
      <c r="R110">
        <v>1</v>
      </c>
      <c r="S110">
        <v>1</v>
      </c>
      <c r="T110">
        <v>1E-4</v>
      </c>
      <c r="U110">
        <v>16</v>
      </c>
      <c r="V110">
        <v>0</v>
      </c>
      <c r="W110">
        <v>3.5</v>
      </c>
      <c r="X110" t="s">
        <v>444</v>
      </c>
      <c r="Y110">
        <v>285.39999999999998</v>
      </c>
      <c r="Z110" t="s">
        <v>595</v>
      </c>
      <c r="AA110" t="s">
        <v>26</v>
      </c>
    </row>
    <row r="111" spans="1:27" hidden="1" x14ac:dyDescent="0.3">
      <c r="A111">
        <v>45</v>
      </c>
      <c r="B111">
        <v>0</v>
      </c>
      <c r="C111">
        <v>0</v>
      </c>
      <c r="D111" t="s">
        <v>18</v>
      </c>
      <c r="F111">
        <v>3.5</v>
      </c>
      <c r="G111" s="44">
        <v>-0.426531677994407</v>
      </c>
      <c r="H111" s="44">
        <v>-8.3754908344455398E-2</v>
      </c>
      <c r="I111" s="161">
        <v>0.43467707209434497</v>
      </c>
      <c r="J111" s="44">
        <v>6.4285989999999996E-9</v>
      </c>
      <c r="K111" s="44">
        <v>2.206322E-11</v>
      </c>
      <c r="L111">
        <v>1</v>
      </c>
      <c r="M111" s="44">
        <v>-0.43489370505066799</v>
      </c>
      <c r="N111" s="44">
        <v>-2.5339175413038001E-3</v>
      </c>
      <c r="O111">
        <v>15000</v>
      </c>
      <c r="P111">
        <v>16</v>
      </c>
      <c r="Q111">
        <v>1</v>
      </c>
      <c r="R111">
        <v>1</v>
      </c>
      <c r="S111">
        <v>1</v>
      </c>
      <c r="T111">
        <v>1E-4</v>
      </c>
      <c r="U111">
        <v>16</v>
      </c>
      <c r="V111">
        <v>0</v>
      </c>
      <c r="W111">
        <v>3.5</v>
      </c>
      <c r="X111" t="s">
        <v>444</v>
      </c>
      <c r="Y111">
        <v>286.60000000000002</v>
      </c>
      <c r="Z111" t="s">
        <v>596</v>
      </c>
      <c r="AA111" t="s">
        <v>26</v>
      </c>
    </row>
    <row r="112" spans="1:27" x14ac:dyDescent="0.3">
      <c r="A112">
        <v>42</v>
      </c>
      <c r="B112">
        <v>0</v>
      </c>
      <c r="C112">
        <v>0</v>
      </c>
      <c r="D112" t="s">
        <v>18</v>
      </c>
      <c r="F112">
        <v>3.75</v>
      </c>
      <c r="G112" s="44">
        <v>-0.30157835754114398</v>
      </c>
      <c r="H112" s="44">
        <v>-0.31413721163832398</v>
      </c>
      <c r="I112" s="161">
        <v>0.43546721285662299</v>
      </c>
      <c r="J112" s="44">
        <v>5.3938090000000004E-7</v>
      </c>
      <c r="K112" s="44">
        <v>1.7237830000000001E-7</v>
      </c>
      <c r="L112">
        <v>1</v>
      </c>
      <c r="M112" s="44">
        <v>-0.36192704155485</v>
      </c>
      <c r="N112" s="44">
        <v>-0.24113849137405899</v>
      </c>
      <c r="O112">
        <v>15000</v>
      </c>
      <c r="P112">
        <v>16</v>
      </c>
      <c r="Q112">
        <v>1</v>
      </c>
      <c r="R112">
        <v>1</v>
      </c>
      <c r="S112">
        <v>1</v>
      </c>
      <c r="T112">
        <v>1E-4</v>
      </c>
      <c r="U112">
        <v>16</v>
      </c>
      <c r="V112">
        <v>0</v>
      </c>
      <c r="W112">
        <v>3.75</v>
      </c>
      <c r="X112" t="s">
        <v>444</v>
      </c>
      <c r="Y112">
        <v>283.89999999999998</v>
      </c>
      <c r="Z112" t="s">
        <v>597</v>
      </c>
      <c r="AA112" t="s">
        <v>26</v>
      </c>
    </row>
    <row r="113" spans="1:27" hidden="1" x14ac:dyDescent="0.3">
      <c r="A113">
        <v>45</v>
      </c>
      <c r="B113">
        <v>0</v>
      </c>
      <c r="C113">
        <v>0</v>
      </c>
      <c r="D113" t="s">
        <v>18</v>
      </c>
      <c r="F113">
        <v>3.75</v>
      </c>
      <c r="G113" s="44">
        <v>-0.30170295972546302</v>
      </c>
      <c r="H113" s="44">
        <v>-0.31290332563018097</v>
      </c>
      <c r="I113" s="161">
        <v>0.43466443044897501</v>
      </c>
      <c r="J113" s="44">
        <v>6.2356059999999997E-9</v>
      </c>
      <c r="K113" s="44">
        <v>2.2492799999999999E-11</v>
      </c>
      <c r="L113">
        <v>1</v>
      </c>
      <c r="M113" s="44">
        <v>-0.36192704155485</v>
      </c>
      <c r="N113" s="44">
        <v>-0.24113849137405899</v>
      </c>
      <c r="O113">
        <v>15000</v>
      </c>
      <c r="P113">
        <v>16</v>
      </c>
      <c r="Q113">
        <v>1</v>
      </c>
      <c r="R113">
        <v>1</v>
      </c>
      <c r="S113">
        <v>1</v>
      </c>
      <c r="T113">
        <v>1E-4</v>
      </c>
      <c r="U113">
        <v>16</v>
      </c>
      <c r="V113">
        <v>0</v>
      </c>
      <c r="W113">
        <v>3.75</v>
      </c>
      <c r="X113" t="s">
        <v>444</v>
      </c>
      <c r="Y113">
        <v>283</v>
      </c>
      <c r="Z113" t="s">
        <v>598</v>
      </c>
      <c r="AA113" t="s">
        <v>26</v>
      </c>
    </row>
    <row r="114" spans="1:27" x14ac:dyDescent="0.3">
      <c r="A114">
        <v>42</v>
      </c>
      <c r="B114">
        <v>0</v>
      </c>
      <c r="C114">
        <v>0</v>
      </c>
      <c r="D114" t="s">
        <v>18</v>
      </c>
      <c r="F114">
        <v>4</v>
      </c>
      <c r="G114" s="44">
        <v>-5.0380076416053098E-2</v>
      </c>
      <c r="H114" s="44">
        <v>-0.43153700131706701</v>
      </c>
      <c r="I114" s="161">
        <v>0.43446787637915601</v>
      </c>
      <c r="J114" s="44">
        <v>1.808011E-7</v>
      </c>
      <c r="K114" s="44">
        <v>1.718399E-8</v>
      </c>
      <c r="L114">
        <v>1</v>
      </c>
      <c r="M114" s="44">
        <v>-0.15363019665698799</v>
      </c>
      <c r="N114" s="44">
        <v>-0.40686203817257099</v>
      </c>
      <c r="O114">
        <v>15000</v>
      </c>
      <c r="P114">
        <v>16</v>
      </c>
      <c r="Q114">
        <v>1</v>
      </c>
      <c r="R114">
        <v>1</v>
      </c>
      <c r="S114">
        <v>1</v>
      </c>
      <c r="T114">
        <v>1E-4</v>
      </c>
      <c r="U114">
        <v>16</v>
      </c>
      <c r="V114">
        <v>0</v>
      </c>
      <c r="W114">
        <v>4</v>
      </c>
      <c r="X114" t="s">
        <v>444</v>
      </c>
      <c r="Y114">
        <v>283.39999999999998</v>
      </c>
      <c r="Z114" t="s">
        <v>599</v>
      </c>
      <c r="AA114" t="s">
        <v>26</v>
      </c>
    </row>
    <row r="115" spans="1:27" hidden="1" x14ac:dyDescent="0.3">
      <c r="A115">
        <v>45</v>
      </c>
      <c r="B115">
        <v>0</v>
      </c>
      <c r="C115">
        <v>0</v>
      </c>
      <c r="D115" t="s">
        <v>18</v>
      </c>
      <c r="F115">
        <v>4</v>
      </c>
      <c r="G115" s="44">
        <v>-5.0048484350700403E-2</v>
      </c>
      <c r="H115" s="44">
        <v>-0.43175784735308298</v>
      </c>
      <c r="I115" s="161">
        <v>0.43464892676362399</v>
      </c>
      <c r="J115" s="44">
        <v>7.976883E-9</v>
      </c>
      <c r="K115" s="44">
        <v>3.2900089999999998E-11</v>
      </c>
      <c r="L115">
        <v>1</v>
      </c>
      <c r="M115" s="44">
        <v>-0.15363019665698799</v>
      </c>
      <c r="N115" s="44">
        <v>-0.40686203817257099</v>
      </c>
      <c r="O115">
        <v>15000</v>
      </c>
      <c r="P115">
        <v>16</v>
      </c>
      <c r="Q115">
        <v>1</v>
      </c>
      <c r="R115">
        <v>1</v>
      </c>
      <c r="S115">
        <v>1</v>
      </c>
      <c r="T115">
        <v>1E-4</v>
      </c>
      <c r="U115">
        <v>16</v>
      </c>
      <c r="V115">
        <v>0</v>
      </c>
      <c r="W115">
        <v>4</v>
      </c>
      <c r="X115" t="s">
        <v>444</v>
      </c>
      <c r="Y115">
        <v>284.89999999999998</v>
      </c>
      <c r="Z115" t="s">
        <v>600</v>
      </c>
      <c r="AA115" t="s">
        <v>26</v>
      </c>
    </row>
    <row r="116" spans="1:27" x14ac:dyDescent="0.3">
      <c r="A116">
        <v>42</v>
      </c>
      <c r="B116">
        <v>0</v>
      </c>
      <c r="C116">
        <v>0</v>
      </c>
      <c r="D116" t="s">
        <v>18</v>
      </c>
      <c r="F116">
        <v>4.25</v>
      </c>
      <c r="G116" s="44">
        <v>0.23755990938110999</v>
      </c>
      <c r="H116" s="44">
        <v>-0.36370794458559802</v>
      </c>
      <c r="I116" s="161">
        <v>0.43441705710048001</v>
      </c>
      <c r="J116" s="44">
        <v>8.3275720000000001E-8</v>
      </c>
      <c r="K116" s="44">
        <v>3.3331929999999999E-9</v>
      </c>
      <c r="L116">
        <v>1</v>
      </c>
      <c r="M116" s="44">
        <v>0.12898390421313599</v>
      </c>
      <c r="N116" s="44">
        <v>-0.41533373073317797</v>
      </c>
      <c r="O116">
        <v>15000</v>
      </c>
      <c r="P116">
        <v>16</v>
      </c>
      <c r="Q116">
        <v>1</v>
      </c>
      <c r="R116">
        <v>1</v>
      </c>
      <c r="S116">
        <v>1</v>
      </c>
      <c r="T116">
        <v>1E-4</v>
      </c>
      <c r="U116">
        <v>16</v>
      </c>
      <c r="V116">
        <v>0</v>
      </c>
      <c r="W116">
        <v>4.25</v>
      </c>
      <c r="X116" t="s">
        <v>444</v>
      </c>
      <c r="Y116">
        <v>280.7</v>
      </c>
      <c r="Z116" t="s">
        <v>601</v>
      </c>
      <c r="AA116" t="s">
        <v>26</v>
      </c>
    </row>
    <row r="117" spans="1:27" hidden="1" x14ac:dyDescent="0.3">
      <c r="A117">
        <v>45</v>
      </c>
      <c r="B117">
        <v>0</v>
      </c>
      <c r="C117">
        <v>0</v>
      </c>
      <c r="D117" t="s">
        <v>18</v>
      </c>
      <c r="F117">
        <v>4.25</v>
      </c>
      <c r="G117" s="44">
        <v>0.23761441119489399</v>
      </c>
      <c r="H117" s="44">
        <v>-0.36393079244288401</v>
      </c>
      <c r="I117" s="161">
        <v>0.43463344336992898</v>
      </c>
      <c r="J117" s="44">
        <v>6.0906779999999997E-9</v>
      </c>
      <c r="K117" s="44">
        <v>2.551517E-11</v>
      </c>
      <c r="L117">
        <v>1</v>
      </c>
      <c r="M117" s="44">
        <v>0.12898390421313599</v>
      </c>
      <c r="N117" s="44">
        <v>-0.41533373073317797</v>
      </c>
      <c r="O117">
        <v>15000</v>
      </c>
      <c r="P117">
        <v>16</v>
      </c>
      <c r="Q117">
        <v>1</v>
      </c>
      <c r="R117">
        <v>1</v>
      </c>
      <c r="S117">
        <v>1</v>
      </c>
      <c r="T117">
        <v>1E-4</v>
      </c>
      <c r="U117">
        <v>16</v>
      </c>
      <c r="V117">
        <v>0</v>
      </c>
      <c r="W117">
        <v>4.25</v>
      </c>
      <c r="X117" t="s">
        <v>444</v>
      </c>
      <c r="Y117">
        <v>285.2</v>
      </c>
      <c r="Z117" t="s">
        <v>602</v>
      </c>
      <c r="AA117" t="s">
        <v>26</v>
      </c>
    </row>
    <row r="118" spans="1:27" x14ac:dyDescent="0.3">
      <c r="A118">
        <v>42</v>
      </c>
      <c r="B118">
        <v>0</v>
      </c>
      <c r="C118">
        <v>0</v>
      </c>
      <c r="D118" t="s">
        <v>18</v>
      </c>
      <c r="F118">
        <v>4.5</v>
      </c>
      <c r="G118" s="44">
        <v>0.416425591919727</v>
      </c>
      <c r="H118" s="44">
        <v>-0.112722376127894</v>
      </c>
      <c r="I118" s="161">
        <v>0.431412340673762</v>
      </c>
      <c r="J118" s="44">
        <v>5.5736540000000001E-7</v>
      </c>
      <c r="K118" s="44">
        <v>1.593582E-7</v>
      </c>
      <c r="L118">
        <v>1</v>
      </c>
      <c r="M118" s="44">
        <v>0.36675359306684402</v>
      </c>
      <c r="N118" s="44">
        <v>-0.23373223441229299</v>
      </c>
      <c r="O118">
        <v>15000</v>
      </c>
      <c r="P118">
        <v>16</v>
      </c>
      <c r="Q118">
        <v>1</v>
      </c>
      <c r="R118">
        <v>1</v>
      </c>
      <c r="S118">
        <v>1</v>
      </c>
      <c r="T118">
        <v>1E-4</v>
      </c>
      <c r="U118">
        <v>16</v>
      </c>
      <c r="V118">
        <v>0</v>
      </c>
      <c r="W118">
        <v>4.5</v>
      </c>
      <c r="X118" t="s">
        <v>444</v>
      </c>
      <c r="Y118">
        <v>281.89999999999998</v>
      </c>
      <c r="Z118" t="s">
        <v>603</v>
      </c>
      <c r="AA118" t="s">
        <v>26</v>
      </c>
    </row>
    <row r="119" spans="1:27" hidden="1" x14ac:dyDescent="0.3">
      <c r="A119">
        <v>45</v>
      </c>
      <c r="B119">
        <v>0</v>
      </c>
      <c r="C119">
        <v>0</v>
      </c>
      <c r="D119" t="s">
        <v>18</v>
      </c>
      <c r="F119">
        <v>4.5</v>
      </c>
      <c r="G119" s="44">
        <v>0.42039678548177301</v>
      </c>
      <c r="H119" s="44">
        <v>-0.11026075758614901</v>
      </c>
      <c r="I119" s="161">
        <v>0.43461579804107398</v>
      </c>
      <c r="J119" s="44">
        <v>6.7437919999999997E-9</v>
      </c>
      <c r="K119" s="44">
        <v>2.7774019999999999E-11</v>
      </c>
      <c r="L119">
        <v>1</v>
      </c>
      <c r="M119" s="44">
        <v>0.36675359306684402</v>
      </c>
      <c r="N119" s="44">
        <v>-0.23373223441229299</v>
      </c>
      <c r="O119">
        <v>15000</v>
      </c>
      <c r="P119">
        <v>16</v>
      </c>
      <c r="Q119">
        <v>1</v>
      </c>
      <c r="R119">
        <v>1</v>
      </c>
      <c r="S119">
        <v>1</v>
      </c>
      <c r="T119">
        <v>1E-4</v>
      </c>
      <c r="U119">
        <v>16</v>
      </c>
      <c r="V119">
        <v>0</v>
      </c>
      <c r="W119">
        <v>4.5</v>
      </c>
      <c r="X119" t="s">
        <v>444</v>
      </c>
      <c r="Y119">
        <v>284</v>
      </c>
      <c r="Z119" t="s">
        <v>604</v>
      </c>
      <c r="AA119" t="s">
        <v>26</v>
      </c>
    </row>
    <row r="120" spans="1:27" x14ac:dyDescent="0.3">
      <c r="A120">
        <v>42</v>
      </c>
      <c r="B120">
        <v>0</v>
      </c>
      <c r="C120">
        <v>0</v>
      </c>
      <c r="D120" t="s">
        <v>18</v>
      </c>
      <c r="F120" s="99">
        <v>4.75</v>
      </c>
      <c r="G120" s="45">
        <v>0.37532075378878998</v>
      </c>
      <c r="H120" s="45">
        <v>0.21740397989669</v>
      </c>
      <c r="I120" s="45">
        <v>0.433739736131596</v>
      </c>
      <c r="J120" s="44">
        <v>1.975641E-7</v>
      </c>
      <c r="K120" s="44">
        <v>3.2277599999999998E-8</v>
      </c>
      <c r="L120">
        <v>1</v>
      </c>
      <c r="M120" s="44">
        <v>0.42825683585732799</v>
      </c>
      <c r="N120" s="44">
        <v>7.5730033489181905E-2</v>
      </c>
      <c r="O120">
        <v>15000</v>
      </c>
      <c r="P120">
        <v>16</v>
      </c>
      <c r="Q120">
        <v>1</v>
      </c>
      <c r="R120">
        <v>1</v>
      </c>
      <c r="S120">
        <v>1</v>
      </c>
      <c r="T120">
        <v>1E-4</v>
      </c>
      <c r="U120">
        <v>16</v>
      </c>
      <c r="V120">
        <v>0</v>
      </c>
      <c r="W120">
        <v>4.75</v>
      </c>
      <c r="X120" t="s">
        <v>444</v>
      </c>
      <c r="Y120">
        <v>279.60000000000002</v>
      </c>
      <c r="Z120" t="s">
        <v>605</v>
      </c>
      <c r="AA120" t="s">
        <v>26</v>
      </c>
    </row>
    <row r="121" spans="1:27" hidden="1" x14ac:dyDescent="0.3">
      <c r="A121">
        <v>45</v>
      </c>
      <c r="B121">
        <v>0</v>
      </c>
      <c r="C121">
        <v>0</v>
      </c>
      <c r="D121" t="s">
        <v>18</v>
      </c>
      <c r="F121" s="99">
        <v>4.75</v>
      </c>
      <c r="G121" s="45">
        <v>0.37684514435595501</v>
      </c>
      <c r="H121" s="45">
        <v>0.21648004298562901</v>
      </c>
      <c r="I121" s="45">
        <v>0.43459851798610599</v>
      </c>
      <c r="J121" s="44">
        <v>8.8959470000000004E-9</v>
      </c>
      <c r="K121" s="44">
        <v>4.2834330000000001E-11</v>
      </c>
      <c r="L121">
        <v>1</v>
      </c>
      <c r="M121" s="44">
        <v>0.42825683585732799</v>
      </c>
      <c r="N121" s="44">
        <v>7.5730033489181905E-2</v>
      </c>
      <c r="O121">
        <v>15000</v>
      </c>
      <c r="P121">
        <v>16</v>
      </c>
      <c r="Q121">
        <v>1</v>
      </c>
      <c r="R121">
        <v>1</v>
      </c>
      <c r="S121">
        <v>1</v>
      </c>
      <c r="T121">
        <v>1E-4</v>
      </c>
      <c r="U121">
        <v>16</v>
      </c>
      <c r="V121">
        <v>0</v>
      </c>
      <c r="W121">
        <v>4.75</v>
      </c>
      <c r="X121" t="s">
        <v>444</v>
      </c>
      <c r="Y121">
        <v>281</v>
      </c>
      <c r="Z121" t="s">
        <v>606</v>
      </c>
      <c r="AA121" t="s">
        <v>26</v>
      </c>
    </row>
    <row r="122" spans="1:27" x14ac:dyDescent="0.3">
      <c r="A122">
        <v>42</v>
      </c>
      <c r="B122">
        <v>0</v>
      </c>
      <c r="C122">
        <v>0</v>
      </c>
      <c r="D122" t="s">
        <v>18</v>
      </c>
      <c r="F122">
        <v>5</v>
      </c>
      <c r="G122" s="44">
        <v>5.4713188441293498E-2</v>
      </c>
      <c r="H122" s="44">
        <v>0.45378223772113502</v>
      </c>
      <c r="I122" s="161">
        <v>0.45706876097652199</v>
      </c>
      <c r="J122" s="44">
        <v>1.45365E-6</v>
      </c>
      <c r="K122" s="44">
        <v>9.3315409999999996E-7</v>
      </c>
      <c r="L122">
        <v>0.99999899999999997</v>
      </c>
      <c r="M122" s="44">
        <v>0.25028795366583501</v>
      </c>
      <c r="N122" s="44">
        <v>0.35566120913106603</v>
      </c>
      <c r="O122">
        <v>15000</v>
      </c>
      <c r="P122">
        <v>16</v>
      </c>
      <c r="Q122">
        <v>1</v>
      </c>
      <c r="R122">
        <v>1</v>
      </c>
      <c r="S122">
        <v>1</v>
      </c>
      <c r="T122">
        <v>1E-4</v>
      </c>
      <c r="U122">
        <v>16</v>
      </c>
      <c r="V122">
        <v>0</v>
      </c>
      <c r="W122">
        <v>5</v>
      </c>
      <c r="X122" t="s">
        <v>444</v>
      </c>
      <c r="Y122">
        <v>280.39999999999998</v>
      </c>
      <c r="Z122" t="s">
        <v>607</v>
      </c>
      <c r="AA122" t="s">
        <v>26</v>
      </c>
    </row>
    <row r="123" spans="1:27" hidden="1" x14ac:dyDescent="0.3">
      <c r="A123">
        <v>45</v>
      </c>
      <c r="B123">
        <v>0</v>
      </c>
      <c r="C123">
        <v>0</v>
      </c>
      <c r="D123" t="s">
        <v>18</v>
      </c>
      <c r="F123">
        <v>5</v>
      </c>
      <c r="G123" s="44">
        <v>9.8819963706782102E-2</v>
      </c>
      <c r="H123" s="44">
        <v>0.423194621637975</v>
      </c>
      <c r="I123" s="161">
        <v>0.43457919072398998</v>
      </c>
      <c r="J123" s="44">
        <v>8.9155030000000006E-9</v>
      </c>
      <c r="K123" s="44">
        <v>3.6845529999999999E-11</v>
      </c>
      <c r="L123">
        <v>1</v>
      </c>
      <c r="M123" s="44">
        <v>0.25028795366583501</v>
      </c>
      <c r="N123" s="44">
        <v>0.35566120913106603</v>
      </c>
      <c r="O123">
        <v>15000</v>
      </c>
      <c r="P123">
        <v>16</v>
      </c>
      <c r="Q123">
        <v>1</v>
      </c>
      <c r="R123">
        <v>1</v>
      </c>
      <c r="S123">
        <v>1</v>
      </c>
      <c r="T123">
        <v>1E-4</v>
      </c>
      <c r="U123">
        <v>16</v>
      </c>
      <c r="V123">
        <v>0</v>
      </c>
      <c r="W123">
        <v>5</v>
      </c>
      <c r="X123" t="s">
        <v>444</v>
      </c>
      <c r="Y123">
        <v>283.2</v>
      </c>
      <c r="Z123" t="s">
        <v>608</v>
      </c>
      <c r="AA123" t="s">
        <v>26</v>
      </c>
    </row>
    <row r="124" spans="1:27" x14ac:dyDescent="0.3">
      <c r="A124">
        <v>42</v>
      </c>
      <c r="B124">
        <v>0</v>
      </c>
      <c r="C124">
        <v>0</v>
      </c>
      <c r="D124" t="s">
        <v>18</v>
      </c>
      <c r="F124" s="99">
        <v>5.25</v>
      </c>
      <c r="G124" s="45">
        <v>-0.259661728334182</v>
      </c>
      <c r="H124" s="45">
        <v>0.34837244791016603</v>
      </c>
      <c r="I124" s="161">
        <v>0.43449692245678301</v>
      </c>
      <c r="J124" s="44">
        <v>2.203701E-7</v>
      </c>
      <c r="K124" s="44">
        <v>2.0441810000000001E-8</v>
      </c>
      <c r="L124">
        <v>1</v>
      </c>
      <c r="M124" s="44">
        <v>-9.0429339268449205E-2</v>
      </c>
      <c r="N124" s="44">
        <v>0.425395686426502</v>
      </c>
      <c r="O124">
        <v>15000</v>
      </c>
      <c r="P124">
        <v>16</v>
      </c>
      <c r="Q124">
        <v>1</v>
      </c>
      <c r="R124">
        <v>1</v>
      </c>
      <c r="S124">
        <v>1</v>
      </c>
      <c r="T124">
        <v>1E-4</v>
      </c>
      <c r="U124">
        <v>16</v>
      </c>
      <c r="V124">
        <v>0</v>
      </c>
      <c r="W124">
        <v>5.25</v>
      </c>
      <c r="X124" t="s">
        <v>444</v>
      </c>
      <c r="Y124">
        <v>281.89999999999998</v>
      </c>
      <c r="Z124" t="s">
        <v>609</v>
      </c>
      <c r="AA124" t="s">
        <v>26</v>
      </c>
    </row>
    <row r="125" spans="1:27" hidden="1" x14ac:dyDescent="0.3">
      <c r="A125">
        <v>45</v>
      </c>
      <c r="B125">
        <v>0</v>
      </c>
      <c r="C125">
        <v>0</v>
      </c>
      <c r="D125" t="s">
        <v>18</v>
      </c>
      <c r="F125" s="99">
        <v>5.25</v>
      </c>
      <c r="G125" s="45">
        <v>-0.256939846455364</v>
      </c>
      <c r="H125" s="45">
        <v>0.35046328421809197</v>
      </c>
      <c r="I125" s="161">
        <v>0.434560235504167</v>
      </c>
      <c r="J125" s="44">
        <v>8.4522569999999994E-9</v>
      </c>
      <c r="K125" s="44">
        <v>4.1083660000000001E-11</v>
      </c>
      <c r="L125">
        <v>1</v>
      </c>
      <c r="M125" s="44">
        <v>-9.0429339268449205E-2</v>
      </c>
      <c r="N125" s="44">
        <v>0.425395686426502</v>
      </c>
      <c r="O125">
        <v>15000</v>
      </c>
      <c r="P125">
        <v>16</v>
      </c>
      <c r="Q125">
        <v>1</v>
      </c>
      <c r="R125">
        <v>1</v>
      </c>
      <c r="S125">
        <v>1</v>
      </c>
      <c r="T125">
        <v>1E-4</v>
      </c>
      <c r="U125">
        <v>16</v>
      </c>
      <c r="V125">
        <v>0</v>
      </c>
      <c r="W125">
        <v>5.25</v>
      </c>
      <c r="X125" t="s">
        <v>444</v>
      </c>
      <c r="Y125">
        <v>280.60000000000002</v>
      </c>
      <c r="Z125" t="s">
        <v>610</v>
      </c>
      <c r="AA125" t="s">
        <v>26</v>
      </c>
    </row>
    <row r="126" spans="1:27" x14ac:dyDescent="0.3">
      <c r="A126">
        <v>42</v>
      </c>
      <c r="B126">
        <v>0</v>
      </c>
      <c r="C126">
        <v>0</v>
      </c>
      <c r="D126" t="s">
        <v>18</v>
      </c>
      <c r="F126" s="110">
        <v>5.5</v>
      </c>
      <c r="G126" s="163">
        <v>-4.0893891397123703</v>
      </c>
      <c r="H126" s="163">
        <v>-4.50412357769246</v>
      </c>
      <c r="I126" s="161">
        <v>6.0836035981252596</v>
      </c>
      <c r="J126" s="44">
        <v>3.8050909999999999E-4</v>
      </c>
      <c r="K126" s="44">
        <v>3.8518979999999998E-4</v>
      </c>
      <c r="L126">
        <v>0.99961699999999998</v>
      </c>
      <c r="M126" s="44">
        <v>-0.38196867215320102</v>
      </c>
      <c r="N126" s="44">
        <v>0.20793962807585201</v>
      </c>
      <c r="O126">
        <v>15000</v>
      </c>
      <c r="P126">
        <v>16</v>
      </c>
      <c r="Q126">
        <v>1</v>
      </c>
      <c r="R126">
        <v>1</v>
      </c>
      <c r="S126">
        <v>1</v>
      </c>
      <c r="T126">
        <v>1E-4</v>
      </c>
      <c r="U126">
        <v>16</v>
      </c>
      <c r="V126">
        <v>0</v>
      </c>
      <c r="W126">
        <v>5.5</v>
      </c>
      <c r="X126" t="s">
        <v>444</v>
      </c>
      <c r="Y126">
        <v>280.89999999999998</v>
      </c>
      <c r="Z126" t="s">
        <v>611</v>
      </c>
      <c r="AA126" t="s">
        <v>26</v>
      </c>
    </row>
    <row r="127" spans="1:27" hidden="1" x14ac:dyDescent="0.3">
      <c r="A127">
        <v>45</v>
      </c>
      <c r="B127">
        <v>0</v>
      </c>
      <c r="C127">
        <v>0</v>
      </c>
      <c r="D127" t="s">
        <v>18</v>
      </c>
      <c r="F127" s="110">
        <v>5.5</v>
      </c>
      <c r="G127" s="163">
        <v>-0.43428641344867502</v>
      </c>
      <c r="H127" s="163">
        <v>1.4813792291316699E-2</v>
      </c>
      <c r="I127" s="161">
        <v>0.43453899404790303</v>
      </c>
      <c r="J127" s="44">
        <v>7.2883529999999997E-9</v>
      </c>
      <c r="K127" s="44">
        <v>3.0462069999999997E-11</v>
      </c>
      <c r="L127">
        <v>1</v>
      </c>
      <c r="M127" s="44">
        <v>-0.38196867215320102</v>
      </c>
      <c r="N127" s="44">
        <v>0.20793962807585201</v>
      </c>
      <c r="O127">
        <v>15000</v>
      </c>
      <c r="P127">
        <v>16</v>
      </c>
      <c r="Q127">
        <v>1</v>
      </c>
      <c r="R127">
        <v>1</v>
      </c>
      <c r="S127">
        <v>1</v>
      </c>
      <c r="T127">
        <v>1E-4</v>
      </c>
      <c r="U127">
        <v>16</v>
      </c>
      <c r="V127">
        <v>0</v>
      </c>
      <c r="W127">
        <v>5.5</v>
      </c>
      <c r="X127" t="s">
        <v>444</v>
      </c>
      <c r="Y127">
        <v>280.60000000000002</v>
      </c>
      <c r="Z127" t="s">
        <v>612</v>
      </c>
      <c r="AA127" t="s">
        <v>26</v>
      </c>
    </row>
    <row r="128" spans="1:27" x14ac:dyDescent="0.3">
      <c r="A128">
        <v>42</v>
      </c>
      <c r="B128">
        <v>0</v>
      </c>
      <c r="C128">
        <v>0</v>
      </c>
      <c r="D128" t="s">
        <v>18</v>
      </c>
      <c r="F128" s="99">
        <v>5.75</v>
      </c>
      <c r="G128" s="45">
        <v>-0.26590107745075803</v>
      </c>
      <c r="H128" s="45">
        <v>-0.34359197055144503</v>
      </c>
      <c r="I128" s="161">
        <v>0.43446383648918302</v>
      </c>
      <c r="J128" s="44">
        <v>3.5623699999999999E-8</v>
      </c>
      <c r="K128" s="44">
        <v>6.8426349999999995E-10</v>
      </c>
      <c r="L128">
        <v>1</v>
      </c>
      <c r="M128" s="44">
        <v>-0.399818391919529</v>
      </c>
      <c r="N128" s="44">
        <v>-0.17112629521404599</v>
      </c>
      <c r="O128">
        <v>15000</v>
      </c>
      <c r="P128">
        <v>16</v>
      </c>
      <c r="Q128">
        <v>1</v>
      </c>
      <c r="R128">
        <v>1</v>
      </c>
      <c r="S128">
        <v>1</v>
      </c>
      <c r="T128">
        <v>1E-4</v>
      </c>
      <c r="U128">
        <v>16</v>
      </c>
      <c r="V128">
        <v>0</v>
      </c>
      <c r="W128">
        <v>5.75</v>
      </c>
      <c r="X128" t="s">
        <v>444</v>
      </c>
      <c r="Y128">
        <v>281.60000000000002</v>
      </c>
      <c r="Z128" t="s">
        <v>613</v>
      </c>
      <c r="AA128" t="s">
        <v>26</v>
      </c>
    </row>
    <row r="129" spans="1:27" hidden="1" x14ac:dyDescent="0.3">
      <c r="A129">
        <v>45</v>
      </c>
      <c r="B129">
        <v>0</v>
      </c>
      <c r="C129">
        <v>0</v>
      </c>
      <c r="D129" t="s">
        <v>18</v>
      </c>
      <c r="F129" s="99">
        <v>5.75</v>
      </c>
      <c r="G129" s="45">
        <v>-0.26598722460734098</v>
      </c>
      <c r="H129" s="45">
        <v>-0.34359269029226402</v>
      </c>
      <c r="I129" s="161">
        <v>0.43451713484808901</v>
      </c>
      <c r="J129" s="44">
        <v>1.0188640000000001E-8</v>
      </c>
      <c r="K129" s="44">
        <v>4.4638549999999997E-11</v>
      </c>
      <c r="L129">
        <v>1</v>
      </c>
      <c r="M129" s="44">
        <v>-0.399818391919529</v>
      </c>
      <c r="N129" s="44">
        <v>-0.17112629521404599</v>
      </c>
      <c r="O129">
        <v>15000</v>
      </c>
      <c r="P129">
        <v>16</v>
      </c>
      <c r="Q129">
        <v>1</v>
      </c>
      <c r="R129">
        <v>1</v>
      </c>
      <c r="S129">
        <v>1</v>
      </c>
      <c r="T129">
        <v>1E-4</v>
      </c>
      <c r="U129">
        <v>16</v>
      </c>
      <c r="V129">
        <v>0</v>
      </c>
      <c r="W129">
        <v>5.75</v>
      </c>
      <c r="X129" t="s">
        <v>444</v>
      </c>
      <c r="Y129">
        <v>280.8</v>
      </c>
      <c r="Z129" t="s">
        <v>614</v>
      </c>
      <c r="AA129" t="s">
        <v>26</v>
      </c>
    </row>
    <row r="130" spans="1:27" x14ac:dyDescent="0.3">
      <c r="A130">
        <v>42</v>
      </c>
      <c r="B130">
        <v>0</v>
      </c>
      <c r="C130">
        <v>0</v>
      </c>
      <c r="D130" t="s">
        <v>18</v>
      </c>
      <c r="F130" s="99">
        <v>6</v>
      </c>
      <c r="G130" s="45">
        <v>0.13860586678519499</v>
      </c>
      <c r="H130" s="45">
        <v>-0.410886403217256</v>
      </c>
      <c r="I130" s="45">
        <v>0.43363489557009699</v>
      </c>
      <c r="J130" s="44">
        <v>2.8713829999999999E-7</v>
      </c>
      <c r="K130" s="44">
        <v>5.0906289999999999E-8</v>
      </c>
      <c r="L130">
        <v>1</v>
      </c>
      <c r="M130" s="44">
        <v>-9.6310638158220802E-2</v>
      </c>
      <c r="N130" s="44">
        <v>-0.42410283706709601</v>
      </c>
      <c r="O130">
        <v>15000</v>
      </c>
      <c r="P130">
        <v>16</v>
      </c>
      <c r="Q130">
        <v>1</v>
      </c>
      <c r="R130">
        <v>1</v>
      </c>
      <c r="S130">
        <v>1</v>
      </c>
      <c r="T130">
        <v>1E-4</v>
      </c>
      <c r="U130">
        <v>16</v>
      </c>
      <c r="V130">
        <v>0</v>
      </c>
      <c r="W130">
        <v>6</v>
      </c>
      <c r="X130" t="s">
        <v>444</v>
      </c>
      <c r="Y130">
        <v>283.2</v>
      </c>
      <c r="Z130" t="s">
        <v>615</v>
      </c>
      <c r="AA130" t="s">
        <v>26</v>
      </c>
    </row>
    <row r="131" spans="1:27" hidden="1" x14ac:dyDescent="0.3">
      <c r="A131">
        <v>45</v>
      </c>
      <c r="B131">
        <v>0</v>
      </c>
      <c r="C131">
        <v>0</v>
      </c>
      <c r="D131" t="s">
        <v>18</v>
      </c>
      <c r="F131" s="99">
        <v>6</v>
      </c>
      <c r="G131" s="45">
        <v>0.14055049994502899</v>
      </c>
      <c r="H131" s="45">
        <v>-0.41113549323702803</v>
      </c>
      <c r="I131" s="45">
        <v>0.43449607228840698</v>
      </c>
      <c r="J131" s="44">
        <v>9.3458549999999999E-9</v>
      </c>
      <c r="K131" s="44">
        <v>3.8627530000000002E-11</v>
      </c>
      <c r="L131">
        <v>1</v>
      </c>
      <c r="M131" s="44">
        <v>-9.6310638158220802E-2</v>
      </c>
      <c r="N131" s="44">
        <v>-0.42410283706709601</v>
      </c>
      <c r="O131">
        <v>15000</v>
      </c>
      <c r="P131">
        <v>16</v>
      </c>
      <c r="Q131">
        <v>1</v>
      </c>
      <c r="R131">
        <v>1</v>
      </c>
      <c r="S131">
        <v>1</v>
      </c>
      <c r="T131">
        <v>1E-4</v>
      </c>
      <c r="U131">
        <v>16</v>
      </c>
      <c r="V131">
        <v>0</v>
      </c>
      <c r="W131">
        <v>6</v>
      </c>
      <c r="X131" t="s">
        <v>444</v>
      </c>
      <c r="Y131">
        <v>276.2</v>
      </c>
      <c r="Z131" t="s">
        <v>616</v>
      </c>
      <c r="AA131" t="s">
        <v>26</v>
      </c>
    </row>
    <row r="132" spans="1:27" x14ac:dyDescent="0.3">
      <c r="A132">
        <v>42</v>
      </c>
      <c r="B132">
        <v>0</v>
      </c>
      <c r="C132">
        <v>0</v>
      </c>
      <c r="D132" t="s">
        <v>18</v>
      </c>
      <c r="F132">
        <v>6.25</v>
      </c>
      <c r="G132" s="44">
        <v>-0.73262911440558298</v>
      </c>
      <c r="H132" s="44">
        <v>0.173483172661065</v>
      </c>
      <c r="I132" s="161">
        <v>0.75288898947405103</v>
      </c>
      <c r="J132" s="44">
        <v>2.889724E-4</v>
      </c>
      <c r="K132" s="44">
        <v>1.4943130000000001E-2</v>
      </c>
      <c r="L132">
        <v>0.98572300000000002</v>
      </c>
      <c r="M132" s="44">
        <v>0.29958083084489201</v>
      </c>
      <c r="N132" s="44">
        <v>-0.31526224198449099</v>
      </c>
      <c r="O132">
        <v>15000</v>
      </c>
      <c r="P132">
        <v>16</v>
      </c>
      <c r="Q132">
        <v>1</v>
      </c>
      <c r="R132">
        <v>1</v>
      </c>
      <c r="S132">
        <v>1</v>
      </c>
      <c r="T132">
        <v>1E-4</v>
      </c>
      <c r="U132">
        <v>16</v>
      </c>
      <c r="V132">
        <v>0</v>
      </c>
      <c r="W132">
        <v>6.25</v>
      </c>
      <c r="X132" t="s">
        <v>444</v>
      </c>
      <c r="Y132">
        <v>276.8</v>
      </c>
      <c r="Z132" t="s">
        <v>617</v>
      </c>
      <c r="AA132" t="s">
        <v>26</v>
      </c>
    </row>
    <row r="133" spans="1:27" hidden="1" x14ac:dyDescent="0.3">
      <c r="A133">
        <v>45</v>
      </c>
      <c r="B133">
        <v>0</v>
      </c>
      <c r="C133">
        <v>0</v>
      </c>
      <c r="D133" t="s">
        <v>18</v>
      </c>
      <c r="F133">
        <v>6.25</v>
      </c>
      <c r="G133" s="44">
        <v>0.424819342268974</v>
      </c>
      <c r="H133" s="44">
        <v>-9.1066133513049E-2</v>
      </c>
      <c r="I133" s="161">
        <v>0.43447038361534002</v>
      </c>
      <c r="J133" s="44">
        <v>7.6705989999999992E-9</v>
      </c>
      <c r="K133" s="44">
        <v>2.9780510000000003E-11</v>
      </c>
      <c r="L133">
        <v>1</v>
      </c>
      <c r="M133" s="44">
        <v>0.29958083084489201</v>
      </c>
      <c r="N133" s="44">
        <v>-0.31526224198449099</v>
      </c>
      <c r="O133">
        <v>15000</v>
      </c>
      <c r="P133">
        <v>16</v>
      </c>
      <c r="Q133">
        <v>1</v>
      </c>
      <c r="R133">
        <v>1</v>
      </c>
      <c r="S133">
        <v>1</v>
      </c>
      <c r="T133">
        <v>1E-4</v>
      </c>
      <c r="U133">
        <v>16</v>
      </c>
      <c r="V133">
        <v>0</v>
      </c>
      <c r="W133">
        <v>6.25</v>
      </c>
      <c r="X133" t="s">
        <v>444</v>
      </c>
      <c r="Y133">
        <v>280.89999999999998</v>
      </c>
      <c r="Z133" t="s">
        <v>618</v>
      </c>
      <c r="AA133" t="s">
        <v>26</v>
      </c>
    </row>
    <row r="134" spans="1:27" x14ac:dyDescent="0.3">
      <c r="A134">
        <v>42</v>
      </c>
      <c r="B134">
        <v>0</v>
      </c>
      <c r="C134">
        <v>0</v>
      </c>
      <c r="D134" t="s">
        <v>18</v>
      </c>
      <c r="F134">
        <v>6.5</v>
      </c>
      <c r="G134" s="44">
        <v>3.02733488204069</v>
      </c>
      <c r="H134" s="44">
        <v>-7.50878903085278</v>
      </c>
      <c r="I134" s="161">
        <v>8.0960897473950499</v>
      </c>
      <c r="J134" s="44">
        <v>8.5547709999999992E-3</v>
      </c>
      <c r="K134" s="44">
        <v>0.1160505</v>
      </c>
      <c r="L134">
        <v>0.89964900000000003</v>
      </c>
      <c r="M134" s="44">
        <v>0.42512444070403799</v>
      </c>
      <c r="N134" s="44">
        <v>9.1696048698305305E-2</v>
      </c>
      <c r="O134">
        <v>15000</v>
      </c>
      <c r="P134">
        <v>16</v>
      </c>
      <c r="Q134">
        <v>1</v>
      </c>
      <c r="R134">
        <v>1</v>
      </c>
      <c r="S134">
        <v>1</v>
      </c>
      <c r="T134">
        <v>1E-4</v>
      </c>
      <c r="U134">
        <v>16</v>
      </c>
      <c r="V134">
        <v>0</v>
      </c>
      <c r="W134">
        <v>6.5</v>
      </c>
      <c r="X134" t="s">
        <v>444</v>
      </c>
      <c r="Y134">
        <v>286.39999999999998</v>
      </c>
      <c r="Z134" t="s">
        <v>619</v>
      </c>
      <c r="AA134" t="s">
        <v>26</v>
      </c>
    </row>
    <row r="135" spans="1:27" hidden="1" x14ac:dyDescent="0.3">
      <c r="A135">
        <v>45</v>
      </c>
      <c r="B135">
        <v>0</v>
      </c>
      <c r="C135">
        <v>0</v>
      </c>
      <c r="D135" t="s">
        <v>18</v>
      </c>
      <c r="F135">
        <v>6.5</v>
      </c>
      <c r="G135" s="44">
        <v>0.28308595000369602</v>
      </c>
      <c r="H135" s="44">
        <v>0.32955624358177199</v>
      </c>
      <c r="I135" s="161">
        <v>0.43444789419816898</v>
      </c>
      <c r="J135" s="44">
        <v>8.8998390000000002E-9</v>
      </c>
      <c r="K135" s="44">
        <v>4.1831429999999998E-11</v>
      </c>
      <c r="L135">
        <v>1</v>
      </c>
      <c r="M135" s="44">
        <v>0.42512444070403799</v>
      </c>
      <c r="N135" s="44">
        <v>9.1696048698305305E-2</v>
      </c>
      <c r="O135">
        <v>15000</v>
      </c>
      <c r="P135">
        <v>16</v>
      </c>
      <c r="Q135">
        <v>1</v>
      </c>
      <c r="R135">
        <v>1</v>
      </c>
      <c r="S135">
        <v>1</v>
      </c>
      <c r="T135">
        <v>1E-4</v>
      </c>
      <c r="U135">
        <v>16</v>
      </c>
      <c r="V135">
        <v>0</v>
      </c>
      <c r="W135">
        <v>6.5</v>
      </c>
      <c r="X135" t="s">
        <v>444</v>
      </c>
      <c r="Y135">
        <v>276</v>
      </c>
      <c r="Z135" t="s">
        <v>620</v>
      </c>
      <c r="AA135" t="s">
        <v>26</v>
      </c>
    </row>
    <row r="136" spans="1:27" x14ac:dyDescent="0.3">
      <c r="A136">
        <v>42</v>
      </c>
      <c r="B136">
        <v>0</v>
      </c>
      <c r="C136">
        <v>0</v>
      </c>
      <c r="D136" t="s">
        <v>18</v>
      </c>
      <c r="F136">
        <v>6.75</v>
      </c>
      <c r="G136" s="44">
        <v>-0.15840383824003501</v>
      </c>
      <c r="H136" s="44">
        <v>0.40203753900523997</v>
      </c>
      <c r="I136" s="161">
        <v>0.43211799168579501</v>
      </c>
      <c r="J136" s="44">
        <v>2.6156910000000002E-6</v>
      </c>
      <c r="K136" s="44">
        <v>4.0043230000000004E-6</v>
      </c>
      <c r="L136">
        <v>0.999996</v>
      </c>
      <c r="M136" s="44">
        <v>0.12639842613082</v>
      </c>
      <c r="N136" s="44">
        <v>0.41612785691714399</v>
      </c>
      <c r="O136">
        <v>15000</v>
      </c>
      <c r="P136">
        <v>16</v>
      </c>
      <c r="Q136">
        <v>1</v>
      </c>
      <c r="R136">
        <v>1</v>
      </c>
      <c r="S136">
        <v>1</v>
      </c>
      <c r="T136">
        <v>1E-4</v>
      </c>
      <c r="U136">
        <v>16</v>
      </c>
      <c r="V136">
        <v>0</v>
      </c>
      <c r="W136">
        <v>6.75</v>
      </c>
      <c r="X136" t="s">
        <v>444</v>
      </c>
      <c r="Y136">
        <v>278.3</v>
      </c>
      <c r="Z136" t="s">
        <v>621</v>
      </c>
      <c r="AA136" t="s">
        <v>26</v>
      </c>
    </row>
    <row r="137" spans="1:27" hidden="1" x14ac:dyDescent="0.3">
      <c r="A137">
        <v>45</v>
      </c>
      <c r="B137">
        <v>0</v>
      </c>
      <c r="C137">
        <v>0</v>
      </c>
      <c r="D137" t="s">
        <v>18</v>
      </c>
      <c r="F137">
        <v>6.75</v>
      </c>
      <c r="G137" s="44">
        <v>-0.17102377083442499</v>
      </c>
      <c r="H137" s="44">
        <v>0.39934101003850903</v>
      </c>
      <c r="I137" s="161">
        <v>0.43442188306875401</v>
      </c>
      <c r="J137" s="44">
        <v>9.6716990000000005E-9</v>
      </c>
      <c r="K137" s="44">
        <v>5.1253379999999997E-11</v>
      </c>
      <c r="L137">
        <v>1</v>
      </c>
      <c r="M137" s="44">
        <v>0.12639842613082</v>
      </c>
      <c r="N137" s="44">
        <v>0.41612785691714399</v>
      </c>
      <c r="O137">
        <v>15000</v>
      </c>
      <c r="P137">
        <v>16</v>
      </c>
      <c r="Q137">
        <v>1</v>
      </c>
      <c r="R137">
        <v>1</v>
      </c>
      <c r="S137">
        <v>1</v>
      </c>
      <c r="T137">
        <v>1E-4</v>
      </c>
      <c r="U137">
        <v>16</v>
      </c>
      <c r="V137">
        <v>0</v>
      </c>
      <c r="W137">
        <v>6.75</v>
      </c>
      <c r="X137" t="s">
        <v>444</v>
      </c>
      <c r="Y137">
        <v>280.8</v>
      </c>
      <c r="Z137" t="s">
        <v>622</v>
      </c>
      <c r="AA137" t="s">
        <v>26</v>
      </c>
    </row>
    <row r="138" spans="1:27" x14ac:dyDescent="0.3">
      <c r="A138">
        <v>42</v>
      </c>
      <c r="B138">
        <v>0</v>
      </c>
      <c r="C138">
        <v>0</v>
      </c>
      <c r="D138" t="s">
        <v>18</v>
      </c>
      <c r="F138">
        <v>7</v>
      </c>
      <c r="G138" s="44">
        <v>-0.61713931273678901</v>
      </c>
      <c r="H138" s="44">
        <v>-1.8734090763207101</v>
      </c>
      <c r="I138" s="161">
        <v>1.9724407465285401</v>
      </c>
      <c r="J138" s="44">
        <v>4.269939E-4</v>
      </c>
      <c r="K138" s="44">
        <v>4.51396E-3</v>
      </c>
      <c r="L138">
        <v>0.99527600000000005</v>
      </c>
      <c r="M138" s="44">
        <v>-0.31460438747207398</v>
      </c>
      <c r="N138" s="44">
        <v>0.30027160174436202</v>
      </c>
      <c r="O138">
        <v>15000</v>
      </c>
      <c r="P138">
        <v>16</v>
      </c>
      <c r="Q138">
        <v>1</v>
      </c>
      <c r="R138">
        <v>1</v>
      </c>
      <c r="S138">
        <v>1</v>
      </c>
      <c r="T138">
        <v>1E-4</v>
      </c>
      <c r="U138">
        <v>16</v>
      </c>
      <c r="V138">
        <v>0</v>
      </c>
      <c r="W138">
        <v>7</v>
      </c>
      <c r="X138" t="s">
        <v>444</v>
      </c>
      <c r="Y138">
        <v>280.8</v>
      </c>
      <c r="Z138" t="s">
        <v>623</v>
      </c>
      <c r="AA138" t="s">
        <v>26</v>
      </c>
    </row>
    <row r="139" spans="1:27" hidden="1" x14ac:dyDescent="0.3">
      <c r="A139">
        <v>45</v>
      </c>
      <c r="B139">
        <v>0</v>
      </c>
      <c r="C139">
        <v>0</v>
      </c>
      <c r="D139" t="s">
        <v>18</v>
      </c>
      <c r="F139">
        <v>7</v>
      </c>
      <c r="G139" s="44">
        <v>-0.43437439767071001</v>
      </c>
      <c r="H139" s="44">
        <v>4.2526952826861704E-3</v>
      </c>
      <c r="I139" s="161">
        <v>0.43439521494712602</v>
      </c>
      <c r="J139" s="44">
        <v>8.6797760000000004E-9</v>
      </c>
      <c r="K139" s="44">
        <v>5.1076099999999997E-11</v>
      </c>
      <c r="L139">
        <v>1</v>
      </c>
      <c r="M139" s="44">
        <v>-0.31460438747207398</v>
      </c>
      <c r="N139" s="44">
        <v>0.30027160174436202</v>
      </c>
      <c r="O139">
        <v>15000</v>
      </c>
      <c r="P139">
        <v>16</v>
      </c>
      <c r="Q139">
        <v>1</v>
      </c>
      <c r="R139">
        <v>1</v>
      </c>
      <c r="S139">
        <v>1</v>
      </c>
      <c r="T139">
        <v>1E-4</v>
      </c>
      <c r="U139">
        <v>16</v>
      </c>
      <c r="V139">
        <v>0</v>
      </c>
      <c r="W139">
        <v>7</v>
      </c>
      <c r="X139" t="s">
        <v>444</v>
      </c>
      <c r="Y139">
        <v>544.5</v>
      </c>
      <c r="Z139" t="s">
        <v>624</v>
      </c>
      <c r="AA139" t="s">
        <v>26</v>
      </c>
    </row>
  </sheetData>
  <autoFilter ref="A1:AA139" xr:uid="{DE25BDE2-F7B8-4651-A878-C10D6FBFB11A}">
    <filterColumn colId="0">
      <filters>
        <filter val="42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4168B-3A3E-4421-A390-C2E0ACEEE19B}">
  <dimension ref="A1:AD30"/>
  <sheetViews>
    <sheetView zoomScale="115" zoomScaleNormal="115" workbookViewId="0">
      <selection activeCell="D34" sqref="D34"/>
    </sheetView>
  </sheetViews>
  <sheetFormatPr defaultRowHeight="14.4" x14ac:dyDescent="0.3"/>
  <cols>
    <col min="1" max="1" width="33" bestFit="1" customWidth="1"/>
    <col min="10" max="11" width="23.88671875" customWidth="1"/>
    <col min="12" max="12" width="12" bestFit="1" customWidth="1"/>
  </cols>
  <sheetData>
    <row r="1" spans="1:30" x14ac:dyDescent="0.3">
      <c r="A1" s="136" t="s">
        <v>471</v>
      </c>
      <c r="C1" t="s">
        <v>3</v>
      </c>
      <c r="D1" t="s">
        <v>91</v>
      </c>
      <c r="E1" t="s">
        <v>0</v>
      </c>
      <c r="F1" t="s">
        <v>92</v>
      </c>
      <c r="G1" t="s">
        <v>93</v>
      </c>
      <c r="J1" t="s">
        <v>94</v>
      </c>
      <c r="K1" t="s">
        <v>95</v>
      </c>
      <c r="L1" t="s">
        <v>30</v>
      </c>
      <c r="M1" t="s">
        <v>8</v>
      </c>
      <c r="N1" t="s">
        <v>9</v>
      </c>
      <c r="O1" t="s">
        <v>10</v>
      </c>
      <c r="P1" t="s">
        <v>16</v>
      </c>
      <c r="Q1" t="s">
        <v>17</v>
      </c>
      <c r="R1" t="s">
        <v>96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1</v>
      </c>
      <c r="Z1" t="s">
        <v>2</v>
      </c>
      <c r="AA1" t="s">
        <v>440</v>
      </c>
      <c r="AB1" t="s">
        <v>25</v>
      </c>
      <c r="AC1" t="s">
        <v>97</v>
      </c>
      <c r="AD1" t="s">
        <v>472</v>
      </c>
    </row>
    <row r="2" spans="1:30" x14ac:dyDescent="0.3">
      <c r="C2" s="99">
        <v>0</v>
      </c>
      <c r="J2" s="99">
        <v>0.30752200000000002</v>
      </c>
      <c r="K2" s="99">
        <v>-0.30752200000000002</v>
      </c>
      <c r="L2" s="99">
        <v>0.43490099999999998</v>
      </c>
      <c r="W2">
        <v>0.01</v>
      </c>
    </row>
    <row r="3" spans="1:30" x14ac:dyDescent="0.3">
      <c r="C3" s="99">
        <v>0.01</v>
      </c>
      <c r="J3" s="99">
        <v>0.30743199999999998</v>
      </c>
      <c r="K3" s="99">
        <v>-0.30761100000000002</v>
      </c>
      <c r="L3" s="99">
        <v>0.43490099999999998</v>
      </c>
      <c r="W3">
        <v>0.01</v>
      </c>
    </row>
    <row r="4" spans="1:30" x14ac:dyDescent="0.3">
      <c r="C4" s="99">
        <v>0.05</v>
      </c>
      <c r="J4" s="99">
        <v>0.30707400000000001</v>
      </c>
      <c r="K4" s="99">
        <v>-0.30796899999999999</v>
      </c>
      <c r="L4" s="99">
        <v>0.43490200000000001</v>
      </c>
      <c r="W4">
        <v>0.01</v>
      </c>
    </row>
    <row r="5" spans="1:30" x14ac:dyDescent="0.3">
      <c r="C5" s="99">
        <v>0.1</v>
      </c>
      <c r="H5">
        <f>J5-J8</f>
        <v>-1.6671638340389761E-3</v>
      </c>
      <c r="I5">
        <f>J5-J11</f>
        <v>-1.6939693257609911E-3</v>
      </c>
      <c r="J5" s="99">
        <v>0.30662600000000001</v>
      </c>
      <c r="K5" s="99">
        <v>-0.308417</v>
      </c>
      <c r="L5" s="99">
        <v>0.43490299999999998</v>
      </c>
      <c r="W5">
        <v>0.01</v>
      </c>
    </row>
    <row r="6" spans="1:30" x14ac:dyDescent="0.3">
      <c r="C6">
        <v>42</v>
      </c>
      <c r="D6">
        <v>0</v>
      </c>
      <c r="E6">
        <v>0</v>
      </c>
      <c r="F6" t="s">
        <v>18</v>
      </c>
      <c r="J6">
        <v>-0.30748598063757099</v>
      </c>
      <c r="K6">
        <v>0.30737617995910799</v>
      </c>
      <c r="L6">
        <v>0.43477321018538201</v>
      </c>
      <c r="M6">
        <v>2.655079E-9</v>
      </c>
      <c r="N6">
        <v>5.2258449999999999E-12</v>
      </c>
      <c r="O6">
        <v>1</v>
      </c>
      <c r="P6" s="44">
        <v>0.307521507728161</v>
      </c>
      <c r="Q6" s="44">
        <v>-0.307521507728161</v>
      </c>
      <c r="R6">
        <v>15000</v>
      </c>
      <c r="S6">
        <v>16</v>
      </c>
      <c r="T6">
        <v>1</v>
      </c>
      <c r="U6">
        <v>1</v>
      </c>
      <c r="V6">
        <v>1</v>
      </c>
      <c r="W6">
        <v>1E-3</v>
      </c>
      <c r="X6">
        <v>16</v>
      </c>
      <c r="Y6">
        <v>0</v>
      </c>
      <c r="Z6">
        <v>0</v>
      </c>
      <c r="AA6" t="s">
        <v>442</v>
      </c>
      <c r="AB6">
        <v>855.2</v>
      </c>
      <c r="AC6" t="s">
        <v>473</v>
      </c>
      <c r="AD6" t="s">
        <v>26</v>
      </c>
    </row>
    <row r="7" spans="1:30" x14ac:dyDescent="0.3">
      <c r="C7">
        <v>42</v>
      </c>
      <c r="D7">
        <v>1</v>
      </c>
      <c r="E7">
        <v>0.05</v>
      </c>
      <c r="F7" t="s">
        <v>26</v>
      </c>
      <c r="G7">
        <v>0</v>
      </c>
      <c r="J7">
        <v>0.307851935442369</v>
      </c>
      <c r="K7">
        <v>-0.30700699262248798</v>
      </c>
      <c r="L7">
        <v>0.43477132802740898</v>
      </c>
      <c r="M7">
        <v>2.9322329999999999E-6</v>
      </c>
      <c r="N7">
        <v>4.5171889999999996E-6</v>
      </c>
      <c r="O7">
        <v>0.999996</v>
      </c>
      <c r="P7" s="44">
        <v>0.307521507728161</v>
      </c>
      <c r="Q7" s="44">
        <v>-0.307521507728161</v>
      </c>
      <c r="R7">
        <v>12000</v>
      </c>
      <c r="S7">
        <v>16</v>
      </c>
      <c r="T7">
        <v>1</v>
      </c>
      <c r="U7">
        <v>1</v>
      </c>
      <c r="V7">
        <v>1</v>
      </c>
      <c r="W7">
        <v>1E-3</v>
      </c>
      <c r="X7">
        <v>16</v>
      </c>
      <c r="Y7">
        <v>0</v>
      </c>
      <c r="Z7">
        <v>0</v>
      </c>
      <c r="AA7" t="s">
        <v>442</v>
      </c>
      <c r="AB7">
        <v>641.29999999999995</v>
      </c>
      <c r="AC7" t="s">
        <v>474</v>
      </c>
      <c r="AD7" t="s">
        <v>18</v>
      </c>
    </row>
    <row r="8" spans="1:30" x14ac:dyDescent="0.3">
      <c r="C8">
        <v>42</v>
      </c>
      <c r="D8">
        <v>2</v>
      </c>
      <c r="E8">
        <v>0.1</v>
      </c>
      <c r="F8" t="s">
        <v>26</v>
      </c>
      <c r="G8">
        <v>0.05</v>
      </c>
      <c r="J8">
        <v>0.30829316383403899</v>
      </c>
      <c r="K8">
        <v>-0.30655524831102898</v>
      </c>
      <c r="L8">
        <v>0.43476521840395499</v>
      </c>
      <c r="M8">
        <v>5.1969729999999999E-6</v>
      </c>
      <c r="N8">
        <v>1.438913E-5</v>
      </c>
      <c r="O8">
        <v>0.99998900000000002</v>
      </c>
      <c r="P8" s="44">
        <v>0.307521507728161</v>
      </c>
      <c r="Q8" s="44">
        <v>-0.307521507728161</v>
      </c>
      <c r="R8">
        <v>12000</v>
      </c>
      <c r="S8">
        <v>16</v>
      </c>
      <c r="T8">
        <v>1</v>
      </c>
      <c r="U8">
        <v>1</v>
      </c>
      <c r="V8">
        <v>1</v>
      </c>
      <c r="W8">
        <v>1E-3</v>
      </c>
      <c r="X8">
        <v>16</v>
      </c>
      <c r="Y8">
        <v>0</v>
      </c>
      <c r="Z8">
        <v>0</v>
      </c>
      <c r="AA8" t="s">
        <v>442</v>
      </c>
      <c r="AB8">
        <v>866.5</v>
      </c>
      <c r="AC8" t="s">
        <v>475</v>
      </c>
      <c r="AD8" t="s">
        <v>18</v>
      </c>
    </row>
    <row r="9" spans="1:30" x14ac:dyDescent="0.3">
      <c r="C9">
        <v>42</v>
      </c>
      <c r="D9">
        <v>0</v>
      </c>
      <c r="E9">
        <v>0</v>
      </c>
      <c r="F9" t="s">
        <v>18</v>
      </c>
      <c r="J9">
        <v>0.30756701040259299</v>
      </c>
      <c r="K9">
        <v>-0.30728457015653099</v>
      </c>
      <c r="L9">
        <v>0.43476576790758598</v>
      </c>
      <c r="M9">
        <v>2.7315200000000001E-9</v>
      </c>
      <c r="N9">
        <v>4.8092550000000004E-12</v>
      </c>
      <c r="O9">
        <v>1</v>
      </c>
      <c r="P9" s="44">
        <v>0.307521507728161</v>
      </c>
      <c r="Q9" s="44">
        <v>-0.307521507728161</v>
      </c>
      <c r="R9">
        <v>15000</v>
      </c>
      <c r="S9">
        <v>16</v>
      </c>
      <c r="T9">
        <v>1</v>
      </c>
      <c r="U9">
        <v>1</v>
      </c>
      <c r="V9">
        <v>1</v>
      </c>
      <c r="W9">
        <v>1E-4</v>
      </c>
      <c r="X9">
        <v>16</v>
      </c>
      <c r="Y9">
        <v>0</v>
      </c>
      <c r="Z9">
        <v>0</v>
      </c>
      <c r="AA9" t="s">
        <v>442</v>
      </c>
      <c r="AB9">
        <v>948.1</v>
      </c>
      <c r="AC9" t="s">
        <v>476</v>
      </c>
      <c r="AD9" t="s">
        <v>26</v>
      </c>
    </row>
    <row r="10" spans="1:30" x14ac:dyDescent="0.3">
      <c r="C10">
        <v>42</v>
      </c>
      <c r="D10">
        <v>1</v>
      </c>
      <c r="E10">
        <v>0.05</v>
      </c>
      <c r="F10" t="s">
        <v>26</v>
      </c>
      <c r="G10">
        <v>0</v>
      </c>
      <c r="J10">
        <v>0.307877351698367</v>
      </c>
      <c r="K10">
        <v>-0.30698052094913503</v>
      </c>
      <c r="L10">
        <v>0.434770633703568</v>
      </c>
      <c r="M10">
        <v>2.9557130000000001E-6</v>
      </c>
      <c r="N10">
        <v>4.576825E-6</v>
      </c>
      <c r="O10">
        <v>0.999996</v>
      </c>
      <c r="P10" s="44">
        <v>0.307521507728161</v>
      </c>
      <c r="Q10" s="44">
        <v>-0.307521507728161</v>
      </c>
      <c r="R10">
        <v>12000</v>
      </c>
      <c r="S10">
        <v>16</v>
      </c>
      <c r="T10">
        <v>1</v>
      </c>
      <c r="U10">
        <v>1</v>
      </c>
      <c r="V10">
        <v>1</v>
      </c>
      <c r="W10">
        <v>1E-4</v>
      </c>
      <c r="X10">
        <v>16</v>
      </c>
      <c r="Y10">
        <v>0</v>
      </c>
      <c r="Z10">
        <v>0</v>
      </c>
      <c r="AA10" t="s">
        <v>442</v>
      </c>
      <c r="AB10">
        <v>485</v>
      </c>
      <c r="AC10" t="s">
        <v>477</v>
      </c>
      <c r="AD10" t="s">
        <v>18</v>
      </c>
    </row>
    <row r="11" spans="1:30" x14ac:dyDescent="0.3">
      <c r="C11">
        <v>42</v>
      </c>
      <c r="D11">
        <v>2</v>
      </c>
      <c r="E11">
        <v>0.1</v>
      </c>
      <c r="F11" t="s">
        <v>26</v>
      </c>
      <c r="G11">
        <v>0.05</v>
      </c>
      <c r="J11">
        <v>0.308319969325761</v>
      </c>
      <c r="K11">
        <v>-0.30652813642005799</v>
      </c>
      <c r="L11">
        <v>0.43476511118326</v>
      </c>
      <c r="M11">
        <v>5.3291109999999996E-6</v>
      </c>
      <c r="N11">
        <v>1.5060620000000001E-5</v>
      </c>
      <c r="O11">
        <v>0.99998799999999999</v>
      </c>
      <c r="P11" s="44">
        <v>0.307521507728161</v>
      </c>
      <c r="Q11" s="44">
        <v>-0.307521507728161</v>
      </c>
      <c r="R11">
        <v>12000</v>
      </c>
      <c r="S11">
        <v>16</v>
      </c>
      <c r="T11">
        <v>1</v>
      </c>
      <c r="U11">
        <v>1</v>
      </c>
      <c r="V11">
        <v>1</v>
      </c>
      <c r="W11">
        <v>1E-4</v>
      </c>
      <c r="X11">
        <v>16</v>
      </c>
      <c r="Y11">
        <v>0</v>
      </c>
      <c r="Z11">
        <v>0</v>
      </c>
      <c r="AA11" t="s">
        <v>442</v>
      </c>
      <c r="AB11">
        <v>494</v>
      </c>
      <c r="AC11" t="s">
        <v>478</v>
      </c>
      <c r="AD11" t="s">
        <v>18</v>
      </c>
    </row>
    <row r="14" spans="1:30" x14ac:dyDescent="0.3">
      <c r="J14" s="99" t="s">
        <v>182</v>
      </c>
      <c r="K14" s="99" t="s">
        <v>228</v>
      </c>
      <c r="L14" s="99"/>
      <c r="M14" s="2"/>
      <c r="N14" s="2" t="s">
        <v>225</v>
      </c>
      <c r="O14" s="2"/>
    </row>
    <row r="15" spans="1:30" x14ac:dyDescent="0.3">
      <c r="C15" s="99">
        <v>0.1</v>
      </c>
      <c r="J15" s="99">
        <v>0.30662600000000001</v>
      </c>
      <c r="K15" s="99">
        <v>-0.308417</v>
      </c>
      <c r="L15" s="99">
        <v>0.43490299999999998</v>
      </c>
      <c r="M15" s="2">
        <v>0.30840937297542298</v>
      </c>
      <c r="N15" s="2">
        <v>-0.30661861218723202</v>
      </c>
    </row>
    <row r="16" spans="1:30" x14ac:dyDescent="0.3">
      <c r="F16" s="13"/>
      <c r="G16" s="13"/>
      <c r="H16" s="13"/>
      <c r="I16" s="13"/>
      <c r="J16" s="13"/>
      <c r="K16" s="13"/>
      <c r="L16" s="13"/>
      <c r="M16" s="13"/>
    </row>
    <row r="17" spans="6:13" x14ac:dyDescent="0.3">
      <c r="F17" s="13"/>
      <c r="G17" s="13"/>
      <c r="H17" s="13"/>
      <c r="I17" s="13"/>
      <c r="J17" s="137"/>
      <c r="K17" s="137"/>
      <c r="L17" s="137"/>
      <c r="M17" s="137"/>
    </row>
    <row r="18" spans="6:13" x14ac:dyDescent="0.3">
      <c r="F18" s="13"/>
      <c r="G18" s="13"/>
      <c r="H18" s="138" t="s">
        <v>479</v>
      </c>
      <c r="I18" s="139" t="s">
        <v>480</v>
      </c>
      <c r="J18" s="140" t="s">
        <v>62</v>
      </c>
      <c r="K18" s="140" t="s">
        <v>481</v>
      </c>
      <c r="L18" s="140" t="s">
        <v>482</v>
      </c>
      <c r="M18" s="137"/>
    </row>
    <row r="19" spans="6:13" x14ac:dyDescent="0.3">
      <c r="F19" s="13"/>
      <c r="G19" s="13"/>
      <c r="H19" s="138">
        <v>0.01</v>
      </c>
      <c r="I19" s="139">
        <v>0.1</v>
      </c>
      <c r="J19" s="141">
        <v>0.30662600000000001</v>
      </c>
      <c r="K19" s="142">
        <v>0.30840937297542298</v>
      </c>
      <c r="L19" s="141">
        <f>J19-$K$19</f>
        <v>-1.7833729754229699E-3</v>
      </c>
      <c r="M19" s="13"/>
    </row>
    <row r="20" spans="6:13" x14ac:dyDescent="0.3">
      <c r="F20" s="13"/>
      <c r="G20" s="13"/>
      <c r="H20" s="138">
        <v>1E-3</v>
      </c>
      <c r="I20" s="139">
        <v>0.1</v>
      </c>
      <c r="J20" s="141">
        <v>0.30829316383403899</v>
      </c>
      <c r="K20" s="142">
        <v>0.30840937297542298</v>
      </c>
      <c r="L20" s="141">
        <f>J20-$K$19</f>
        <v>-1.1620914138399385E-4</v>
      </c>
      <c r="M20" s="13"/>
    </row>
    <row r="21" spans="6:13" x14ac:dyDescent="0.3">
      <c r="F21" s="13"/>
      <c r="G21" s="13"/>
      <c r="H21" s="138">
        <v>1E-4</v>
      </c>
      <c r="I21" s="139">
        <v>0.1</v>
      </c>
      <c r="J21" s="141">
        <v>0.308319969325761</v>
      </c>
      <c r="K21" s="142">
        <v>0.30840937297542298</v>
      </c>
      <c r="L21" s="141">
        <f>J21-$K$19</f>
        <v>-8.9403649661978779E-5</v>
      </c>
      <c r="M21" s="13"/>
    </row>
    <row r="22" spans="6:13" x14ac:dyDescent="0.3">
      <c r="F22" s="13"/>
      <c r="G22" s="13"/>
      <c r="H22" s="13"/>
      <c r="I22" s="13"/>
      <c r="J22" s="137"/>
      <c r="K22" s="137"/>
      <c r="L22" s="137"/>
      <c r="M22" s="137"/>
    </row>
    <row r="23" spans="6:13" x14ac:dyDescent="0.3">
      <c r="F23" s="13"/>
      <c r="G23" s="13"/>
      <c r="H23" s="13"/>
      <c r="I23" s="13"/>
      <c r="J23" s="137"/>
      <c r="K23" s="137"/>
      <c r="L23" s="137"/>
      <c r="M23" s="137"/>
    </row>
    <row r="24" spans="6:13" x14ac:dyDescent="0.3">
      <c r="F24" s="13"/>
      <c r="G24" s="13"/>
      <c r="H24" s="13"/>
      <c r="I24" s="13"/>
      <c r="J24" s="137"/>
      <c r="K24" s="137"/>
      <c r="L24" s="137"/>
      <c r="M24" s="137"/>
    </row>
    <row r="25" spans="6:13" x14ac:dyDescent="0.3">
      <c r="J25" s="143"/>
      <c r="K25" s="143"/>
      <c r="L25" s="143"/>
      <c r="M25" s="143"/>
    </row>
    <row r="26" spans="6:13" x14ac:dyDescent="0.3">
      <c r="J26" s="143"/>
      <c r="K26" s="143"/>
      <c r="L26" s="143"/>
      <c r="M26" s="143"/>
    </row>
    <row r="27" spans="6:13" x14ac:dyDescent="0.3">
      <c r="J27" s="143"/>
      <c r="K27" s="143"/>
      <c r="L27" s="143"/>
      <c r="M27" s="143"/>
    </row>
    <row r="28" spans="6:13" x14ac:dyDescent="0.3">
      <c r="J28" s="143"/>
      <c r="K28" s="143"/>
      <c r="L28" s="143"/>
      <c r="M28" s="143"/>
    </row>
    <row r="29" spans="6:13" x14ac:dyDescent="0.3">
      <c r="J29" s="143"/>
      <c r="K29" s="143"/>
      <c r="L29" s="143"/>
      <c r="M29" s="143"/>
    </row>
    <row r="30" spans="6:13" x14ac:dyDescent="0.3">
      <c r="J30" s="143"/>
      <c r="K30" s="143"/>
      <c r="L30" s="143"/>
      <c r="M30" s="143"/>
    </row>
  </sheetData>
  <hyperlinks>
    <hyperlink ref="J14" r:id="rId1" xr:uid="{373E8A0E-C790-40EC-8DF3-94D03626479D}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9D1A-F3A9-4EFE-B344-4C78B751D224}">
  <dimension ref="A1:BK42"/>
  <sheetViews>
    <sheetView tabSelected="1" topLeftCell="C1" zoomScaleNormal="100" workbookViewId="0">
      <selection activeCell="O8" sqref="O8"/>
    </sheetView>
  </sheetViews>
  <sheetFormatPr defaultRowHeight="14.4" x14ac:dyDescent="0.3"/>
  <cols>
    <col min="6" max="6" width="10.6640625" customWidth="1"/>
    <col min="9" max="9" width="9.6640625" customWidth="1"/>
    <col min="10" max="10" width="9.88671875" customWidth="1"/>
    <col min="15" max="15" width="10.5546875" customWidth="1"/>
    <col min="23" max="23" width="9.21875" bestFit="1" customWidth="1"/>
  </cols>
  <sheetData>
    <row r="1" spans="1:63" ht="36" x14ac:dyDescent="0.3">
      <c r="C1" s="131" t="s">
        <v>465</v>
      </c>
      <c r="D1" s="147" t="s">
        <v>466</v>
      </c>
      <c r="E1" s="131"/>
      <c r="F1" s="131" t="s">
        <v>626</v>
      </c>
      <c r="G1" s="131"/>
      <c r="H1" s="144"/>
      <c r="I1" s="131" t="s">
        <v>625</v>
      </c>
      <c r="J1" s="131" t="s">
        <v>94</v>
      </c>
      <c r="K1" s="131" t="s">
        <v>95</v>
      </c>
      <c r="L1" s="164"/>
      <c r="M1" s="164"/>
      <c r="N1" s="158"/>
      <c r="O1" s="159" t="s">
        <v>486</v>
      </c>
      <c r="P1" s="158"/>
      <c r="Q1" s="158"/>
      <c r="R1" s="158"/>
      <c r="S1" s="131"/>
      <c r="T1" s="131" t="s">
        <v>483</v>
      </c>
      <c r="U1" s="131" t="s">
        <v>484</v>
      </c>
      <c r="V1" s="131" t="s">
        <v>485</v>
      </c>
      <c r="X1" t="s">
        <v>469</v>
      </c>
      <c r="Y1" s="135" t="s">
        <v>470</v>
      </c>
      <c r="AC1" t="s">
        <v>2</v>
      </c>
      <c r="AD1" t="s">
        <v>436</v>
      </c>
      <c r="AE1" t="s">
        <v>437</v>
      </c>
      <c r="AF1" t="s">
        <v>438</v>
      </c>
      <c r="AG1" t="s">
        <v>0</v>
      </c>
      <c r="AH1" t="s">
        <v>2</v>
      </c>
      <c r="AI1" t="s">
        <v>3</v>
      </c>
      <c r="AJ1" t="s">
        <v>91</v>
      </c>
      <c r="AK1" t="s">
        <v>0</v>
      </c>
      <c r="AL1" t="s">
        <v>92</v>
      </c>
      <c r="AM1" t="s">
        <v>93</v>
      </c>
      <c r="AN1" s="9"/>
      <c r="AO1" s="9"/>
      <c r="AP1" s="9"/>
      <c r="AQ1" t="s">
        <v>439</v>
      </c>
      <c r="AR1" t="s">
        <v>94</v>
      </c>
      <c r="AS1" t="s">
        <v>95</v>
      </c>
      <c r="AT1" t="s">
        <v>30</v>
      </c>
      <c r="AU1" t="s">
        <v>8</v>
      </c>
      <c r="AV1" t="s">
        <v>9</v>
      </c>
      <c r="AW1" t="s">
        <v>10</v>
      </c>
      <c r="AX1" t="s">
        <v>16</v>
      </c>
      <c r="AY1" t="s">
        <v>17</v>
      </c>
      <c r="AZ1" t="s">
        <v>96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F1" t="s">
        <v>23</v>
      </c>
      <c r="BG1" t="s">
        <v>1</v>
      </c>
      <c r="BH1" t="s">
        <v>2</v>
      </c>
      <c r="BI1" t="s">
        <v>440</v>
      </c>
      <c r="BJ1" t="s">
        <v>25</v>
      </c>
      <c r="BK1" t="s">
        <v>97</v>
      </c>
    </row>
    <row r="2" spans="1:63" x14ac:dyDescent="0.3">
      <c r="A2">
        <v>1</v>
      </c>
      <c r="B2" s="132">
        <v>0</v>
      </c>
      <c r="C2" s="128">
        <v>0.30752150772816189</v>
      </c>
      <c r="D2" s="148">
        <v>-0.30752150772816184</v>
      </c>
      <c r="E2" s="160">
        <v>0</v>
      </c>
      <c r="F2" s="160">
        <v>0.30724611979999999</v>
      </c>
      <c r="G2" s="160">
        <v>-0.30779644049999999</v>
      </c>
      <c r="H2" s="145">
        <f>F2-Q2</f>
        <v>0.614746729539694</v>
      </c>
      <c r="I2" s="51">
        <v>0</v>
      </c>
      <c r="J2" s="110">
        <v>0.30762643945026302</v>
      </c>
      <c r="K2" s="110">
        <v>-0.30723201887045898</v>
      </c>
      <c r="L2" s="165"/>
      <c r="M2" s="165"/>
      <c r="N2">
        <v>0</v>
      </c>
      <c r="O2">
        <v>-0.30732963288147902</v>
      </c>
      <c r="P2">
        <v>0.30750060973969401</v>
      </c>
      <c r="Q2">
        <f>P2*-1</f>
        <v>-0.30750060973969401</v>
      </c>
      <c r="R2" s="145"/>
      <c r="S2" s="150"/>
      <c r="T2" s="145"/>
      <c r="V2" s="151"/>
      <c r="AG2">
        <v>0</v>
      </c>
      <c r="AH2">
        <v>0</v>
      </c>
      <c r="AI2">
        <v>45</v>
      </c>
      <c r="AJ2">
        <v>0</v>
      </c>
      <c r="AK2">
        <v>0</v>
      </c>
      <c r="AL2" t="s">
        <v>18</v>
      </c>
      <c r="AN2" s="9"/>
      <c r="AO2" s="9"/>
      <c r="AP2">
        <v>0</v>
      </c>
      <c r="AQ2" t="s">
        <v>441</v>
      </c>
      <c r="AR2">
        <v>0.30723035489404499</v>
      </c>
      <c r="AS2">
        <v>-0.30762339897488999</v>
      </c>
      <c r="AT2">
        <v>0.434767347629954</v>
      </c>
      <c r="AU2" s="44">
        <v>2.6007479999999999E-9</v>
      </c>
      <c r="AV2" s="44">
        <v>4.34639E-12</v>
      </c>
      <c r="AW2">
        <v>1</v>
      </c>
      <c r="AX2" s="44">
        <v>0.307521507728161</v>
      </c>
      <c r="AY2" s="44">
        <v>-0.307521507728161</v>
      </c>
      <c r="AZ2">
        <v>15000</v>
      </c>
      <c r="BA2">
        <v>16</v>
      </c>
      <c r="BB2">
        <v>1</v>
      </c>
      <c r="BC2">
        <v>1</v>
      </c>
      <c r="BD2">
        <v>1</v>
      </c>
      <c r="BE2">
        <v>0.01</v>
      </c>
      <c r="BF2">
        <v>16</v>
      </c>
      <c r="BG2">
        <v>0</v>
      </c>
      <c r="BH2">
        <v>0</v>
      </c>
      <c r="BI2" t="s">
        <v>442</v>
      </c>
      <c r="BJ2">
        <v>295.39999999999998</v>
      </c>
      <c r="BK2" t="s">
        <v>443</v>
      </c>
    </row>
    <row r="3" spans="1:63" x14ac:dyDescent="0.3">
      <c r="A3">
        <v>2</v>
      </c>
      <c r="B3" s="132">
        <v>0.25</v>
      </c>
      <c r="C3" s="129">
        <v>0.31362972888013352</v>
      </c>
      <c r="D3" s="149">
        <v>-0.30128947640662423</v>
      </c>
      <c r="E3" s="160">
        <v>0.25</v>
      </c>
      <c r="F3" s="160">
        <v>0.3133222329</v>
      </c>
      <c r="G3" s="160">
        <v>-0.3015335603</v>
      </c>
      <c r="H3" s="145">
        <f t="shared" ref="H3:H41" si="0">G3-Q3</f>
        <v>-3.8842327880300731E-4</v>
      </c>
      <c r="I3" s="51">
        <v>0.25</v>
      </c>
      <c r="J3" s="110">
        <v>0.31377041722225102</v>
      </c>
      <c r="K3" s="110">
        <v>-0.30076009253115499</v>
      </c>
      <c r="L3" s="165"/>
      <c r="M3" s="165"/>
      <c r="N3">
        <v>0.25</v>
      </c>
      <c r="O3">
        <v>-0.31352192934654899</v>
      </c>
      <c r="P3">
        <v>0.301145137021197</v>
      </c>
      <c r="Q3">
        <f t="shared" ref="Q3:Q41" si="1">P3*-1</f>
        <v>-0.301145137021197</v>
      </c>
      <c r="R3" s="146"/>
      <c r="S3" s="152"/>
      <c r="T3" s="146"/>
      <c r="U3" s="146"/>
      <c r="V3" s="153"/>
      <c r="W3" s="133">
        <f>C3-AD3</f>
        <v>4.9960036108132044E-16</v>
      </c>
      <c r="X3" s="133">
        <f>D3-AE3</f>
        <v>0</v>
      </c>
      <c r="Z3">
        <f>ABS(AD3)-ABS(AR3)</f>
        <v>1.0840824467600596E-4</v>
      </c>
      <c r="AA3">
        <f>ABS(AE3)-ABS(AS3)</f>
        <v>1.4405636078601569E-4</v>
      </c>
      <c r="AC3">
        <v>0.25</v>
      </c>
      <c r="AD3">
        <v>0.31362972888013302</v>
      </c>
      <c r="AE3">
        <v>-0.30128947640662401</v>
      </c>
      <c r="AF3">
        <v>0.43490108695058899</v>
      </c>
      <c r="AG3">
        <v>0</v>
      </c>
      <c r="AH3">
        <v>0.25</v>
      </c>
      <c r="AI3">
        <v>45</v>
      </c>
      <c r="AJ3">
        <v>0</v>
      </c>
      <c r="AK3">
        <v>0</v>
      </c>
      <c r="AL3" t="s">
        <v>18</v>
      </c>
      <c r="AN3" s="9"/>
      <c r="AO3" s="9"/>
      <c r="AP3">
        <v>1</v>
      </c>
      <c r="AQ3" t="s">
        <v>441</v>
      </c>
      <c r="AR3">
        <v>0.31352132063545701</v>
      </c>
      <c r="AS3">
        <v>-0.301145420045838</v>
      </c>
      <c r="AT3">
        <v>0.434723110160462</v>
      </c>
      <c r="AU3" s="44">
        <v>7.5920059999999997E-9</v>
      </c>
      <c r="AV3" s="44">
        <v>2.9565449999999998E-11</v>
      </c>
      <c r="AW3">
        <v>1</v>
      </c>
      <c r="AX3" s="44">
        <v>0.31362972888013302</v>
      </c>
      <c r="AY3" s="44">
        <v>-0.30128947640662401</v>
      </c>
      <c r="AZ3">
        <v>15000</v>
      </c>
      <c r="BA3">
        <v>16</v>
      </c>
      <c r="BB3">
        <v>1</v>
      </c>
      <c r="BC3">
        <v>1</v>
      </c>
      <c r="BD3">
        <v>1</v>
      </c>
      <c r="BE3">
        <v>0.01</v>
      </c>
      <c r="BF3">
        <v>16</v>
      </c>
      <c r="BG3">
        <v>0</v>
      </c>
      <c r="BH3">
        <v>0.25</v>
      </c>
      <c r="BI3" t="s">
        <v>444</v>
      </c>
      <c r="BJ3">
        <v>296.10000000000002</v>
      </c>
      <c r="BK3" t="s">
        <v>445</v>
      </c>
    </row>
    <row r="4" spans="1:63" x14ac:dyDescent="0.3">
      <c r="A4">
        <v>3</v>
      </c>
      <c r="B4" s="132">
        <v>0.5</v>
      </c>
      <c r="C4" s="128">
        <v>0.3311871943749583</v>
      </c>
      <c r="D4" s="148">
        <v>-0.28187585514344321</v>
      </c>
      <c r="E4" s="160">
        <v>0.5</v>
      </c>
      <c r="F4" s="160">
        <v>0.33077557870000002</v>
      </c>
      <c r="G4" s="160">
        <v>-0.28203606170000001</v>
      </c>
      <c r="H4" s="145">
        <f t="shared" si="0"/>
        <v>-1.345300008132988E-3</v>
      </c>
      <c r="I4" s="51">
        <v>0.5</v>
      </c>
      <c r="J4" s="110">
        <v>0.34699558719759299</v>
      </c>
      <c r="K4" s="110">
        <v>-0.25913568438449502</v>
      </c>
      <c r="L4" s="165"/>
      <c r="M4" s="165"/>
      <c r="N4">
        <v>0.5</v>
      </c>
      <c r="O4">
        <v>-0.33177056273397398</v>
      </c>
      <c r="P4">
        <v>0.28069076169186702</v>
      </c>
      <c r="Q4">
        <f t="shared" si="1"/>
        <v>-0.28069076169186702</v>
      </c>
      <c r="R4" s="145"/>
      <c r="S4" s="150"/>
      <c r="T4" s="145"/>
      <c r="U4" s="145"/>
      <c r="V4" s="151"/>
      <c r="W4" s="133">
        <f t="shared" ref="W4:W27" si="2">C4-AD4</f>
        <v>0</v>
      </c>
      <c r="X4" s="133">
        <f t="shared" ref="X4:X27" si="3">D4-AE4</f>
        <v>0</v>
      </c>
      <c r="Z4">
        <f t="shared" ref="Z4:AA22" si="4">ABS(AD4)-ABS(AR4)</f>
        <v>-5.8383462476196968E-4</v>
      </c>
      <c r="AA4">
        <f t="shared" si="4"/>
        <v>1.1846530894820129E-3</v>
      </c>
      <c r="AC4">
        <v>0.5</v>
      </c>
      <c r="AD4">
        <v>0.33118719437495803</v>
      </c>
      <c r="AE4">
        <v>-0.28187585514344299</v>
      </c>
      <c r="AF4">
        <v>0.43490108695058899</v>
      </c>
      <c r="AG4">
        <v>0</v>
      </c>
      <c r="AH4">
        <v>0.5</v>
      </c>
      <c r="AI4">
        <v>99</v>
      </c>
      <c r="AJ4">
        <v>0</v>
      </c>
      <c r="AK4">
        <v>0</v>
      </c>
      <c r="AL4" t="s">
        <v>18</v>
      </c>
      <c r="AN4" s="9"/>
      <c r="AO4" s="9"/>
      <c r="AP4">
        <v>2</v>
      </c>
      <c r="AQ4" t="s">
        <v>441</v>
      </c>
      <c r="AR4">
        <v>0.33177102899972</v>
      </c>
      <c r="AS4">
        <v>-0.28069120205396098</v>
      </c>
      <c r="AT4">
        <v>0.43457975861058001</v>
      </c>
      <c r="AU4" s="44">
        <v>8.2739030000000007E-9</v>
      </c>
      <c r="AV4" s="44">
        <v>3.9287589999999999E-11</v>
      </c>
      <c r="AW4">
        <v>1</v>
      </c>
      <c r="AX4" s="44">
        <v>0.33118719437495803</v>
      </c>
      <c r="AY4" s="44">
        <v>-0.28187585514344299</v>
      </c>
      <c r="AZ4">
        <v>15000</v>
      </c>
      <c r="BA4">
        <v>16</v>
      </c>
      <c r="BB4">
        <v>1</v>
      </c>
      <c r="BC4">
        <v>1</v>
      </c>
      <c r="BD4">
        <v>1</v>
      </c>
      <c r="BE4">
        <v>0.01</v>
      </c>
      <c r="BF4">
        <v>16</v>
      </c>
      <c r="BG4">
        <v>0</v>
      </c>
      <c r="BH4">
        <v>0.5</v>
      </c>
      <c r="BI4" t="s">
        <v>444</v>
      </c>
      <c r="BJ4">
        <v>292.3</v>
      </c>
      <c r="BK4" t="s">
        <v>446</v>
      </c>
    </row>
    <row r="5" spans="1:63" x14ac:dyDescent="0.3">
      <c r="A5">
        <v>4</v>
      </c>
      <c r="B5" s="132">
        <v>0.75</v>
      </c>
      <c r="C5" s="129">
        <v>0.35775414248369647</v>
      </c>
      <c r="D5" s="149">
        <v>-0.24728713870025432</v>
      </c>
      <c r="E5" s="160">
        <v>0.75</v>
      </c>
      <c r="F5" s="160">
        <v>0.35714579590000001</v>
      </c>
      <c r="G5" s="160">
        <v>-0.24733872740000001</v>
      </c>
      <c r="H5" s="145">
        <f t="shared" si="0"/>
        <v>-3.1459379824630151E-3</v>
      </c>
      <c r="I5" s="51">
        <v>0.75</v>
      </c>
      <c r="J5" s="110">
        <v>0.36049815158517401</v>
      </c>
      <c r="K5" s="110">
        <v>-0.24105629936856501</v>
      </c>
      <c r="L5" s="165"/>
      <c r="M5" s="165"/>
      <c r="N5">
        <v>0.75</v>
      </c>
      <c r="O5">
        <v>-0.359193724633869</v>
      </c>
      <c r="P5">
        <v>0.244192789417537</v>
      </c>
      <c r="Q5">
        <f t="shared" si="1"/>
        <v>-0.244192789417537</v>
      </c>
      <c r="R5" s="146"/>
      <c r="S5" s="152"/>
      <c r="T5" s="146"/>
      <c r="U5" s="146"/>
      <c r="V5" s="153"/>
      <c r="W5" s="133">
        <f t="shared" si="2"/>
        <v>4.4408920985006262E-16</v>
      </c>
      <c r="X5" s="133">
        <f t="shared" si="3"/>
        <v>-3.0531133177191805E-16</v>
      </c>
      <c r="Z5">
        <f t="shared" si="4"/>
        <v>-1.4397697097489615E-3</v>
      </c>
      <c r="AA5">
        <f t="shared" si="4"/>
        <v>3.094041783616025E-3</v>
      </c>
      <c r="AC5">
        <v>0.75</v>
      </c>
      <c r="AD5">
        <v>0.35775414248369602</v>
      </c>
      <c r="AE5">
        <v>-0.24728713870025401</v>
      </c>
      <c r="AF5">
        <v>0.43490108695058899</v>
      </c>
      <c r="AG5">
        <v>0</v>
      </c>
      <c r="AH5">
        <v>0.75</v>
      </c>
      <c r="AI5">
        <v>45</v>
      </c>
      <c r="AJ5">
        <v>0</v>
      </c>
      <c r="AK5">
        <v>0</v>
      </c>
      <c r="AL5" t="s">
        <v>18</v>
      </c>
      <c r="AN5" s="9"/>
      <c r="AO5" s="9"/>
      <c r="AP5">
        <v>3</v>
      </c>
      <c r="AQ5" t="s">
        <v>441</v>
      </c>
      <c r="AR5">
        <v>0.35919391219344499</v>
      </c>
      <c r="AS5">
        <v>-0.24419309691663799</v>
      </c>
      <c r="AT5">
        <v>0.43433919364774198</v>
      </c>
      <c r="AU5" s="44">
        <v>5.5994659999999999E-9</v>
      </c>
      <c r="AV5" s="44">
        <v>1.4908849999999999E-11</v>
      </c>
      <c r="AW5">
        <v>1</v>
      </c>
      <c r="AX5" s="44">
        <v>0.35775414248369602</v>
      </c>
      <c r="AY5" s="44">
        <v>-0.24728713870025401</v>
      </c>
      <c r="AZ5">
        <v>15000</v>
      </c>
      <c r="BA5">
        <v>16</v>
      </c>
      <c r="BB5">
        <v>1</v>
      </c>
      <c r="BC5">
        <v>1</v>
      </c>
      <c r="BD5">
        <v>1</v>
      </c>
      <c r="BE5">
        <v>0.01</v>
      </c>
      <c r="BF5">
        <v>16</v>
      </c>
      <c r="BG5">
        <v>0</v>
      </c>
      <c r="BH5">
        <v>0.75</v>
      </c>
      <c r="BI5" t="s">
        <v>444</v>
      </c>
      <c r="BJ5">
        <v>293.60000000000002</v>
      </c>
      <c r="BK5" t="s">
        <v>447</v>
      </c>
    </row>
    <row r="6" spans="1:63" x14ac:dyDescent="0.3">
      <c r="A6">
        <v>5</v>
      </c>
      <c r="B6" s="132">
        <v>1</v>
      </c>
      <c r="C6" s="128">
        <v>0.3888502896348387</v>
      </c>
      <c r="D6" s="148">
        <v>-0.19476757348620913</v>
      </c>
      <c r="E6" s="160">
        <v>1</v>
      </c>
      <c r="F6" s="160">
        <v>0.38792835799999997</v>
      </c>
      <c r="G6" s="160">
        <v>-0.1947394482</v>
      </c>
      <c r="H6" s="145">
        <f t="shared" si="0"/>
        <v>-6.0066776128329946E-3</v>
      </c>
      <c r="I6" s="51">
        <v>1</v>
      </c>
      <c r="J6" s="110">
        <v>0.34524650597637302</v>
      </c>
      <c r="K6" s="110">
        <v>-0.25759517895649697</v>
      </c>
      <c r="L6" s="165"/>
      <c r="M6" s="165"/>
      <c r="N6">
        <v>1</v>
      </c>
      <c r="O6">
        <v>-0.39081730426197198</v>
      </c>
      <c r="P6">
        <v>0.188732770587167</v>
      </c>
      <c r="Q6">
        <f t="shared" si="1"/>
        <v>-0.188732770587167</v>
      </c>
      <c r="R6" s="145"/>
      <c r="S6" s="150"/>
      <c r="T6" s="145"/>
      <c r="U6" s="145"/>
      <c r="V6" s="151"/>
      <c r="W6" s="133">
        <f t="shared" si="2"/>
        <v>7.2164496600635175E-16</v>
      </c>
      <c r="X6" s="133">
        <f t="shared" si="3"/>
        <v>0</v>
      </c>
      <c r="Z6">
        <f t="shared" si="4"/>
        <v>-1.9674627073530404E-3</v>
      </c>
      <c r="AA6">
        <f t="shared" si="4"/>
        <v>6.0347335340980024E-3</v>
      </c>
      <c r="AC6">
        <v>1</v>
      </c>
      <c r="AD6">
        <v>0.38885028963483798</v>
      </c>
      <c r="AE6">
        <v>-0.19476757348620899</v>
      </c>
      <c r="AF6">
        <v>0.43490108695058899</v>
      </c>
      <c r="AG6">
        <v>0</v>
      </c>
      <c r="AH6">
        <v>1</v>
      </c>
      <c r="AI6">
        <v>99</v>
      </c>
      <c r="AJ6">
        <v>0</v>
      </c>
      <c r="AK6">
        <v>0</v>
      </c>
      <c r="AL6" t="s">
        <v>18</v>
      </c>
      <c r="AN6" s="9"/>
      <c r="AO6" s="9"/>
      <c r="AP6">
        <v>4</v>
      </c>
      <c r="AQ6" t="s">
        <v>441</v>
      </c>
      <c r="AR6">
        <v>0.39081775234219102</v>
      </c>
      <c r="AS6">
        <v>-0.18873283995211099</v>
      </c>
      <c r="AT6">
        <v>0.43400299586775998</v>
      </c>
      <c r="AU6" s="44">
        <v>5.502373E-9</v>
      </c>
      <c r="AV6" s="44">
        <v>1.6707009999999999E-11</v>
      </c>
      <c r="AW6">
        <v>1</v>
      </c>
      <c r="AX6" s="44">
        <v>0.38885028963483798</v>
      </c>
      <c r="AY6" s="44">
        <v>-0.19476757348620899</v>
      </c>
      <c r="AZ6">
        <v>15000</v>
      </c>
      <c r="BA6">
        <v>16</v>
      </c>
      <c r="BB6">
        <v>1</v>
      </c>
      <c r="BC6">
        <v>1</v>
      </c>
      <c r="BD6">
        <v>1</v>
      </c>
      <c r="BE6">
        <v>0.01</v>
      </c>
      <c r="BF6">
        <v>16</v>
      </c>
      <c r="BG6">
        <v>0</v>
      </c>
      <c r="BH6">
        <v>1</v>
      </c>
      <c r="BI6" t="s">
        <v>444</v>
      </c>
      <c r="BJ6">
        <v>290.10000000000002</v>
      </c>
      <c r="BK6" t="s">
        <v>448</v>
      </c>
    </row>
    <row r="7" spans="1:63" x14ac:dyDescent="0.3">
      <c r="A7">
        <v>6</v>
      </c>
      <c r="B7" s="132">
        <v>1.25</v>
      </c>
      <c r="C7" s="129">
        <v>0.41750879410619257</v>
      </c>
      <c r="D7" s="149">
        <v>-0.12175944429405355</v>
      </c>
      <c r="E7" s="160">
        <v>1.25</v>
      </c>
      <c r="F7" s="160">
        <v>0.41614594329999999</v>
      </c>
      <c r="G7" s="160">
        <v>-0.121765058</v>
      </c>
      <c r="H7" s="145">
        <f t="shared" si="0"/>
        <v>-1.0024875158882993E-2</v>
      </c>
      <c r="I7" s="51">
        <v>1.25</v>
      </c>
      <c r="J7" s="110">
        <v>0.41900911279361602</v>
      </c>
      <c r="K7" s="110">
        <v>-0.109996520773187</v>
      </c>
      <c r="L7" s="165"/>
      <c r="M7" s="165"/>
      <c r="N7">
        <v>1.25</v>
      </c>
      <c r="O7">
        <v>-0.41892322931555298</v>
      </c>
      <c r="P7">
        <v>0.111740182841117</v>
      </c>
      <c r="Q7">
        <f t="shared" si="1"/>
        <v>-0.111740182841117</v>
      </c>
      <c r="R7" s="146"/>
      <c r="S7" s="152"/>
      <c r="T7" s="146"/>
      <c r="U7" s="146"/>
      <c r="V7" s="153"/>
      <c r="W7" s="133">
        <f t="shared" si="2"/>
        <v>5.5511151231257827E-16</v>
      </c>
      <c r="X7" s="133">
        <f t="shared" si="3"/>
        <v>-5.5511151231257827E-16</v>
      </c>
      <c r="Z7">
        <f t="shared" si="4"/>
        <v>-1.4151880169729902E-3</v>
      </c>
      <c r="AA7">
        <f t="shared" si="4"/>
        <v>1.0019097539259003E-2</v>
      </c>
      <c r="AC7">
        <v>1.25</v>
      </c>
      <c r="AD7">
        <v>0.41750879410619202</v>
      </c>
      <c r="AE7">
        <v>-0.121759444294053</v>
      </c>
      <c r="AF7">
        <v>0.43490108695058899</v>
      </c>
      <c r="AG7">
        <v>0</v>
      </c>
      <c r="AH7">
        <v>1.25</v>
      </c>
      <c r="AI7">
        <v>99</v>
      </c>
      <c r="AJ7">
        <v>0</v>
      </c>
      <c r="AK7">
        <v>0</v>
      </c>
      <c r="AL7" t="s">
        <v>18</v>
      </c>
      <c r="AN7" s="9"/>
      <c r="AO7" s="9"/>
      <c r="AP7">
        <v>5</v>
      </c>
      <c r="AQ7" t="s">
        <v>441</v>
      </c>
      <c r="AR7">
        <v>0.41892398212316501</v>
      </c>
      <c r="AS7">
        <v>-0.111740346754794</v>
      </c>
      <c r="AT7">
        <v>0.43357030328518997</v>
      </c>
      <c r="AU7" s="44">
        <v>5.2488709999999998E-9</v>
      </c>
      <c r="AV7" s="44">
        <v>1.33782E-11</v>
      </c>
      <c r="AW7">
        <v>1</v>
      </c>
      <c r="AX7" s="44">
        <v>0.41750879410619202</v>
      </c>
      <c r="AY7" s="44">
        <v>-0.121759444294053</v>
      </c>
      <c r="AZ7">
        <v>15000</v>
      </c>
      <c r="BA7">
        <v>16</v>
      </c>
      <c r="BB7">
        <v>1</v>
      </c>
      <c r="BC7">
        <v>1</v>
      </c>
      <c r="BD7">
        <v>1</v>
      </c>
      <c r="BE7">
        <v>0.01</v>
      </c>
      <c r="BF7">
        <v>16</v>
      </c>
      <c r="BG7">
        <v>0</v>
      </c>
      <c r="BH7">
        <v>1.25</v>
      </c>
      <c r="BI7" t="s">
        <v>444</v>
      </c>
      <c r="BJ7">
        <v>293.3</v>
      </c>
      <c r="BK7" t="s">
        <v>449</v>
      </c>
    </row>
    <row r="8" spans="1:63" x14ac:dyDescent="0.3">
      <c r="A8">
        <v>7</v>
      </c>
      <c r="B8" s="132">
        <v>1.5</v>
      </c>
      <c r="C8" s="128">
        <v>0.43403710680369301</v>
      </c>
      <c r="D8" s="148">
        <v>-2.7399732631603939E-2</v>
      </c>
      <c r="E8" s="160">
        <v>1.5</v>
      </c>
      <c r="F8" s="160">
        <v>0.43213615119999998</v>
      </c>
      <c r="G8" s="160">
        <v>-2.7666485500000001E-2</v>
      </c>
      <c r="H8" s="145">
        <f t="shared" si="0"/>
        <v>-1.4942101038934801E-2</v>
      </c>
      <c r="I8" s="51">
        <v>1.5</v>
      </c>
      <c r="J8" s="110">
        <v>0.43424058071794502</v>
      </c>
      <c r="K8" s="110">
        <v>-1.24430127780668E-2</v>
      </c>
      <c r="L8" s="165"/>
      <c r="M8" s="165"/>
      <c r="N8">
        <v>1.5</v>
      </c>
      <c r="O8">
        <v>-0.43285628280206601</v>
      </c>
      <c r="P8">
        <v>1.27243844610652E-2</v>
      </c>
      <c r="Q8">
        <f t="shared" si="1"/>
        <v>-1.27243844610652E-2</v>
      </c>
      <c r="R8" s="145"/>
      <c r="S8" s="150"/>
      <c r="T8" s="145"/>
      <c r="U8" s="145"/>
      <c r="V8" s="151"/>
      <c r="W8" s="133">
        <f t="shared" si="2"/>
        <v>0</v>
      </c>
      <c r="X8" s="133">
        <f t="shared" si="3"/>
        <v>-1.3877787807814457E-16</v>
      </c>
      <c r="Z8">
        <f t="shared" si="4"/>
        <v>1.1814997011440065E-3</v>
      </c>
      <c r="AA8">
        <f t="shared" si="4"/>
        <v>1.4675229761289999E-2</v>
      </c>
      <c r="AC8">
        <v>1.5</v>
      </c>
      <c r="AD8">
        <v>0.43403710680369301</v>
      </c>
      <c r="AE8">
        <v>-2.73997326316038E-2</v>
      </c>
      <c r="AF8">
        <v>0.43490108695058899</v>
      </c>
      <c r="AG8">
        <v>0</v>
      </c>
      <c r="AH8">
        <v>1.5</v>
      </c>
      <c r="AI8">
        <v>45</v>
      </c>
      <c r="AJ8">
        <v>0</v>
      </c>
      <c r="AK8">
        <v>0</v>
      </c>
      <c r="AL8" t="s">
        <v>18</v>
      </c>
      <c r="AN8" s="9"/>
      <c r="AO8" s="9"/>
      <c r="AP8">
        <v>6</v>
      </c>
      <c r="AQ8" t="s">
        <v>441</v>
      </c>
      <c r="AR8">
        <v>0.432855607102549</v>
      </c>
      <c r="AS8">
        <v>-1.2724502870313801E-2</v>
      </c>
      <c r="AT8">
        <v>0.43304259556469998</v>
      </c>
      <c r="AU8" s="44">
        <v>6.5584429999999997E-9</v>
      </c>
      <c r="AV8" s="44">
        <v>2.6284410000000001E-11</v>
      </c>
      <c r="AW8">
        <v>1</v>
      </c>
      <c r="AX8" s="44">
        <v>0.43403710680369301</v>
      </c>
      <c r="AY8" s="44">
        <v>-2.7399732631603901E-2</v>
      </c>
      <c r="AZ8">
        <v>15000</v>
      </c>
      <c r="BA8">
        <v>16</v>
      </c>
      <c r="BB8">
        <v>1</v>
      </c>
      <c r="BC8">
        <v>1</v>
      </c>
      <c r="BD8">
        <v>1</v>
      </c>
      <c r="BE8">
        <v>0.01</v>
      </c>
      <c r="BF8">
        <v>16</v>
      </c>
      <c r="BG8">
        <v>0</v>
      </c>
      <c r="BH8">
        <v>1.5</v>
      </c>
      <c r="BI8" t="s">
        <v>444</v>
      </c>
      <c r="BJ8">
        <v>295.10000000000002</v>
      </c>
      <c r="BK8" t="s">
        <v>450</v>
      </c>
    </row>
    <row r="9" spans="1:63" x14ac:dyDescent="0.3">
      <c r="A9">
        <v>8</v>
      </c>
      <c r="B9" s="132">
        <v>1.75</v>
      </c>
      <c r="C9" s="129">
        <v>0.42642054565481585</v>
      </c>
      <c r="D9" s="149">
        <v>8.5466213641724548E-2</v>
      </c>
      <c r="E9" s="160">
        <v>1.75</v>
      </c>
      <c r="F9" s="160">
        <v>0.4239887625</v>
      </c>
      <c r="G9" s="160">
        <v>8.4586309200000001E-2</v>
      </c>
      <c r="H9" s="145">
        <f t="shared" si="0"/>
        <v>-1.9854368726395996E-2</v>
      </c>
      <c r="I9" s="51">
        <v>1.75</v>
      </c>
      <c r="J9" s="110">
        <v>0.42101162222802702</v>
      </c>
      <c r="K9" s="110">
        <v>0.105612632607071</v>
      </c>
      <c r="L9" s="165"/>
      <c r="M9" s="165"/>
      <c r="N9">
        <v>1.75</v>
      </c>
      <c r="O9">
        <v>-0.41961767404748201</v>
      </c>
      <c r="P9">
        <v>-0.104440677926396</v>
      </c>
      <c r="Q9">
        <f t="shared" si="1"/>
        <v>0.104440677926396</v>
      </c>
      <c r="R9" s="146"/>
      <c r="S9" s="152"/>
      <c r="T9" s="146"/>
      <c r="U9" s="146"/>
      <c r="V9" s="153"/>
      <c r="W9" s="133">
        <f t="shared" si="2"/>
        <v>8.3266726846886741E-16</v>
      </c>
      <c r="X9" s="133">
        <f t="shared" si="3"/>
        <v>0</v>
      </c>
      <c r="Z9">
        <f t="shared" si="4"/>
        <v>6.8037250362070201E-3</v>
      </c>
      <c r="AA9">
        <f t="shared" si="4"/>
        <v>-1.8974056315328489E-2</v>
      </c>
      <c r="AC9">
        <v>1.75</v>
      </c>
      <c r="AD9">
        <v>0.42642054565481502</v>
      </c>
      <c r="AE9">
        <v>8.5466213641724506E-2</v>
      </c>
      <c r="AF9">
        <v>0.43490108695058899</v>
      </c>
      <c r="AG9">
        <v>0</v>
      </c>
      <c r="AH9">
        <v>1.75</v>
      </c>
      <c r="AI9">
        <v>45</v>
      </c>
      <c r="AJ9">
        <v>0</v>
      </c>
      <c r="AK9">
        <v>0</v>
      </c>
      <c r="AL9" t="s">
        <v>18</v>
      </c>
      <c r="AN9" s="9"/>
      <c r="AO9" s="9"/>
      <c r="AP9">
        <v>7</v>
      </c>
      <c r="AQ9" t="s">
        <v>441</v>
      </c>
      <c r="AR9">
        <v>0.419616820618608</v>
      </c>
      <c r="AS9">
        <v>0.10444026995705299</v>
      </c>
      <c r="AT9">
        <v>0.43241883184566698</v>
      </c>
      <c r="AU9" s="44">
        <v>6.9968510000000002E-9</v>
      </c>
      <c r="AV9" s="44">
        <v>2.5433289999999999E-11</v>
      </c>
      <c r="AW9">
        <v>1</v>
      </c>
      <c r="AX9" s="44">
        <v>0.42642054565481502</v>
      </c>
      <c r="AY9" s="44">
        <v>8.5466213641724506E-2</v>
      </c>
      <c r="AZ9">
        <v>15000</v>
      </c>
      <c r="BA9">
        <v>16</v>
      </c>
      <c r="BB9">
        <v>1</v>
      </c>
      <c r="BC9">
        <v>1</v>
      </c>
      <c r="BD9">
        <v>1</v>
      </c>
      <c r="BE9">
        <v>0.01</v>
      </c>
      <c r="BF9">
        <v>16</v>
      </c>
      <c r="BG9">
        <v>0</v>
      </c>
      <c r="BH9">
        <v>1.75</v>
      </c>
      <c r="BI9" t="s">
        <v>444</v>
      </c>
      <c r="BJ9">
        <v>285.5</v>
      </c>
      <c r="BK9" t="s">
        <v>451</v>
      </c>
    </row>
    <row r="10" spans="1:63" x14ac:dyDescent="0.3">
      <c r="A10">
        <v>9</v>
      </c>
      <c r="B10" s="132">
        <v>2</v>
      </c>
      <c r="C10" s="128">
        <v>0.38191422872612757</v>
      </c>
      <c r="D10" s="148">
        <v>0.20803960518932671</v>
      </c>
      <c r="E10" s="160">
        <v>2</v>
      </c>
      <c r="F10" s="160">
        <v>0.37916726119999999</v>
      </c>
      <c r="G10" s="160">
        <v>0.20610648670000001</v>
      </c>
      <c r="H10" s="145">
        <f t="shared" si="0"/>
        <v>-2.2956652439927006E-2</v>
      </c>
      <c r="I10" s="51">
        <v>2</v>
      </c>
      <c r="J10" s="110">
        <v>0.36808924182463998</v>
      </c>
      <c r="K10" s="110">
        <v>0.23089657653949699</v>
      </c>
      <c r="L10" s="165"/>
      <c r="M10" s="165"/>
      <c r="N10">
        <v>2</v>
      </c>
      <c r="O10">
        <v>-0.36591898559431602</v>
      </c>
      <c r="P10">
        <v>-0.22906313913992701</v>
      </c>
      <c r="Q10">
        <f t="shared" si="1"/>
        <v>0.22906313913992701</v>
      </c>
      <c r="R10" s="145"/>
      <c r="S10" s="150"/>
      <c r="T10" s="145"/>
      <c r="U10" s="145"/>
      <c r="V10" s="151"/>
      <c r="W10" s="133">
        <f t="shared" si="2"/>
        <v>5.5511151231257827E-16</v>
      </c>
      <c r="X10" s="133">
        <f t="shared" si="3"/>
        <v>7.2164496600635175E-16</v>
      </c>
      <c r="Z10">
        <f t="shared" si="4"/>
        <v>1.5996195215443987E-2</v>
      </c>
      <c r="AA10">
        <f t="shared" si="4"/>
        <v>-2.1023302362690011E-2</v>
      </c>
      <c r="AC10">
        <v>2</v>
      </c>
      <c r="AD10">
        <v>0.38191422872612701</v>
      </c>
      <c r="AE10">
        <v>0.20803960518932599</v>
      </c>
      <c r="AF10">
        <v>0.43490108695058899</v>
      </c>
      <c r="AG10">
        <v>0</v>
      </c>
      <c r="AH10">
        <v>2</v>
      </c>
      <c r="AI10">
        <v>99</v>
      </c>
      <c r="AJ10">
        <v>0</v>
      </c>
      <c r="AK10">
        <v>0</v>
      </c>
      <c r="AL10" t="s">
        <v>18</v>
      </c>
      <c r="AN10" s="9"/>
      <c r="AO10" s="9"/>
      <c r="AP10">
        <v>8</v>
      </c>
      <c r="AQ10" t="s">
        <v>441</v>
      </c>
      <c r="AR10">
        <v>0.36591803351068303</v>
      </c>
      <c r="AS10">
        <v>0.229062907552016</v>
      </c>
      <c r="AT10">
        <v>0.431701080453256</v>
      </c>
      <c r="AU10" s="44">
        <v>6.944667E-9</v>
      </c>
      <c r="AV10" s="44">
        <v>2.6983830000000001E-11</v>
      </c>
      <c r="AW10">
        <v>1</v>
      </c>
      <c r="AX10" s="44">
        <v>0.38191422872612701</v>
      </c>
      <c r="AY10" s="44">
        <v>0.20803960518932599</v>
      </c>
      <c r="AZ10">
        <v>15000</v>
      </c>
      <c r="BA10">
        <v>16</v>
      </c>
      <c r="BB10">
        <v>1</v>
      </c>
      <c r="BC10">
        <v>1</v>
      </c>
      <c r="BD10">
        <v>1</v>
      </c>
      <c r="BE10">
        <v>0.01</v>
      </c>
      <c r="BF10">
        <v>16</v>
      </c>
      <c r="BG10">
        <v>0</v>
      </c>
      <c r="BH10">
        <v>2</v>
      </c>
      <c r="BI10" t="s">
        <v>444</v>
      </c>
      <c r="BJ10">
        <v>293</v>
      </c>
      <c r="BK10" t="s">
        <v>452</v>
      </c>
    </row>
    <row r="11" spans="1:63" x14ac:dyDescent="0.3">
      <c r="A11">
        <v>10</v>
      </c>
      <c r="B11" s="132">
        <v>2.25</v>
      </c>
      <c r="C11" s="129">
        <v>0.29031308968880343</v>
      </c>
      <c r="D11" s="149">
        <v>0.32381671572997062</v>
      </c>
      <c r="E11" s="160">
        <v>2.25</v>
      </c>
      <c r="F11" s="160">
        <v>0.28778122550000002</v>
      </c>
      <c r="G11" s="160">
        <v>0.3204202894</v>
      </c>
      <c r="H11" s="145">
        <f t="shared" si="0"/>
        <v>-2.1544819951886007E-2</v>
      </c>
      <c r="I11" s="51">
        <v>2.25</v>
      </c>
      <c r="J11" s="110">
        <v>-0.36453813843897298</v>
      </c>
      <c r="K11">
        <f t="shared" ref="K11" si="5">J11*-1</f>
        <v>0.36453813843897298</v>
      </c>
      <c r="L11" s="110">
        <v>0.83764486451443299</v>
      </c>
      <c r="M11" s="165"/>
      <c r="N11">
        <v>2.25</v>
      </c>
      <c r="O11">
        <v>-0.26215892154430798</v>
      </c>
      <c r="P11">
        <v>-0.34196510935188601</v>
      </c>
      <c r="Q11">
        <f t="shared" si="1"/>
        <v>0.34196510935188601</v>
      </c>
      <c r="R11" s="146"/>
      <c r="S11" s="152"/>
      <c r="T11" s="146"/>
      <c r="U11" s="146"/>
      <c r="V11" s="153"/>
      <c r="W11" s="133">
        <f t="shared" si="2"/>
        <v>4.4408920985006262E-16</v>
      </c>
      <c r="X11" s="133">
        <f t="shared" si="3"/>
        <v>6.106226635438361E-16</v>
      </c>
      <c r="Z11">
        <f t="shared" si="4"/>
        <v>2.8149545512317964E-2</v>
      </c>
      <c r="AA11">
        <f t="shared" si="4"/>
        <v>-1.8142620852416969E-2</v>
      </c>
      <c r="AC11">
        <v>2.25</v>
      </c>
      <c r="AD11">
        <v>0.29031308968880298</v>
      </c>
      <c r="AE11">
        <v>0.32381671572997001</v>
      </c>
      <c r="AF11">
        <v>0.43490108695058899</v>
      </c>
      <c r="AG11">
        <v>0</v>
      </c>
      <c r="AH11">
        <v>2.25</v>
      </c>
      <c r="AI11">
        <v>45</v>
      </c>
      <c r="AJ11">
        <v>0</v>
      </c>
      <c r="AK11">
        <v>0</v>
      </c>
      <c r="AL11" t="s">
        <v>18</v>
      </c>
      <c r="AN11" s="9"/>
      <c r="AO11" s="9"/>
      <c r="AP11">
        <v>9</v>
      </c>
      <c r="AQ11" t="s">
        <v>441</v>
      </c>
      <c r="AR11">
        <v>0.26216354417648502</v>
      </c>
      <c r="AS11">
        <v>0.34195933658238697</v>
      </c>
      <c r="AT11">
        <v>0.43088967470924899</v>
      </c>
      <c r="AU11" s="44">
        <v>3.9474010000000001E-9</v>
      </c>
      <c r="AV11" s="44">
        <v>1.083683E-11</v>
      </c>
      <c r="AW11">
        <v>1</v>
      </c>
      <c r="AX11" s="44">
        <v>0.29031308968880298</v>
      </c>
      <c r="AY11" s="44">
        <v>0.32381671572997001</v>
      </c>
      <c r="AZ11">
        <v>15000</v>
      </c>
      <c r="BA11">
        <v>16</v>
      </c>
      <c r="BB11">
        <v>1</v>
      </c>
      <c r="BC11">
        <v>1</v>
      </c>
      <c r="BD11">
        <v>1</v>
      </c>
      <c r="BE11">
        <v>0.01</v>
      </c>
      <c r="BF11">
        <v>16</v>
      </c>
      <c r="BG11">
        <v>0</v>
      </c>
      <c r="BH11">
        <v>2.25</v>
      </c>
      <c r="BI11" t="s">
        <v>444</v>
      </c>
      <c r="BJ11">
        <v>292.8</v>
      </c>
      <c r="BK11" t="s">
        <v>453</v>
      </c>
    </row>
    <row r="12" spans="1:63" x14ac:dyDescent="0.3">
      <c r="A12">
        <v>11</v>
      </c>
      <c r="B12" s="132">
        <v>2.5</v>
      </c>
      <c r="C12" s="128">
        <v>0.14898570271996639</v>
      </c>
      <c r="D12" s="148">
        <v>0.40858562849890057</v>
      </c>
      <c r="E12" s="160">
        <v>2.5</v>
      </c>
      <c r="F12" s="160">
        <v>0.147560834</v>
      </c>
      <c r="G12" s="160">
        <v>0.4035674655</v>
      </c>
      <c r="H12" s="145">
        <f t="shared" si="0"/>
        <v>-1.2558742008709989E-2</v>
      </c>
      <c r="I12" s="51">
        <v>2.5</v>
      </c>
      <c r="J12" s="110">
        <v>0.10113561820384601</v>
      </c>
      <c r="K12" s="110">
        <v>0.42094847244348599</v>
      </c>
      <c r="L12" s="165"/>
      <c r="M12" s="165"/>
      <c r="N12">
        <v>2.5</v>
      </c>
      <c r="O12">
        <v>-0.108287043393231</v>
      </c>
      <c r="P12">
        <v>-0.41612620750870999</v>
      </c>
      <c r="Q12">
        <f t="shared" si="1"/>
        <v>0.41612620750870999</v>
      </c>
      <c r="R12" s="145"/>
      <c r="S12" s="150"/>
      <c r="T12" s="145"/>
      <c r="U12" s="145"/>
      <c r="V12" s="151"/>
      <c r="W12" s="133">
        <f t="shared" si="2"/>
        <v>3.8857805861880479E-16</v>
      </c>
      <c r="X12" s="133">
        <f t="shared" si="3"/>
        <v>5.5511151231257827E-16</v>
      </c>
      <c r="Z12">
        <f t="shared" si="4"/>
        <v>4.0698872577166006E-2</v>
      </c>
      <c r="AA12">
        <f t="shared" si="4"/>
        <v>-7.5412499000799826E-3</v>
      </c>
      <c r="AC12">
        <v>2.5</v>
      </c>
      <c r="AD12">
        <v>0.148985702719966</v>
      </c>
      <c r="AE12">
        <v>0.40858562849890001</v>
      </c>
      <c r="AF12">
        <v>0.43490108695058899</v>
      </c>
      <c r="AG12">
        <v>0</v>
      </c>
      <c r="AH12">
        <v>2.5</v>
      </c>
      <c r="AI12">
        <v>45</v>
      </c>
      <c r="AJ12">
        <v>0</v>
      </c>
      <c r="AK12">
        <v>0</v>
      </c>
      <c r="AL12" t="s">
        <v>18</v>
      </c>
      <c r="AN12" s="9"/>
      <c r="AO12" s="9"/>
      <c r="AP12">
        <v>10</v>
      </c>
      <c r="AQ12" t="s">
        <v>441</v>
      </c>
      <c r="AR12">
        <v>0.10828683014279999</v>
      </c>
      <c r="AS12">
        <v>0.41612687839897999</v>
      </c>
      <c r="AT12">
        <v>0.42998560035012301</v>
      </c>
      <c r="AU12" s="44">
        <v>7.3694920000000002E-9</v>
      </c>
      <c r="AV12" s="44">
        <v>2.7963360000000001E-11</v>
      </c>
      <c r="AW12">
        <v>1</v>
      </c>
      <c r="AX12" s="44">
        <v>0.148985702719966</v>
      </c>
      <c r="AY12" s="44">
        <v>0.40858562849890001</v>
      </c>
      <c r="AZ12">
        <v>15000</v>
      </c>
      <c r="BA12">
        <v>16</v>
      </c>
      <c r="BB12">
        <v>1</v>
      </c>
      <c r="BC12">
        <v>1</v>
      </c>
      <c r="BD12">
        <v>1</v>
      </c>
      <c r="BE12">
        <v>0.01</v>
      </c>
      <c r="BF12">
        <v>16</v>
      </c>
      <c r="BG12">
        <v>0</v>
      </c>
      <c r="BH12">
        <v>2.5</v>
      </c>
      <c r="BI12" t="s">
        <v>444</v>
      </c>
      <c r="BJ12">
        <v>289.5</v>
      </c>
      <c r="BK12" t="s">
        <v>454</v>
      </c>
    </row>
    <row r="13" spans="1:63" x14ac:dyDescent="0.3">
      <c r="A13">
        <v>12</v>
      </c>
      <c r="B13" s="132">
        <v>2.75</v>
      </c>
      <c r="C13" s="129">
        <v>-3.1163598094273839E-2</v>
      </c>
      <c r="D13" s="149">
        <v>0.43378310892037092</v>
      </c>
      <c r="E13" s="160">
        <v>2.75</v>
      </c>
      <c r="F13" s="160">
        <v>-3.03354183E-2</v>
      </c>
      <c r="G13" s="160">
        <v>0.42753920579999999</v>
      </c>
      <c r="H13" s="145">
        <f t="shared" si="0"/>
        <v>6.0272265347469656E-3</v>
      </c>
      <c r="I13" s="51">
        <v>2.75</v>
      </c>
      <c r="J13" s="110">
        <v>-8.4294492157094197E-2</v>
      </c>
      <c r="K13" s="110">
        <v>0.42524499533589499</v>
      </c>
      <c r="L13" s="165"/>
      <c r="M13" s="165"/>
      <c r="N13">
        <v>2.75</v>
      </c>
      <c r="O13">
        <v>7.9731155646310697E-2</v>
      </c>
      <c r="P13">
        <v>-0.42151197926525302</v>
      </c>
      <c r="Q13">
        <f t="shared" si="1"/>
        <v>0.42151197926525302</v>
      </c>
      <c r="R13" s="146"/>
      <c r="S13" s="152"/>
      <c r="T13" s="146"/>
      <c r="U13" s="146"/>
      <c r="V13" s="153"/>
      <c r="W13" s="133">
        <f t="shared" si="2"/>
        <v>-3.8163916471489756E-17</v>
      </c>
      <c r="X13" s="133">
        <f t="shared" si="3"/>
        <v>0</v>
      </c>
      <c r="Z13">
        <f t="shared" si="4"/>
        <v>-4.85677716227704E-2</v>
      </c>
      <c r="AA13">
        <f t="shared" si="4"/>
        <v>1.2270570360534971E-2</v>
      </c>
      <c r="AC13">
        <v>2.75</v>
      </c>
      <c r="AD13">
        <v>-3.1163598094273801E-2</v>
      </c>
      <c r="AE13">
        <v>0.43378310892037097</v>
      </c>
      <c r="AF13">
        <v>0.43490108695058899</v>
      </c>
      <c r="AG13">
        <v>0</v>
      </c>
      <c r="AH13">
        <v>2.75</v>
      </c>
      <c r="AI13">
        <v>45</v>
      </c>
      <c r="AJ13">
        <v>0</v>
      </c>
      <c r="AK13">
        <v>0</v>
      </c>
      <c r="AL13" t="s">
        <v>18</v>
      </c>
      <c r="AN13" s="9"/>
      <c r="AO13" s="9"/>
      <c r="AP13">
        <v>11</v>
      </c>
      <c r="AQ13" t="s">
        <v>441</v>
      </c>
      <c r="AR13">
        <v>7.9731369717044198E-2</v>
      </c>
      <c r="AS13">
        <v>-0.421512538559836</v>
      </c>
      <c r="AT13">
        <v>0.42898707612247899</v>
      </c>
      <c r="AU13" s="44">
        <v>7.4614270000000002E-9</v>
      </c>
      <c r="AV13" s="44">
        <v>3.071333E-11</v>
      </c>
      <c r="AW13">
        <v>1</v>
      </c>
      <c r="AX13" s="44">
        <v>-3.1163598094273801E-2</v>
      </c>
      <c r="AY13" s="44">
        <v>0.43378310892036998</v>
      </c>
      <c r="AZ13">
        <v>15000</v>
      </c>
      <c r="BA13">
        <v>16</v>
      </c>
      <c r="BB13">
        <v>1</v>
      </c>
      <c r="BC13">
        <v>1</v>
      </c>
      <c r="BD13">
        <v>1</v>
      </c>
      <c r="BE13">
        <v>0.01</v>
      </c>
      <c r="BF13">
        <v>16</v>
      </c>
      <c r="BG13">
        <v>0</v>
      </c>
      <c r="BH13">
        <v>2.75</v>
      </c>
      <c r="BI13" t="s">
        <v>444</v>
      </c>
      <c r="BJ13">
        <v>289.10000000000002</v>
      </c>
      <c r="BK13" t="s">
        <v>455</v>
      </c>
    </row>
    <row r="14" spans="1:63" x14ac:dyDescent="0.3">
      <c r="A14">
        <v>13</v>
      </c>
      <c r="B14" s="132">
        <v>3</v>
      </c>
      <c r="C14" s="128">
        <v>-0.22106497125442665</v>
      </c>
      <c r="D14" s="148">
        <v>0.37452534482339556</v>
      </c>
      <c r="E14" s="160">
        <v>3</v>
      </c>
      <c r="F14" s="160">
        <v>-0.21694255000000001</v>
      </c>
      <c r="G14" s="160">
        <v>0.36828220049999999</v>
      </c>
      <c r="H14" s="145">
        <f t="shared" si="0"/>
        <v>3.3026875774096964E-2</v>
      </c>
      <c r="I14" s="51">
        <v>3</v>
      </c>
      <c r="J14" s="110">
        <v>-0.26998121812981901</v>
      </c>
      <c r="K14" s="110">
        <v>0.339916575720484</v>
      </c>
      <c r="L14" s="165"/>
      <c r="M14" s="165"/>
      <c r="N14">
        <v>3</v>
      </c>
      <c r="O14">
        <v>0.26589301776383401</v>
      </c>
      <c r="P14">
        <v>-0.33525532472590303</v>
      </c>
      <c r="Q14">
        <f t="shared" si="1"/>
        <v>0.33525532472590303</v>
      </c>
      <c r="R14" s="145"/>
      <c r="S14" s="150"/>
      <c r="T14" s="145"/>
      <c r="U14" s="145"/>
      <c r="V14" s="151"/>
      <c r="W14" s="133">
        <f t="shared" si="2"/>
        <v>-6.3837823915946501E-16</v>
      </c>
      <c r="X14" s="133">
        <f t="shared" si="3"/>
        <v>5.5511151231257827E-16</v>
      </c>
      <c r="Z14">
        <f t="shared" si="4"/>
        <v>-4.4828511115524966E-2</v>
      </c>
      <c r="AA14">
        <f t="shared" si="4"/>
        <v>3.9269516369016988E-2</v>
      </c>
      <c r="AC14">
        <v>3</v>
      </c>
      <c r="AD14">
        <v>-0.22106497125442601</v>
      </c>
      <c r="AE14">
        <v>0.374525344823395</v>
      </c>
      <c r="AF14">
        <v>0.43490108695058899</v>
      </c>
      <c r="AG14">
        <v>0</v>
      </c>
      <c r="AH14">
        <v>3</v>
      </c>
      <c r="AI14">
        <v>45</v>
      </c>
      <c r="AJ14">
        <v>0</v>
      </c>
      <c r="AK14">
        <v>0</v>
      </c>
      <c r="AL14" t="s">
        <v>18</v>
      </c>
      <c r="AN14" s="9"/>
      <c r="AO14" s="9"/>
      <c r="AP14">
        <v>12</v>
      </c>
      <c r="AQ14" t="s">
        <v>441</v>
      </c>
      <c r="AR14">
        <v>0.26589348236995097</v>
      </c>
      <c r="AS14">
        <v>-0.33525582845437801</v>
      </c>
      <c r="AT14">
        <v>0.42789696713046599</v>
      </c>
      <c r="AU14" s="44">
        <v>7.3019399999999997E-9</v>
      </c>
      <c r="AV14" s="44">
        <v>3.204281E-11</v>
      </c>
      <c r="AW14">
        <v>1</v>
      </c>
      <c r="AX14" s="44">
        <v>-0.22106497125442601</v>
      </c>
      <c r="AY14" s="44">
        <v>0.374525344823395</v>
      </c>
      <c r="AZ14">
        <v>15000</v>
      </c>
      <c r="BA14">
        <v>16</v>
      </c>
      <c r="BB14">
        <v>1</v>
      </c>
      <c r="BC14">
        <v>1</v>
      </c>
      <c r="BD14">
        <v>1</v>
      </c>
      <c r="BE14">
        <v>0.01</v>
      </c>
      <c r="BF14">
        <v>16</v>
      </c>
      <c r="BG14">
        <v>0</v>
      </c>
      <c r="BH14">
        <v>3</v>
      </c>
      <c r="BI14" t="s">
        <v>444</v>
      </c>
      <c r="BJ14">
        <v>287.2</v>
      </c>
      <c r="BK14" t="s">
        <v>456</v>
      </c>
    </row>
    <row r="15" spans="1:63" x14ac:dyDescent="0.3">
      <c r="A15">
        <v>14</v>
      </c>
      <c r="B15" s="132">
        <v>3.25</v>
      </c>
      <c r="C15" s="129">
        <v>-0.37392335017321021</v>
      </c>
      <c r="D15" s="149">
        <v>0.22208170484316497</v>
      </c>
      <c r="E15" s="160">
        <v>3.25</v>
      </c>
      <c r="F15" s="160">
        <v>-0.36620385620000001</v>
      </c>
      <c r="G15" s="160">
        <v>0.21793252439999999</v>
      </c>
      <c r="H15" s="145">
        <f t="shared" si="0"/>
        <v>6.1780042447146993E-2</v>
      </c>
      <c r="I15" s="51">
        <v>3.25</v>
      </c>
      <c r="J15" s="110">
        <v>-0.40396422363938</v>
      </c>
      <c r="K15" s="110">
        <v>0.158515690844476</v>
      </c>
      <c r="L15" s="165"/>
      <c r="M15" s="165"/>
      <c r="N15">
        <v>3.25</v>
      </c>
      <c r="O15">
        <v>0.39711381615460301</v>
      </c>
      <c r="P15">
        <v>-0.156152481952853</v>
      </c>
      <c r="Q15">
        <f t="shared" si="1"/>
        <v>0.156152481952853</v>
      </c>
      <c r="R15" s="146"/>
      <c r="S15" s="152"/>
      <c r="T15" s="146"/>
      <c r="U15" s="146"/>
      <c r="V15" s="153"/>
      <c r="W15" s="133">
        <f t="shared" si="2"/>
        <v>0</v>
      </c>
      <c r="X15" s="133">
        <f t="shared" si="3"/>
        <v>9.7144514654701197E-16</v>
      </c>
      <c r="Z15">
        <f t="shared" si="4"/>
        <v>-2.3191660311166984E-2</v>
      </c>
      <c r="AA15">
        <f t="shared" si="4"/>
        <v>6.5928167077413002E-2</v>
      </c>
      <c r="AC15">
        <v>3.25</v>
      </c>
      <c r="AD15">
        <v>-0.37392335017320999</v>
      </c>
      <c r="AE15">
        <v>0.222081704843164</v>
      </c>
      <c r="AF15">
        <v>0.43490108695058899</v>
      </c>
      <c r="AG15">
        <v>0</v>
      </c>
      <c r="AH15">
        <v>3.25</v>
      </c>
      <c r="AI15">
        <v>99</v>
      </c>
      <c r="AJ15">
        <v>0</v>
      </c>
      <c r="AK15">
        <v>0</v>
      </c>
      <c r="AL15" t="s">
        <v>18</v>
      </c>
      <c r="AN15" s="9"/>
      <c r="AO15" s="9"/>
      <c r="AP15">
        <v>13</v>
      </c>
      <c r="AQ15" t="s">
        <v>441</v>
      </c>
      <c r="AR15">
        <v>-0.39711501048437697</v>
      </c>
      <c r="AS15">
        <v>0.156153537765751</v>
      </c>
      <c r="AT15">
        <v>0.42671332169123399</v>
      </c>
      <c r="AU15" s="44">
        <v>6.3637559999999999E-9</v>
      </c>
      <c r="AV15" s="44">
        <v>2.269077E-11</v>
      </c>
      <c r="AW15">
        <v>1</v>
      </c>
      <c r="AX15" s="44">
        <v>-0.37392335017320999</v>
      </c>
      <c r="AY15" s="44">
        <v>0.222081704843164</v>
      </c>
      <c r="AZ15">
        <v>15000</v>
      </c>
      <c r="BA15">
        <v>16</v>
      </c>
      <c r="BB15">
        <v>1</v>
      </c>
      <c r="BC15">
        <v>1</v>
      </c>
      <c r="BD15">
        <v>1</v>
      </c>
      <c r="BE15">
        <v>0.01</v>
      </c>
      <c r="BF15">
        <v>16</v>
      </c>
      <c r="BG15">
        <v>0</v>
      </c>
      <c r="BH15">
        <v>3.25</v>
      </c>
      <c r="BI15" t="s">
        <v>444</v>
      </c>
      <c r="BJ15">
        <v>282.5</v>
      </c>
      <c r="BK15" t="s">
        <v>457</v>
      </c>
    </row>
    <row r="16" spans="1:63" x14ac:dyDescent="0.3">
      <c r="A16">
        <v>15</v>
      </c>
      <c r="B16" s="132">
        <v>3.5</v>
      </c>
      <c r="C16" s="128">
        <v>-0.43489370505066832</v>
      </c>
      <c r="D16" s="148">
        <v>-2.5339175413038074E-3</v>
      </c>
      <c r="E16" s="160">
        <v>3.5</v>
      </c>
      <c r="F16" s="160">
        <v>-0.424757734</v>
      </c>
      <c r="G16" s="160">
        <v>-2.1026185999999999E-3</v>
      </c>
      <c r="H16" s="145">
        <f t="shared" si="0"/>
        <v>7.9511216828858811E-2</v>
      </c>
      <c r="I16" s="51">
        <v>3.5</v>
      </c>
      <c r="J16" s="110">
        <v>-2.89070596446911</v>
      </c>
      <c r="K16">
        <v>8.1613835428858805E-2</v>
      </c>
      <c r="L16" s="110">
        <v>-0.68527836312804602</v>
      </c>
      <c r="M16" s="165"/>
      <c r="N16">
        <v>3.5</v>
      </c>
      <c r="O16">
        <v>0.41753716332044499</v>
      </c>
      <c r="P16">
        <v>8.1613835428858805E-2</v>
      </c>
      <c r="Q16">
        <f t="shared" si="1"/>
        <v>-8.1613835428858805E-2</v>
      </c>
      <c r="R16" s="145"/>
      <c r="S16" s="150"/>
      <c r="T16" s="145"/>
      <c r="U16" s="145"/>
      <c r="V16" s="151"/>
      <c r="W16" s="133">
        <f t="shared" si="2"/>
        <v>0</v>
      </c>
      <c r="X16" s="133">
        <f t="shared" si="3"/>
        <v>2.2551405187698492E-17</v>
      </c>
      <c r="Z16">
        <f t="shared" si="4"/>
        <v>1.7356649824944004E-2</v>
      </c>
      <c r="AA16">
        <f t="shared" si="4"/>
        <v>-7.9079542555412274E-2</v>
      </c>
      <c r="AC16">
        <v>3.5</v>
      </c>
      <c r="AD16" s="134">
        <v>-0.43489370505066799</v>
      </c>
      <c r="AE16">
        <v>-2.53391754130383E-3</v>
      </c>
      <c r="AF16">
        <v>0.43490108695058899</v>
      </c>
      <c r="AG16">
        <v>0</v>
      </c>
      <c r="AH16">
        <v>3.5</v>
      </c>
      <c r="AI16">
        <v>99</v>
      </c>
      <c r="AJ16">
        <v>0</v>
      </c>
      <c r="AK16">
        <v>0</v>
      </c>
      <c r="AL16" t="s">
        <v>18</v>
      </c>
      <c r="AN16" s="9"/>
      <c r="AO16" s="9"/>
      <c r="AP16">
        <v>14</v>
      </c>
      <c r="AQ16" t="s">
        <v>441</v>
      </c>
      <c r="AR16" s="134">
        <v>-0.41753705522572399</v>
      </c>
      <c r="AS16">
        <v>-8.1613460096716106E-2</v>
      </c>
      <c r="AT16">
        <v>0.42543853769437501</v>
      </c>
      <c r="AU16" s="44">
        <v>5.2324999999999999E-9</v>
      </c>
      <c r="AV16" s="44">
        <v>1.451157E-11</v>
      </c>
      <c r="AW16">
        <v>1</v>
      </c>
      <c r="AX16" s="44">
        <v>-0.43489370505066799</v>
      </c>
      <c r="AY16" s="44">
        <v>-2.5339175413038001E-3</v>
      </c>
      <c r="AZ16">
        <v>15000</v>
      </c>
      <c r="BA16">
        <v>16</v>
      </c>
      <c r="BB16">
        <v>1</v>
      </c>
      <c r="BC16">
        <v>1</v>
      </c>
      <c r="BD16">
        <v>1</v>
      </c>
      <c r="BE16">
        <v>0.01</v>
      </c>
      <c r="BF16">
        <v>16</v>
      </c>
      <c r="BG16">
        <v>0</v>
      </c>
      <c r="BH16">
        <v>3.5</v>
      </c>
      <c r="BI16" t="s">
        <v>444</v>
      </c>
      <c r="BJ16">
        <v>288.5</v>
      </c>
      <c r="BK16" t="s">
        <v>458</v>
      </c>
    </row>
    <row r="17" spans="1:63" x14ac:dyDescent="0.3">
      <c r="A17">
        <v>16</v>
      </c>
      <c r="B17" s="132">
        <v>3.75</v>
      </c>
      <c r="C17" s="129">
        <v>-0.36192704155485067</v>
      </c>
      <c r="D17" s="149">
        <v>-0.24113849137405924</v>
      </c>
      <c r="E17" s="160">
        <v>3.75</v>
      </c>
      <c r="F17" s="160">
        <v>-0.35246341549999999</v>
      </c>
      <c r="G17" s="160">
        <v>-0.23438888799999999</v>
      </c>
      <c r="H17" s="145">
        <f t="shared" si="0"/>
        <v>7.0637081035589994E-2</v>
      </c>
      <c r="I17" s="51">
        <v>3.75</v>
      </c>
      <c r="J17" s="110">
        <v>-0.29947851555650701</v>
      </c>
      <c r="K17" s="110">
        <v>-0.31288128786402097</v>
      </c>
      <c r="L17" s="165"/>
      <c r="M17" s="165"/>
      <c r="N17">
        <v>3.75</v>
      </c>
      <c r="O17">
        <v>0.29461582507657402</v>
      </c>
      <c r="P17">
        <v>0.30502596903558998</v>
      </c>
      <c r="Q17">
        <f t="shared" si="1"/>
        <v>-0.30502596903558998</v>
      </c>
      <c r="R17" s="146"/>
      <c r="S17" s="152"/>
      <c r="T17" s="146"/>
      <c r="U17" s="146"/>
      <c r="V17" s="153"/>
      <c r="W17" s="133">
        <f t="shared" si="2"/>
        <v>-6.6613381477509392E-16</v>
      </c>
      <c r="X17" s="133">
        <f t="shared" si="3"/>
        <v>-2.4980018054066022E-16</v>
      </c>
      <c r="Z17">
        <f t="shared" si="4"/>
        <v>6.7311659546890001E-2</v>
      </c>
      <c r="AA17">
        <f t="shared" si="4"/>
        <v>-6.3888029232969018E-2</v>
      </c>
      <c r="AC17">
        <v>3.75</v>
      </c>
      <c r="AD17">
        <v>-0.36192704155485</v>
      </c>
      <c r="AE17">
        <v>-0.24113849137405899</v>
      </c>
      <c r="AF17">
        <v>0.43490108695058899</v>
      </c>
      <c r="AG17">
        <v>0</v>
      </c>
      <c r="AH17">
        <v>3.75</v>
      </c>
      <c r="AI17">
        <v>99</v>
      </c>
      <c r="AJ17">
        <v>0</v>
      </c>
      <c r="AK17">
        <v>0</v>
      </c>
      <c r="AL17" t="s">
        <v>18</v>
      </c>
      <c r="AN17" s="9"/>
      <c r="AO17" s="9"/>
      <c r="AP17">
        <v>15</v>
      </c>
      <c r="AQ17" t="s">
        <v>441</v>
      </c>
      <c r="AR17">
        <v>-0.29461538200796</v>
      </c>
      <c r="AS17">
        <v>-0.30502652060702801</v>
      </c>
      <c r="AT17">
        <v>0.424074759434379</v>
      </c>
      <c r="AU17" s="44">
        <v>6.6784300000000001E-9</v>
      </c>
      <c r="AV17" s="44">
        <v>2.439135E-11</v>
      </c>
      <c r="AW17">
        <v>1</v>
      </c>
      <c r="AX17" s="44">
        <v>-0.36192704155485</v>
      </c>
      <c r="AY17" s="44">
        <v>-0.24113849137405899</v>
      </c>
      <c r="AZ17">
        <v>15000</v>
      </c>
      <c r="BA17">
        <v>16</v>
      </c>
      <c r="BB17">
        <v>1</v>
      </c>
      <c r="BC17">
        <v>1</v>
      </c>
      <c r="BD17">
        <v>1</v>
      </c>
      <c r="BE17">
        <v>0.01</v>
      </c>
      <c r="BF17">
        <v>16</v>
      </c>
      <c r="BG17">
        <v>0</v>
      </c>
      <c r="BH17">
        <v>3.75</v>
      </c>
      <c r="BI17" t="s">
        <v>444</v>
      </c>
      <c r="BJ17">
        <v>283.2</v>
      </c>
      <c r="BK17" t="s">
        <v>459</v>
      </c>
    </row>
    <row r="18" spans="1:63" s="9" customFormat="1" x14ac:dyDescent="0.3">
      <c r="A18">
        <v>17</v>
      </c>
      <c r="B18" s="132">
        <v>4</v>
      </c>
      <c r="C18" s="128">
        <v>-0.15363019665698829</v>
      </c>
      <c r="D18" s="148">
        <v>-0.40686203817257138</v>
      </c>
      <c r="E18" s="160">
        <v>4</v>
      </c>
      <c r="F18" s="160">
        <v>-0.14931278170000001</v>
      </c>
      <c r="G18" s="160">
        <v>-0.39438872069999997</v>
      </c>
      <c r="H18" s="145">
        <f t="shared" si="0"/>
        <v>2.5380961089522036E-2</v>
      </c>
      <c r="I18" s="51">
        <v>4</v>
      </c>
      <c r="J18" s="110">
        <v>-0.103987800170509</v>
      </c>
      <c r="K18" s="110">
        <v>-0.43229662445834599</v>
      </c>
      <c r="L18" s="165"/>
      <c r="M18" s="165"/>
      <c r="N18">
        <v>4</v>
      </c>
      <c r="O18">
        <v>4.9024169566766099E-2</v>
      </c>
      <c r="P18">
        <v>0.41976968178952201</v>
      </c>
      <c r="Q18">
        <f t="shared" si="1"/>
        <v>-0.41976968178952201</v>
      </c>
      <c r="R18" s="145">
        <f>O18+T18</f>
        <v>-1.1970182555026687E-6</v>
      </c>
      <c r="S18" s="154">
        <v>4</v>
      </c>
      <c r="T18">
        <v>-4.9025366585021601E-2</v>
      </c>
      <c r="U18">
        <v>-0.41976772151483999</v>
      </c>
      <c r="V18" s="151">
        <f>T18+AR18</f>
        <v>-1.0406719270009135E-6</v>
      </c>
      <c r="W18" s="133">
        <f t="shared" si="2"/>
        <v>-3.0531133177191805E-16</v>
      </c>
      <c r="X18" s="133">
        <f t="shared" si="3"/>
        <v>0</v>
      </c>
      <c r="Z18">
        <f t="shared" si="4"/>
        <v>0.10460587074389338</v>
      </c>
      <c r="AA18">
        <f t="shared" si="4"/>
        <v>-1.2907857939779999E-2</v>
      </c>
      <c r="AC18" s="9">
        <v>4</v>
      </c>
      <c r="AD18" s="9">
        <v>-0.15363019665698799</v>
      </c>
      <c r="AE18" s="9">
        <v>-0.40686203817257099</v>
      </c>
      <c r="AF18" s="9">
        <v>0.43490108695058899</v>
      </c>
      <c r="AG18" s="9">
        <v>0</v>
      </c>
      <c r="AH18" s="9">
        <v>4</v>
      </c>
      <c r="AI18" s="9">
        <v>45</v>
      </c>
      <c r="AJ18" s="9">
        <v>0</v>
      </c>
      <c r="AK18" s="9">
        <v>0</v>
      </c>
      <c r="AL18" s="9" t="s">
        <v>18</v>
      </c>
      <c r="AP18">
        <v>16</v>
      </c>
      <c r="AQ18" s="9" t="s">
        <v>441</v>
      </c>
      <c r="AR18" s="9">
        <v>4.90243259130946E-2</v>
      </c>
      <c r="AS18" s="9">
        <v>0.41976989611235099</v>
      </c>
      <c r="AT18" s="9">
        <v>0.42262294094548097</v>
      </c>
      <c r="AU18" s="127">
        <v>7.5927209999999993E-9</v>
      </c>
      <c r="AV18" s="127">
        <v>2.912738E-11</v>
      </c>
      <c r="AW18" s="9">
        <v>1</v>
      </c>
      <c r="AX18" s="127">
        <v>-0.15363019665698799</v>
      </c>
      <c r="AY18" s="127">
        <v>-0.40686203817257099</v>
      </c>
      <c r="AZ18" s="9">
        <v>15000</v>
      </c>
      <c r="BA18" s="9">
        <v>16</v>
      </c>
      <c r="BB18" s="9">
        <v>1</v>
      </c>
      <c r="BC18" s="9">
        <v>1</v>
      </c>
      <c r="BD18" s="9">
        <v>1</v>
      </c>
      <c r="BE18" s="9">
        <v>0.01</v>
      </c>
      <c r="BF18" s="9">
        <v>16</v>
      </c>
      <c r="BG18" s="9">
        <v>0</v>
      </c>
      <c r="BH18" s="9">
        <v>4</v>
      </c>
      <c r="BI18" s="9" t="s">
        <v>444</v>
      </c>
      <c r="BJ18" s="9">
        <v>282</v>
      </c>
      <c r="BK18" s="9" t="s">
        <v>460</v>
      </c>
    </row>
    <row r="19" spans="1:63" x14ac:dyDescent="0.3">
      <c r="A19">
        <v>18</v>
      </c>
      <c r="B19" s="132">
        <v>4.25</v>
      </c>
      <c r="C19" s="129">
        <v>0.12898390421313688</v>
      </c>
      <c r="D19" s="149">
        <v>-0.41533373073317814</v>
      </c>
      <c r="E19" s="160">
        <v>4.25</v>
      </c>
      <c r="F19" s="160">
        <v>0.1242269879</v>
      </c>
      <c r="G19" s="160">
        <v>-0.40124498359999999</v>
      </c>
      <c r="H19" s="145">
        <f t="shared" si="0"/>
        <v>-4.8465665790401014E-2</v>
      </c>
      <c r="I19" s="51">
        <v>4.25</v>
      </c>
      <c r="J19" s="110">
        <v>0.23657729659027499</v>
      </c>
      <c r="K19" s="110">
        <v>-0.36260337920802399</v>
      </c>
      <c r="L19" s="165"/>
      <c r="M19" s="165"/>
      <c r="N19">
        <v>4.25</v>
      </c>
      <c r="O19">
        <v>-0.22990424647399399</v>
      </c>
      <c r="P19">
        <v>0.35277931780959898</v>
      </c>
      <c r="Q19">
        <f t="shared" si="1"/>
        <v>-0.35277931780959898</v>
      </c>
      <c r="R19" s="146">
        <f>O19-T19</f>
        <v>-3.6393840799342492E-7</v>
      </c>
      <c r="S19" s="154">
        <v>4.25</v>
      </c>
      <c r="T19">
        <v>-0.229903882535586</v>
      </c>
      <c r="U19">
        <v>0.35277740010666803</v>
      </c>
      <c r="V19" s="151">
        <f t="shared" ref="V19:V22" si="6">T19+AR19</f>
        <v>7.6855817901511081E-7</v>
      </c>
      <c r="W19" s="133">
        <f t="shared" si="2"/>
        <v>8.8817841970012523E-16</v>
      </c>
      <c r="X19" s="133">
        <f t="shared" si="3"/>
        <v>0</v>
      </c>
      <c r="Z19">
        <f t="shared" si="4"/>
        <v>-0.10092074688062902</v>
      </c>
      <c r="AA19">
        <f t="shared" si="4"/>
        <v>6.2553987532630972E-2</v>
      </c>
      <c r="AC19">
        <v>4.25</v>
      </c>
      <c r="AD19">
        <v>0.12898390421313599</v>
      </c>
      <c r="AE19">
        <v>-0.41533373073317797</v>
      </c>
      <c r="AF19">
        <v>0.43490108695058899</v>
      </c>
      <c r="AG19">
        <v>0</v>
      </c>
      <c r="AH19">
        <v>4.25</v>
      </c>
      <c r="AI19">
        <v>99</v>
      </c>
      <c r="AJ19">
        <v>0</v>
      </c>
      <c r="AK19">
        <v>0</v>
      </c>
      <c r="AL19" t="s">
        <v>18</v>
      </c>
      <c r="AN19" s="9"/>
      <c r="AO19" s="9"/>
      <c r="AP19">
        <v>17</v>
      </c>
      <c r="AQ19" t="s">
        <v>441</v>
      </c>
      <c r="AR19">
        <v>0.22990465109376501</v>
      </c>
      <c r="AS19">
        <v>-0.352779743200547</v>
      </c>
      <c r="AT19">
        <v>0.42108157856547201</v>
      </c>
      <c r="AU19" s="44">
        <v>8.3498159999999996E-9</v>
      </c>
      <c r="AV19" s="44">
        <v>3.6981039999999997E-11</v>
      </c>
      <c r="AW19">
        <v>1</v>
      </c>
      <c r="AX19" s="44">
        <v>0.12898390421313599</v>
      </c>
      <c r="AY19" s="44">
        <v>-0.41533373073317797</v>
      </c>
      <c r="AZ19">
        <v>15000</v>
      </c>
      <c r="BA19">
        <v>16</v>
      </c>
      <c r="BB19">
        <v>1</v>
      </c>
      <c r="BC19">
        <v>1</v>
      </c>
      <c r="BD19">
        <v>1</v>
      </c>
      <c r="BE19">
        <v>0.01</v>
      </c>
      <c r="BF19">
        <v>16</v>
      </c>
      <c r="BG19">
        <v>0</v>
      </c>
      <c r="BH19">
        <v>4.25</v>
      </c>
      <c r="BI19" t="s">
        <v>444</v>
      </c>
      <c r="BJ19">
        <v>282.39999999999998</v>
      </c>
      <c r="BK19" t="s">
        <v>461</v>
      </c>
    </row>
    <row r="20" spans="1:63" x14ac:dyDescent="0.3">
      <c r="A20">
        <v>19</v>
      </c>
      <c r="B20" s="132">
        <v>4.5</v>
      </c>
      <c r="C20" s="128">
        <v>0.36675359306684424</v>
      </c>
      <c r="D20" s="148">
        <v>-0.23373223441229377</v>
      </c>
      <c r="E20" s="160">
        <v>4.5</v>
      </c>
      <c r="F20" s="160">
        <v>0.35253421400000001</v>
      </c>
      <c r="G20" s="160">
        <v>-0.22509890129999999</v>
      </c>
      <c r="H20" s="145">
        <f t="shared" si="0"/>
        <v>-0.11833936406649098</v>
      </c>
      <c r="I20" s="51">
        <v>4.5</v>
      </c>
      <c r="J20" s="110">
        <v>0.38523563824152102</v>
      </c>
      <c r="K20" s="110">
        <v>0.33513050735565297</v>
      </c>
      <c r="L20" s="165"/>
      <c r="M20" s="165"/>
      <c r="N20">
        <v>4.5</v>
      </c>
      <c r="O20">
        <v>-0.40563724001720097</v>
      </c>
      <c r="P20">
        <v>0.10675953723350901</v>
      </c>
      <c r="Q20">
        <f t="shared" si="1"/>
        <v>-0.10675953723350901</v>
      </c>
      <c r="R20" s="145"/>
      <c r="S20" s="154">
        <v>4.5</v>
      </c>
      <c r="T20">
        <v>0.40563748776630099</v>
      </c>
      <c r="U20">
        <v>-0.1067625805634</v>
      </c>
      <c r="V20" s="151"/>
      <c r="W20" s="133">
        <f t="shared" si="2"/>
        <v>0</v>
      </c>
      <c r="X20" s="133">
        <f t="shared" si="3"/>
        <v>-7.7715611723760958E-16</v>
      </c>
      <c r="Z20">
        <f t="shared" si="4"/>
        <v>-3.8885789559793993E-2</v>
      </c>
      <c r="AA20">
        <f t="shared" si="4"/>
        <v>0.12697263464270997</v>
      </c>
      <c r="AC20">
        <v>4.5</v>
      </c>
      <c r="AD20">
        <v>0.36675359306684402</v>
      </c>
      <c r="AE20">
        <v>-0.23373223441229299</v>
      </c>
      <c r="AF20">
        <v>0.43490108695058899</v>
      </c>
      <c r="AG20">
        <v>0</v>
      </c>
      <c r="AH20">
        <v>4.5</v>
      </c>
      <c r="AI20">
        <v>99</v>
      </c>
      <c r="AJ20">
        <v>0</v>
      </c>
      <c r="AK20">
        <v>0</v>
      </c>
      <c r="AL20" t="s">
        <v>18</v>
      </c>
      <c r="AN20" s="9"/>
      <c r="AO20" s="9"/>
      <c r="AP20">
        <v>18</v>
      </c>
      <c r="AQ20" t="s">
        <v>441</v>
      </c>
      <c r="AR20">
        <v>0.40563938262663801</v>
      </c>
      <c r="AS20">
        <v>-0.10675959976958301</v>
      </c>
      <c r="AT20">
        <v>0.41945312119554201</v>
      </c>
      <c r="AU20" s="44">
        <v>7.1813839999999999E-9</v>
      </c>
      <c r="AV20" s="44">
        <v>3.1670589999999997E-11</v>
      </c>
      <c r="AW20">
        <v>1</v>
      </c>
      <c r="AX20" s="44">
        <v>0.36675359306684402</v>
      </c>
      <c r="AY20" s="44">
        <v>-0.23373223441229299</v>
      </c>
      <c r="AZ20">
        <v>15000</v>
      </c>
      <c r="BA20">
        <v>16</v>
      </c>
      <c r="BB20">
        <v>1</v>
      </c>
      <c r="BC20">
        <v>1</v>
      </c>
      <c r="BD20">
        <v>1</v>
      </c>
      <c r="BE20">
        <v>0.01</v>
      </c>
      <c r="BF20">
        <v>16</v>
      </c>
      <c r="BG20">
        <v>0</v>
      </c>
      <c r="BH20">
        <v>4.5</v>
      </c>
      <c r="BI20" t="s">
        <v>444</v>
      </c>
      <c r="BJ20">
        <v>287.89999999999998</v>
      </c>
      <c r="BK20" t="s">
        <v>462</v>
      </c>
    </row>
    <row r="21" spans="1:63" x14ac:dyDescent="0.3">
      <c r="A21">
        <v>20</v>
      </c>
      <c r="B21" s="132">
        <v>4.75</v>
      </c>
      <c r="C21" s="129">
        <v>0.42825683585732899</v>
      </c>
      <c r="D21" s="149">
        <v>7.5730033489182003E-2</v>
      </c>
      <c r="E21" s="160">
        <v>4.75</v>
      </c>
      <c r="F21" s="160">
        <v>0.41011232609999998</v>
      </c>
      <c r="G21" s="160">
        <v>7.2157464700000007E-2</v>
      </c>
      <c r="H21" s="145">
        <f t="shared" si="0"/>
        <v>-0.13561601101052601</v>
      </c>
      <c r="I21" s="51">
        <v>4.75</v>
      </c>
      <c r="J21" s="110">
        <v>0.29751718232728402</v>
      </c>
      <c r="K21" s="110">
        <v>0.75669127149900695</v>
      </c>
      <c r="L21" s="165"/>
      <c r="M21" s="165"/>
      <c r="N21">
        <v>4.75</v>
      </c>
      <c r="O21">
        <v>-0.36240131612648602</v>
      </c>
      <c r="P21">
        <v>-0.20777347571052601</v>
      </c>
      <c r="Q21">
        <f t="shared" si="1"/>
        <v>0.20777347571052601</v>
      </c>
      <c r="R21" s="146"/>
      <c r="S21" s="154">
        <v>4.75</v>
      </c>
      <c r="T21">
        <v>0.36240084042250198</v>
      </c>
      <c r="U21">
        <v>0.20777350441123599</v>
      </c>
      <c r="V21" s="151"/>
      <c r="W21" s="133">
        <f t="shared" si="2"/>
        <v>0</v>
      </c>
      <c r="X21" s="133">
        <f t="shared" si="3"/>
        <v>0</v>
      </c>
      <c r="Z21">
        <f t="shared" si="4"/>
        <v>6.5853475201687994E-2</v>
      </c>
      <c r="AA21">
        <f t="shared" si="4"/>
        <v>-0.13204460452074207</v>
      </c>
      <c r="AC21">
        <v>4.75</v>
      </c>
      <c r="AD21">
        <v>0.42825683585732899</v>
      </c>
      <c r="AE21">
        <v>7.5730033489181905E-2</v>
      </c>
      <c r="AF21">
        <v>0.43490108695058899</v>
      </c>
      <c r="AG21">
        <v>0</v>
      </c>
      <c r="AH21">
        <v>4.75</v>
      </c>
      <c r="AI21">
        <v>99</v>
      </c>
      <c r="AJ21">
        <v>0</v>
      </c>
      <c r="AK21">
        <v>0</v>
      </c>
      <c r="AL21" t="s">
        <v>18</v>
      </c>
      <c r="AN21" s="9"/>
      <c r="AO21" s="9"/>
      <c r="AP21">
        <v>19</v>
      </c>
      <c r="AQ21" t="s">
        <v>441</v>
      </c>
      <c r="AR21">
        <v>0.36240336065564099</v>
      </c>
      <c r="AS21">
        <v>0.20777463800992399</v>
      </c>
      <c r="AT21">
        <v>0.41773974674988501</v>
      </c>
      <c r="AU21" s="44">
        <v>7.6164050000000002E-9</v>
      </c>
      <c r="AV21" s="44">
        <v>3.5496179999999999E-11</v>
      </c>
      <c r="AW21">
        <v>1</v>
      </c>
      <c r="AX21" s="44">
        <v>0.42825683585732799</v>
      </c>
      <c r="AY21" s="44">
        <v>7.5730033489181905E-2</v>
      </c>
      <c r="AZ21">
        <v>15000</v>
      </c>
      <c r="BA21">
        <v>16</v>
      </c>
      <c r="BB21">
        <v>1</v>
      </c>
      <c r="BC21">
        <v>1</v>
      </c>
      <c r="BD21">
        <v>1</v>
      </c>
      <c r="BE21">
        <v>0.01</v>
      </c>
      <c r="BF21">
        <v>16</v>
      </c>
      <c r="BG21">
        <v>0</v>
      </c>
      <c r="BH21">
        <v>4.75</v>
      </c>
      <c r="BI21" t="s">
        <v>444</v>
      </c>
      <c r="BJ21">
        <v>281.89999999999998</v>
      </c>
      <c r="BK21" t="s">
        <v>463</v>
      </c>
    </row>
    <row r="22" spans="1:63" x14ac:dyDescent="0.3">
      <c r="A22">
        <v>21</v>
      </c>
      <c r="B22" s="132">
        <v>5</v>
      </c>
      <c r="C22" s="128">
        <v>0.2502879536658365</v>
      </c>
      <c r="D22" s="148">
        <v>0.35566120913106603</v>
      </c>
      <c r="E22" s="160">
        <v>5</v>
      </c>
      <c r="F22" s="160">
        <v>0.23881561949999999</v>
      </c>
      <c r="G22" s="160">
        <v>0.33874163369999999</v>
      </c>
      <c r="H22" s="145">
        <f t="shared" si="0"/>
        <v>-6.6219744810444015E-2</v>
      </c>
      <c r="I22" s="51">
        <v>5</v>
      </c>
      <c r="J22" s="110">
        <v>9.0424038282531594E-2</v>
      </c>
      <c r="K22" s="110">
        <v>0.42063658365697598</v>
      </c>
      <c r="L22" s="165"/>
      <c r="M22" s="165"/>
      <c r="N22">
        <v>5</v>
      </c>
      <c r="O22">
        <v>-9.4923450287670796E-2</v>
      </c>
      <c r="P22">
        <v>-0.404961378510444</v>
      </c>
      <c r="Q22">
        <f t="shared" si="1"/>
        <v>0.404961378510444</v>
      </c>
      <c r="R22" s="145"/>
      <c r="S22" s="154">
        <v>5</v>
      </c>
      <c r="T22">
        <v>9.4924421149018903E-2</v>
      </c>
      <c r="U22">
        <v>0.40495945004648898</v>
      </c>
      <c r="V22" s="151">
        <f t="shared" si="6"/>
        <v>9.8161524320072857E-7</v>
      </c>
      <c r="W22" s="133">
        <f t="shared" si="2"/>
        <v>1.4988010832439613E-15</v>
      </c>
      <c r="X22" s="133">
        <f t="shared" si="3"/>
        <v>0</v>
      </c>
      <c r="Z22">
        <f t="shared" si="4"/>
        <v>0.15536451413205932</v>
      </c>
      <c r="AA22">
        <f t="shared" si="4"/>
        <v>-4.9300153421230952E-2</v>
      </c>
      <c r="AC22">
        <v>5</v>
      </c>
      <c r="AD22">
        <v>0.25028795366583501</v>
      </c>
      <c r="AE22">
        <v>0.35566120913106603</v>
      </c>
      <c r="AF22">
        <v>0.43490108695058899</v>
      </c>
      <c r="AG22">
        <v>0</v>
      </c>
      <c r="AH22">
        <v>5</v>
      </c>
      <c r="AI22">
        <v>45</v>
      </c>
      <c r="AJ22">
        <v>0</v>
      </c>
      <c r="AK22">
        <v>0</v>
      </c>
      <c r="AL22" t="s">
        <v>18</v>
      </c>
      <c r="AN22" s="9"/>
      <c r="AO22" s="9"/>
      <c r="AP22">
        <v>20</v>
      </c>
      <c r="AQ22" t="s">
        <v>441</v>
      </c>
      <c r="AR22">
        <v>-9.4923439533775703E-2</v>
      </c>
      <c r="AS22">
        <v>-0.40496136255229698</v>
      </c>
      <c r="AT22">
        <v>0.41593769309012502</v>
      </c>
      <c r="AU22" s="44">
        <v>7.2665409999999999E-9</v>
      </c>
      <c r="AV22" s="44">
        <v>3.6573950000000002E-11</v>
      </c>
      <c r="AW22">
        <v>1</v>
      </c>
      <c r="AX22" s="44">
        <v>0.25028795366583501</v>
      </c>
      <c r="AY22" s="44">
        <v>0.35566120913106603</v>
      </c>
      <c r="AZ22">
        <v>15000</v>
      </c>
      <c r="BA22">
        <v>16</v>
      </c>
      <c r="BB22">
        <v>1</v>
      </c>
      <c r="BC22">
        <v>1</v>
      </c>
      <c r="BD22">
        <v>1</v>
      </c>
      <c r="BE22">
        <v>0.01</v>
      </c>
      <c r="BF22">
        <v>16</v>
      </c>
      <c r="BG22">
        <v>0</v>
      </c>
      <c r="BH22">
        <v>5</v>
      </c>
      <c r="BI22" t="s">
        <v>444</v>
      </c>
      <c r="BJ22">
        <v>947</v>
      </c>
      <c r="BK22" t="s">
        <v>464</v>
      </c>
    </row>
    <row r="23" spans="1:63" x14ac:dyDescent="0.3">
      <c r="A23">
        <v>22</v>
      </c>
      <c r="B23" s="132">
        <v>5.25</v>
      </c>
      <c r="C23" s="129">
        <v>-9.0429339268449607E-2</v>
      </c>
      <c r="D23" s="149">
        <v>0.42539568642650277</v>
      </c>
      <c r="E23" s="160">
        <v>5.25</v>
      </c>
      <c r="F23" s="160">
        <v>-8.5411012199999997E-2</v>
      </c>
      <c r="G23" s="160">
        <v>0.40348106189999999</v>
      </c>
      <c r="H23" s="145">
        <f t="shared" si="0"/>
        <v>6.9350182960007001E-2</v>
      </c>
      <c r="I23" s="51">
        <v>5.25</v>
      </c>
      <c r="J23" s="110">
        <v>-0.25580446727247502</v>
      </c>
      <c r="K23" s="110">
        <v>0.34901680185230399</v>
      </c>
      <c r="L23" s="165"/>
      <c r="M23" s="165"/>
      <c r="N23">
        <v>5.25</v>
      </c>
      <c r="O23">
        <v>0.244533681491414</v>
      </c>
      <c r="P23">
        <v>-0.33413087893999299</v>
      </c>
      <c r="Q23">
        <f t="shared" si="1"/>
        <v>0.33413087893999299</v>
      </c>
      <c r="R23" s="146"/>
      <c r="S23" s="154">
        <v>5.25</v>
      </c>
      <c r="T23">
        <v>-0.24453299311260601</v>
      </c>
      <c r="U23">
        <v>0.33413457304119498</v>
      </c>
      <c r="V23" s="151"/>
      <c r="W23" s="133">
        <f t="shared" si="2"/>
        <v>-4.0245584642661925E-16</v>
      </c>
      <c r="X23" s="133">
        <f t="shared" si="3"/>
        <v>7.7715611723760958E-16</v>
      </c>
      <c r="AC23">
        <v>5.25</v>
      </c>
      <c r="AD23">
        <v>-9.0429339268449205E-2</v>
      </c>
      <c r="AE23">
        <v>0.425395686426502</v>
      </c>
      <c r="AF23">
        <v>0.43490108695058899</v>
      </c>
      <c r="AP23">
        <v>21</v>
      </c>
    </row>
    <row r="24" spans="1:63" x14ac:dyDescent="0.3">
      <c r="A24">
        <v>23</v>
      </c>
      <c r="B24" s="132">
        <v>5.5</v>
      </c>
      <c r="C24" s="128">
        <v>-0.38196867215320141</v>
      </c>
      <c r="D24" s="148">
        <v>0.2079396280758527</v>
      </c>
      <c r="E24" s="160">
        <v>5.5</v>
      </c>
      <c r="F24" s="160">
        <v>-0.36018935169999999</v>
      </c>
      <c r="G24" s="160">
        <v>0.19647993010000001</v>
      </c>
      <c r="H24" s="145">
        <f t="shared" si="0"/>
        <v>0.1820866987572457</v>
      </c>
      <c r="I24" s="51">
        <v>5.5</v>
      </c>
      <c r="J24" s="110">
        <v>-0.43168734232761702</v>
      </c>
      <c r="K24" s="110">
        <v>6.0115151052851298E-2</v>
      </c>
      <c r="L24" s="165"/>
      <c r="M24" s="165"/>
      <c r="N24">
        <v>5.5</v>
      </c>
      <c r="O24">
        <v>0.411836052588887</v>
      </c>
      <c r="P24">
        <v>-1.43932313427543E-2</v>
      </c>
      <c r="Q24">
        <f t="shared" si="1"/>
        <v>1.43932313427543E-2</v>
      </c>
      <c r="R24" s="145"/>
      <c r="S24" s="154">
        <v>5.5</v>
      </c>
      <c r="T24">
        <v>-0.411836458897477</v>
      </c>
      <c r="U24">
        <v>1.43935559649883E-2</v>
      </c>
      <c r="V24" s="151"/>
      <c r="W24" s="133">
        <f t="shared" si="2"/>
        <v>0</v>
      </c>
      <c r="X24" s="133">
        <f t="shared" si="3"/>
        <v>6.9388939039072284E-16</v>
      </c>
      <c r="AC24">
        <v>5.5</v>
      </c>
      <c r="AD24">
        <v>-0.38196867215320102</v>
      </c>
      <c r="AE24">
        <v>0.20793962807585201</v>
      </c>
      <c r="AF24">
        <v>0.43490108695058899</v>
      </c>
      <c r="AP24">
        <v>22</v>
      </c>
    </row>
    <row r="25" spans="1:63" x14ac:dyDescent="0.3">
      <c r="A25">
        <v>24</v>
      </c>
      <c r="B25" s="132">
        <v>5.75</v>
      </c>
      <c r="C25" s="129">
        <v>-0.39981839191953034</v>
      </c>
      <c r="D25" s="149">
        <v>-0.17112629521404557</v>
      </c>
      <c r="E25" s="160">
        <v>5.75</v>
      </c>
      <c r="F25" s="160">
        <v>-0.37529423670000001</v>
      </c>
      <c r="G25" s="160">
        <v>-0.16025461790000001</v>
      </c>
      <c r="H25" s="145">
        <f t="shared" si="0"/>
        <v>0.16377281300613999</v>
      </c>
      <c r="I25" s="51">
        <v>5.75</v>
      </c>
      <c r="J25" s="110">
        <v>-0.26538851754802401</v>
      </c>
      <c r="K25" s="110">
        <v>-0.34156600375720803</v>
      </c>
      <c r="L25" s="165"/>
      <c r="M25" s="165"/>
      <c r="N25">
        <v>5.75</v>
      </c>
      <c r="O25">
        <v>0.251273604626438</v>
      </c>
      <c r="P25">
        <v>0.32402743090614</v>
      </c>
      <c r="Q25">
        <f t="shared" si="1"/>
        <v>-0.32402743090614</v>
      </c>
      <c r="R25" s="146"/>
      <c r="S25" s="154">
        <v>5.75</v>
      </c>
      <c r="T25">
        <v>0.25127509657988201</v>
      </c>
      <c r="U25">
        <v>0.32402923969829101</v>
      </c>
      <c r="V25" s="151"/>
      <c r="W25" s="133">
        <f t="shared" si="2"/>
        <v>-1.3322676295501878E-15</v>
      </c>
      <c r="X25" s="133">
        <f t="shared" si="3"/>
        <v>4.163336342344337E-16</v>
      </c>
      <c r="AC25">
        <v>5.75</v>
      </c>
      <c r="AD25">
        <v>-0.399818391919529</v>
      </c>
      <c r="AE25">
        <v>-0.17112629521404599</v>
      </c>
      <c r="AF25">
        <v>0.43490108695058899</v>
      </c>
      <c r="AP25">
        <v>23</v>
      </c>
    </row>
    <row r="26" spans="1:63" ht="15" thickBot="1" x14ac:dyDescent="0.35">
      <c r="A26">
        <v>25</v>
      </c>
      <c r="B26" s="132">
        <v>6</v>
      </c>
      <c r="C26" s="128">
        <v>-9.6310638158221898E-2</v>
      </c>
      <c r="D26" s="148">
        <v>-0.42410283706709612</v>
      </c>
      <c r="E26" s="160">
        <v>6</v>
      </c>
      <c r="F26" s="160">
        <v>-9.01933558E-2</v>
      </c>
      <c r="G26" s="160">
        <v>-0.39562519680000002</v>
      </c>
      <c r="H26" s="145">
        <f t="shared" si="0"/>
        <v>-9.5354025850800106E-3</v>
      </c>
      <c r="I26" s="51">
        <v>6</v>
      </c>
      <c r="J26" s="110">
        <v>0.13970751681530999</v>
      </c>
      <c r="K26" s="110">
        <v>-0.40589235802400297</v>
      </c>
      <c r="L26" s="165"/>
      <c r="M26" s="165"/>
      <c r="N26">
        <v>6</v>
      </c>
      <c r="O26">
        <v>-0.13163061578214999</v>
      </c>
      <c r="P26">
        <v>0.38608979421492001</v>
      </c>
      <c r="Q26">
        <f t="shared" si="1"/>
        <v>-0.38608979421492001</v>
      </c>
      <c r="R26" s="145"/>
      <c r="S26" s="155">
        <v>6</v>
      </c>
      <c r="T26" s="156">
        <v>-0.131628854205257</v>
      </c>
      <c r="U26" s="156">
        <v>0.386090620140078</v>
      </c>
      <c r="V26" s="157"/>
      <c r="W26" s="133">
        <f t="shared" si="2"/>
        <v>-1.1934897514720433E-15</v>
      </c>
      <c r="X26" s="133">
        <f t="shared" si="3"/>
        <v>0</v>
      </c>
      <c r="AC26">
        <v>6</v>
      </c>
      <c r="AD26">
        <v>-9.6310638158220704E-2</v>
      </c>
      <c r="AE26">
        <v>-0.42410283706709601</v>
      </c>
      <c r="AF26">
        <v>0.43490108695058899</v>
      </c>
    </row>
    <row r="27" spans="1:63" x14ac:dyDescent="0.3">
      <c r="A27">
        <v>26</v>
      </c>
      <c r="B27" s="132">
        <v>6.25</v>
      </c>
      <c r="C27" s="129">
        <v>0.29958083084489218</v>
      </c>
      <c r="D27" s="130">
        <v>-0.31526224198449121</v>
      </c>
      <c r="E27" s="160">
        <v>6.25</v>
      </c>
      <c r="F27" s="160">
        <v>0.27763008630000002</v>
      </c>
      <c r="G27" s="160">
        <v>-0.29265205500000002</v>
      </c>
      <c r="H27" s="145">
        <f t="shared" si="0"/>
        <v>-0.20728801767708044</v>
      </c>
      <c r="I27" s="51">
        <v>6.25</v>
      </c>
      <c r="J27" s="110">
        <v>0.42210757188655801</v>
      </c>
      <c r="K27" s="110">
        <v>-9.0385509932802005E-2</v>
      </c>
      <c r="L27" s="165"/>
      <c r="M27" s="165"/>
      <c r="N27">
        <v>6.25</v>
      </c>
      <c r="O27">
        <v>-0.39662279887283503</v>
      </c>
      <c r="P27">
        <v>8.5364037322919598E-2</v>
      </c>
      <c r="Q27">
        <f t="shared" si="1"/>
        <v>-8.5364037322919598E-2</v>
      </c>
      <c r="R27" s="146"/>
      <c r="S27" s="146"/>
      <c r="T27" s="146"/>
      <c r="U27" s="146"/>
      <c r="V27" s="146"/>
      <c r="W27" s="133">
        <f t="shared" si="2"/>
        <v>0</v>
      </c>
      <c r="X27" s="133">
        <f t="shared" si="3"/>
        <v>0</v>
      </c>
      <c r="AC27">
        <v>6.25</v>
      </c>
      <c r="AD27">
        <v>0.29958083084489201</v>
      </c>
      <c r="AE27">
        <v>-0.31526224198449099</v>
      </c>
      <c r="AF27">
        <v>0.43490108695058899</v>
      </c>
    </row>
    <row r="28" spans="1:63" x14ac:dyDescent="0.3">
      <c r="A28">
        <v>27</v>
      </c>
      <c r="B28" s="132">
        <v>6.5</v>
      </c>
      <c r="E28" s="160">
        <v>6.5</v>
      </c>
      <c r="F28" s="160">
        <v>0.39197937579999997</v>
      </c>
      <c r="G28" s="160">
        <v>8.4206006E-2</v>
      </c>
      <c r="H28" s="145">
        <f t="shared" si="0"/>
        <v>-0.22159783118266102</v>
      </c>
      <c r="I28" s="51">
        <v>6.5</v>
      </c>
      <c r="J28" s="110">
        <v>0.27641095168922297</v>
      </c>
      <c r="K28" s="110">
        <v>0.33002675604669601</v>
      </c>
      <c r="L28" s="165"/>
      <c r="M28" s="165"/>
      <c r="N28">
        <v>6.5</v>
      </c>
      <c r="O28">
        <v>-0.26311894038828298</v>
      </c>
      <c r="P28">
        <v>-0.30580383718266102</v>
      </c>
      <c r="Q28">
        <f t="shared" si="1"/>
        <v>0.30580383718266102</v>
      </c>
      <c r="W28" s="133"/>
      <c r="X28" s="133"/>
      <c r="AC28">
        <v>6.5</v>
      </c>
      <c r="AD28">
        <v>0.42512444070403799</v>
      </c>
      <c r="AE28">
        <v>9.1696048698305305E-2</v>
      </c>
      <c r="AF28">
        <v>0.43490108695058899</v>
      </c>
    </row>
    <row r="29" spans="1:63" x14ac:dyDescent="0.3">
      <c r="A29">
        <v>28</v>
      </c>
      <c r="B29" s="132">
        <v>6.75</v>
      </c>
      <c r="E29" s="160">
        <v>6.75</v>
      </c>
      <c r="F29" s="160">
        <v>0.1160969122</v>
      </c>
      <c r="G29" s="160">
        <v>0.38108081700000002</v>
      </c>
      <c r="H29" s="145">
        <f t="shared" si="0"/>
        <v>1.2278616028755018E-2</v>
      </c>
      <c r="I29" s="51">
        <v>6.75</v>
      </c>
      <c r="J29" s="110">
        <v>0.42922935668967999</v>
      </c>
      <c r="K29" s="110">
        <v>0.87054781580497698</v>
      </c>
      <c r="L29" s="165"/>
      <c r="M29" s="165"/>
      <c r="N29">
        <v>6.75</v>
      </c>
      <c r="O29">
        <v>0.15758940379325401</v>
      </c>
      <c r="P29">
        <v>-0.368802200971245</v>
      </c>
      <c r="Q29">
        <f t="shared" si="1"/>
        <v>0.368802200971245</v>
      </c>
      <c r="W29" s="133"/>
      <c r="X29" s="133"/>
      <c r="AC29">
        <v>6.75</v>
      </c>
      <c r="AD29">
        <v>0.12639842613082</v>
      </c>
      <c r="AE29">
        <v>0.41612785691714399</v>
      </c>
      <c r="AF29">
        <v>0.43490108695058899</v>
      </c>
    </row>
    <row r="30" spans="1:63" x14ac:dyDescent="0.3">
      <c r="A30">
        <v>29</v>
      </c>
      <c r="B30" s="132">
        <v>7</v>
      </c>
      <c r="E30" s="160">
        <v>7</v>
      </c>
      <c r="F30" s="160">
        <v>-0.28605470900000002</v>
      </c>
      <c r="G30" s="160">
        <v>0.27347175800000001</v>
      </c>
      <c r="H30" s="145">
        <f t="shared" si="0"/>
        <v>0.26924635097429861</v>
      </c>
      <c r="I30" s="51">
        <v>7</v>
      </c>
      <c r="J30" s="110">
        <v>-0.43038826162495503</v>
      </c>
      <c r="K30" s="110">
        <v>2.2766394850668599E-3</v>
      </c>
      <c r="L30" s="165"/>
      <c r="M30" s="165"/>
      <c r="N30">
        <v>7</v>
      </c>
      <c r="O30">
        <v>0.39860304105912903</v>
      </c>
      <c r="P30">
        <v>-4.2254070257013998E-3</v>
      </c>
      <c r="Q30">
        <f t="shared" si="1"/>
        <v>4.2254070257013998E-3</v>
      </c>
      <c r="W30" s="133"/>
      <c r="X30" s="133"/>
      <c r="AC30">
        <v>7</v>
      </c>
      <c r="AD30">
        <v>-0.31460438747207398</v>
      </c>
      <c r="AE30">
        <v>0.30027160174436202</v>
      </c>
      <c r="AF30">
        <v>0.43490108695058899</v>
      </c>
    </row>
    <row r="31" spans="1:63" x14ac:dyDescent="0.3">
      <c r="A31">
        <v>30</v>
      </c>
      <c r="B31" s="132">
        <v>7.25</v>
      </c>
      <c r="E31" s="160">
        <v>7.25</v>
      </c>
      <c r="F31" s="160">
        <v>-0.36488245279999998</v>
      </c>
      <c r="G31" s="160">
        <v>-0.1460855103</v>
      </c>
      <c r="H31" s="145">
        <f t="shared" si="0"/>
        <v>0.22133807355385199</v>
      </c>
      <c r="I31" s="51">
        <v>7.25</v>
      </c>
      <c r="J31" s="110">
        <v>-0.16067912299978099</v>
      </c>
      <c r="K31" s="110">
        <v>-0.39964849606020098</v>
      </c>
      <c r="L31" s="165"/>
      <c r="M31" s="165"/>
      <c r="N31">
        <v>7.25</v>
      </c>
      <c r="O31">
        <v>0.14801956514101</v>
      </c>
      <c r="P31">
        <v>0.36742358385385199</v>
      </c>
      <c r="Q31">
        <f t="shared" si="1"/>
        <v>-0.36742358385385199</v>
      </c>
      <c r="W31" s="133"/>
      <c r="X31" s="133"/>
      <c r="AC31">
        <v>7.25</v>
      </c>
      <c r="AD31">
        <v>-0.40361295054312302</v>
      </c>
      <c r="AE31">
        <v>-0.16197389167602899</v>
      </c>
      <c r="AF31">
        <v>0.43490108695058899</v>
      </c>
    </row>
    <row r="32" spans="1:63" x14ac:dyDescent="0.3">
      <c r="A32">
        <v>31</v>
      </c>
      <c r="B32" s="132">
        <v>7.5</v>
      </c>
      <c r="E32" s="160">
        <v>7.5</v>
      </c>
      <c r="F32" s="160">
        <v>-2.385664E-3</v>
      </c>
      <c r="G32" s="160">
        <v>-0.39025160510000001</v>
      </c>
      <c r="H32" s="145">
        <f t="shared" si="0"/>
        <v>-0.13275105804356002</v>
      </c>
      <c r="I32" s="51">
        <v>7.5</v>
      </c>
      <c r="J32" s="110">
        <v>0.31919479294269798</v>
      </c>
      <c r="K32" s="110">
        <v>-0.285369757147448</v>
      </c>
      <c r="L32" s="165"/>
      <c r="M32" s="165"/>
      <c r="N32">
        <v>7.5</v>
      </c>
      <c r="O32">
        <v>-0.29760069920063897</v>
      </c>
      <c r="P32">
        <v>0.25750054705643999</v>
      </c>
      <c r="Q32">
        <f t="shared" si="1"/>
        <v>-0.25750054705643999</v>
      </c>
      <c r="W32" s="133"/>
      <c r="X32" s="133"/>
      <c r="AC32">
        <v>7.5</v>
      </c>
      <c r="AD32">
        <v>-2.3062413813718899E-3</v>
      </c>
      <c r="AE32">
        <v>-0.43489497201220201</v>
      </c>
      <c r="AF32">
        <v>0.43490108695058899</v>
      </c>
    </row>
    <row r="33" spans="1:36" x14ac:dyDescent="0.3">
      <c r="A33">
        <v>32</v>
      </c>
      <c r="B33" s="132">
        <v>7.75</v>
      </c>
      <c r="E33" s="160">
        <v>7.75</v>
      </c>
      <c r="F33" s="160">
        <v>0.36352853759999998</v>
      </c>
      <c r="G33" s="160">
        <v>-0.1339002802</v>
      </c>
      <c r="H33" s="145">
        <f t="shared" si="0"/>
        <v>-0.34458796131392</v>
      </c>
      <c r="I33" s="51">
        <v>7.75</v>
      </c>
      <c r="J33" s="110">
        <v>0.2628939079125</v>
      </c>
      <c r="K33" s="110">
        <v>0.238917140523669</v>
      </c>
      <c r="L33" s="165"/>
      <c r="M33" s="165"/>
      <c r="N33">
        <v>7.75</v>
      </c>
      <c r="O33">
        <v>-0.32924980488397598</v>
      </c>
      <c r="P33">
        <v>-0.21068768111392</v>
      </c>
      <c r="Q33">
        <f t="shared" si="1"/>
        <v>0.21068768111392</v>
      </c>
      <c r="W33" s="133"/>
      <c r="X33" s="133"/>
      <c r="AC33">
        <v>7.75</v>
      </c>
      <c r="AD33">
        <v>0.40821861560144801</v>
      </c>
      <c r="AE33">
        <v>-0.14998839057487401</v>
      </c>
      <c r="AF33">
        <v>0.43490108695058899</v>
      </c>
    </row>
    <row r="34" spans="1:36" x14ac:dyDescent="0.3">
      <c r="A34">
        <v>33</v>
      </c>
      <c r="B34" s="132">
        <v>8</v>
      </c>
      <c r="E34" s="160">
        <v>8</v>
      </c>
      <c r="F34" s="160">
        <v>0.2356042444</v>
      </c>
      <c r="G34" s="160">
        <v>0.30383280810000002</v>
      </c>
      <c r="H34" s="145">
        <f t="shared" si="0"/>
        <v>-6.4263761912891959E-2</v>
      </c>
      <c r="I34" s="51">
        <v>8</v>
      </c>
      <c r="J34" s="110">
        <v>0.70351496586419204</v>
      </c>
      <c r="K34" s="110">
        <v>1.3695885192425501</v>
      </c>
      <c r="L34" s="165"/>
      <c r="M34" s="165"/>
      <c r="N34">
        <v>8</v>
      </c>
      <c r="O34">
        <v>0.12322167242818199</v>
      </c>
      <c r="P34">
        <v>-0.36809657001289198</v>
      </c>
      <c r="Q34">
        <f t="shared" si="1"/>
        <v>0.36809657001289198</v>
      </c>
      <c r="W34" s="133"/>
      <c r="X34" s="133"/>
      <c r="AC34">
        <v>8</v>
      </c>
      <c r="AD34">
        <v>0.26622813818270302</v>
      </c>
      <c r="AE34">
        <v>0.34389174731385302</v>
      </c>
      <c r="AF34">
        <v>0.43490108695058899</v>
      </c>
    </row>
    <row r="35" spans="1:36" x14ac:dyDescent="0.3">
      <c r="A35">
        <v>34</v>
      </c>
      <c r="B35" s="132">
        <v>8.25</v>
      </c>
      <c r="E35" s="160">
        <v>8.25</v>
      </c>
      <c r="F35" s="160">
        <v>-0.22924671420000001</v>
      </c>
      <c r="G35" s="160">
        <v>0.30491810400000002</v>
      </c>
      <c r="H35" s="145">
        <f t="shared" si="0"/>
        <v>0.35061840900690844</v>
      </c>
      <c r="I35" s="51">
        <v>8.25</v>
      </c>
      <c r="J35" s="110">
        <v>-0.42634813729276699</v>
      </c>
      <c r="K35" s="110">
        <v>-5.04297958308038E-2</v>
      </c>
      <c r="L35" s="165"/>
      <c r="M35" s="165"/>
      <c r="N35">
        <v>8.25</v>
      </c>
      <c r="O35">
        <v>0.38266978106106597</v>
      </c>
      <c r="P35">
        <v>4.5700305006908401E-2</v>
      </c>
      <c r="Q35">
        <f t="shared" si="1"/>
        <v>-4.5700305006908401E-2</v>
      </c>
      <c r="W35" s="133"/>
      <c r="X35" s="133"/>
      <c r="AC35">
        <v>8.25</v>
      </c>
      <c r="AD35">
        <v>-0.26162305354856003</v>
      </c>
      <c r="AE35">
        <v>0.34740802132755999</v>
      </c>
      <c r="AF35">
        <v>0.43490108695058899</v>
      </c>
    </row>
    <row r="36" spans="1:36" x14ac:dyDescent="0.3">
      <c r="A36">
        <v>35</v>
      </c>
      <c r="B36" s="132">
        <v>8.5</v>
      </c>
      <c r="E36" s="160">
        <v>8.5</v>
      </c>
      <c r="F36" s="160">
        <v>-0.34579796610000002</v>
      </c>
      <c r="G36" s="160">
        <v>-0.1537039798</v>
      </c>
      <c r="H36" s="145">
        <f t="shared" si="0"/>
        <v>0.22848060464962899</v>
      </c>
      <c r="I36" s="51">
        <v>8.5</v>
      </c>
      <c r="J36" s="110">
        <v>-2.2470712507145E-2</v>
      </c>
      <c r="K36" s="110">
        <v>-0.420888631459574</v>
      </c>
      <c r="L36" s="165"/>
      <c r="M36" s="165"/>
      <c r="N36">
        <v>8.5</v>
      </c>
      <c r="O36">
        <v>1.6542768328628301E-2</v>
      </c>
      <c r="P36">
        <v>0.38218458444962899</v>
      </c>
      <c r="Q36">
        <f t="shared" si="1"/>
        <v>-0.38218458444962899</v>
      </c>
      <c r="W36" s="133"/>
      <c r="X36" s="133"/>
      <c r="AC36">
        <v>8.5</v>
      </c>
      <c r="AD36">
        <v>-0.39727183691364698</v>
      </c>
      <c r="AE36">
        <v>-0.176957743617114</v>
      </c>
      <c r="AF36">
        <v>0.43490108695058899</v>
      </c>
    </row>
    <row r="37" spans="1:36" x14ac:dyDescent="0.3">
      <c r="A37">
        <v>36</v>
      </c>
      <c r="B37" s="132">
        <v>8.75</v>
      </c>
      <c r="E37" s="160">
        <v>8.75</v>
      </c>
      <c r="F37" s="160">
        <v>8.6282974600000006E-2</v>
      </c>
      <c r="G37" s="160">
        <v>-0.36523671969999999</v>
      </c>
      <c r="H37" s="145">
        <f t="shared" si="0"/>
        <v>-0.30350967365895681</v>
      </c>
      <c r="I37" s="51">
        <v>8.75</v>
      </c>
      <c r="J37" s="110">
        <v>0.42310732511913601</v>
      </c>
      <c r="K37" s="110">
        <v>-6.9020732294131304E-2</v>
      </c>
      <c r="L37" s="165"/>
      <c r="M37" s="165"/>
      <c r="N37">
        <v>8.75</v>
      </c>
      <c r="O37">
        <v>-0.37457881876319499</v>
      </c>
      <c r="P37">
        <v>6.1727046041043197E-2</v>
      </c>
      <c r="Q37">
        <f t="shared" si="1"/>
        <v>-6.1727046041043197E-2</v>
      </c>
      <c r="W37" s="133"/>
      <c r="X37" s="133"/>
      <c r="AC37">
        <v>8.75</v>
      </c>
      <c r="AD37">
        <v>0.100318080377098</v>
      </c>
      <c r="AE37">
        <v>-0.423172823064357</v>
      </c>
      <c r="AF37">
        <v>0.43490108695058899</v>
      </c>
    </row>
    <row r="38" spans="1:36" x14ac:dyDescent="0.3">
      <c r="A38">
        <v>37</v>
      </c>
      <c r="B38" s="132">
        <v>9</v>
      </c>
      <c r="E38" s="160">
        <v>9</v>
      </c>
      <c r="F38" s="160">
        <v>0.37072709570000001</v>
      </c>
      <c r="G38" s="160">
        <v>3.1901107999999997E-2</v>
      </c>
      <c r="H38" s="145">
        <f t="shared" si="0"/>
        <v>-0.33384009782360796</v>
      </c>
      <c r="I38" s="51">
        <v>9</v>
      </c>
      <c r="J38" s="110">
        <v>0.47996507629089402</v>
      </c>
      <c r="K38" s="110">
        <v>-0.413389314796892</v>
      </c>
      <c r="L38" s="165"/>
      <c r="M38" s="165"/>
      <c r="N38">
        <v>9</v>
      </c>
      <c r="O38">
        <v>-9.0022328848378005E-2</v>
      </c>
      <c r="P38">
        <v>-0.36574120582360797</v>
      </c>
      <c r="Q38">
        <f t="shared" si="1"/>
        <v>0.36574120582360797</v>
      </c>
      <c r="W38" s="133"/>
      <c r="X38" s="133"/>
      <c r="AC38">
        <v>9</v>
      </c>
      <c r="AD38">
        <v>0.43327088787003598</v>
      </c>
      <c r="AE38">
        <v>3.76203821766041E-2</v>
      </c>
      <c r="AF38">
        <v>0.43490108695058899</v>
      </c>
    </row>
    <row r="39" spans="1:36" x14ac:dyDescent="0.3">
      <c r="A39">
        <v>38</v>
      </c>
      <c r="B39" s="132">
        <v>9.25</v>
      </c>
      <c r="E39" s="160">
        <v>9.25</v>
      </c>
      <c r="F39" s="160">
        <v>7.4416392E-3</v>
      </c>
      <c r="G39" s="160">
        <v>0.36876748590000002</v>
      </c>
      <c r="H39" s="145">
        <f t="shared" si="0"/>
        <v>0.26648155572740101</v>
      </c>
      <c r="I39" s="51">
        <v>9.25</v>
      </c>
      <c r="J39" s="110">
        <v>-0.40047997479366099</v>
      </c>
      <c r="K39" s="110">
        <v>0.12541982085671499</v>
      </c>
      <c r="L39" s="165"/>
      <c r="M39" s="165"/>
      <c r="N39">
        <v>9.25</v>
      </c>
      <c r="O39">
        <v>0.35935214156864098</v>
      </c>
      <c r="P39">
        <v>-0.102285930172599</v>
      </c>
      <c r="Q39">
        <f t="shared" si="1"/>
        <v>0.102285930172599</v>
      </c>
      <c r="W39" s="133"/>
      <c r="X39" s="133"/>
      <c r="AC39">
        <v>9.25</v>
      </c>
      <c r="AD39">
        <v>8.4413320387401094E-3</v>
      </c>
      <c r="AE39">
        <v>0.434819157057523</v>
      </c>
      <c r="AF39">
        <v>0.43490108695058899</v>
      </c>
    </row>
    <row r="40" spans="1:36" x14ac:dyDescent="0.3">
      <c r="A40">
        <v>39</v>
      </c>
      <c r="B40" s="132">
        <v>9.5</v>
      </c>
      <c r="E40" s="160">
        <v>9.5</v>
      </c>
      <c r="F40" s="160">
        <v>-0.36417566410000002</v>
      </c>
      <c r="G40" s="160">
        <v>3.1419194599999999E-2</v>
      </c>
      <c r="H40" s="145">
        <f t="shared" si="0"/>
        <v>0.38841031070496396</v>
      </c>
      <c r="I40" s="51">
        <v>9.5</v>
      </c>
      <c r="J40" s="110">
        <v>-0.127623889292903</v>
      </c>
      <c r="K40" s="110">
        <v>-0.41363815226036799</v>
      </c>
      <c r="L40" s="165"/>
      <c r="M40" s="165"/>
      <c r="N40">
        <v>9.5</v>
      </c>
      <c r="O40">
        <v>9.9270306912111694E-2</v>
      </c>
      <c r="P40">
        <v>0.35699111610496398</v>
      </c>
      <c r="Q40">
        <f t="shared" si="1"/>
        <v>-0.35699111610496398</v>
      </c>
      <c r="W40" s="133"/>
      <c r="X40" s="133"/>
      <c r="AC40">
        <v>9.5</v>
      </c>
      <c r="AD40">
        <v>-0.43331975438257297</v>
      </c>
      <c r="AE40">
        <v>3.70532845052906E-2</v>
      </c>
      <c r="AF40">
        <v>0.43490108695058899</v>
      </c>
      <c r="AJ40" t="s">
        <v>467</v>
      </c>
    </row>
    <row r="41" spans="1:36" x14ac:dyDescent="0.3">
      <c r="A41">
        <v>40</v>
      </c>
      <c r="B41" s="132">
        <v>9.75</v>
      </c>
      <c r="E41" s="160">
        <v>9.75</v>
      </c>
      <c r="F41" s="160">
        <v>-4.0410423000000001E-2</v>
      </c>
      <c r="G41" s="160">
        <v>-0.35989541429999999</v>
      </c>
      <c r="H41" s="145">
        <f t="shared" si="0"/>
        <v>-0.27861304342200638</v>
      </c>
      <c r="I41" s="51">
        <v>9.75</v>
      </c>
      <c r="J41" s="110">
        <v>0.41704075035041599</v>
      </c>
      <c r="K41" s="110">
        <v>-9.4250195297153699E-2</v>
      </c>
      <c r="L41" s="165"/>
      <c r="M41" s="165"/>
      <c r="N41">
        <v>9.75</v>
      </c>
      <c r="O41">
        <v>-0.35828707402888399</v>
      </c>
      <c r="P41">
        <v>8.1282370877993601E-2</v>
      </c>
      <c r="Q41">
        <f t="shared" si="1"/>
        <v>-8.1282370877993601E-2</v>
      </c>
      <c r="W41" s="133"/>
      <c r="X41" s="133"/>
      <c r="AC41">
        <v>9.75</v>
      </c>
      <c r="AD41">
        <v>-4.8202492850108601E-2</v>
      </c>
      <c r="AE41">
        <v>-0.43222155790038802</v>
      </c>
      <c r="AF41">
        <v>0.43490108695058899</v>
      </c>
      <c r="AJ41" t="s">
        <v>468</v>
      </c>
    </row>
    <row r="42" spans="1:36" x14ac:dyDescent="0.3">
      <c r="A42">
        <v>41</v>
      </c>
      <c r="B42" s="132">
        <v>10</v>
      </c>
      <c r="W42" s="133"/>
      <c r="X42" s="13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0E9C-25D4-4C95-8265-C36B6A2AD245}">
  <sheetPr filterMode="1"/>
  <dimension ref="A1:AK161"/>
  <sheetViews>
    <sheetView zoomScale="115" zoomScaleNormal="115" workbookViewId="0">
      <selection activeCell="J130" sqref="J130"/>
    </sheetView>
  </sheetViews>
  <sheetFormatPr defaultRowHeight="14.4" x14ac:dyDescent="0.3"/>
  <cols>
    <col min="7" max="7" width="13.109375" bestFit="1" customWidth="1"/>
  </cols>
  <sheetData>
    <row r="1" spans="1:37" x14ac:dyDescent="0.3">
      <c r="A1" t="s">
        <v>2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435</v>
      </c>
      <c r="I1" s="126"/>
      <c r="J1" s="119" t="s">
        <v>235</v>
      </c>
      <c r="K1" s="119"/>
      <c r="L1" s="120"/>
      <c r="M1" t="s">
        <v>94</v>
      </c>
      <c r="N1" t="s">
        <v>95</v>
      </c>
      <c r="O1" t="s">
        <v>30</v>
      </c>
      <c r="P1" t="s">
        <v>8</v>
      </c>
      <c r="Q1" t="s">
        <v>9</v>
      </c>
      <c r="R1" t="s">
        <v>10</v>
      </c>
      <c r="S1" t="s">
        <v>236</v>
      </c>
      <c r="W1" t="s">
        <v>16</v>
      </c>
      <c r="X1" t="s">
        <v>17</v>
      </c>
      <c r="Y1" t="s">
        <v>96</v>
      </c>
      <c r="Z1" t="s">
        <v>18</v>
      </c>
      <c r="AA1" t="s">
        <v>19</v>
      </c>
      <c r="AB1" t="s">
        <v>20</v>
      </c>
      <c r="AC1" t="s">
        <v>21</v>
      </c>
      <c r="AD1" t="s">
        <v>22</v>
      </c>
      <c r="AE1" t="s">
        <v>23</v>
      </c>
      <c r="AF1" t="s">
        <v>1</v>
      </c>
      <c r="AG1" t="s">
        <v>2</v>
      </c>
      <c r="AH1" t="s">
        <v>25</v>
      </c>
      <c r="AI1" t="s">
        <v>97</v>
      </c>
      <c r="AJ1" t="s">
        <v>237</v>
      </c>
      <c r="AK1" t="s">
        <v>238</v>
      </c>
    </row>
    <row r="2" spans="1:37" x14ac:dyDescent="0.3">
      <c r="A2">
        <v>0.25</v>
      </c>
      <c r="B2">
        <v>42</v>
      </c>
      <c r="C2">
        <v>0</v>
      </c>
      <c r="D2">
        <v>0</v>
      </c>
      <c r="E2" t="s">
        <v>18</v>
      </c>
      <c r="G2">
        <f>J2-S2</f>
        <v>-4.6182254741011786E-5</v>
      </c>
      <c r="H2">
        <f>K2+T2</f>
        <v>-3.2283990424197828E-4</v>
      </c>
      <c r="I2" s="121">
        <v>0.25</v>
      </c>
      <c r="J2" s="2">
        <v>0.31362972888000001</v>
      </c>
      <c r="K2" s="2">
        <v>-0.30128947640699999</v>
      </c>
      <c r="L2" s="122">
        <v>0.43490108695099999</v>
      </c>
      <c r="M2">
        <v>-0.31367591113474103</v>
      </c>
      <c r="N2">
        <v>0.30096663650275801</v>
      </c>
      <c r="O2">
        <v>0.434710815961593</v>
      </c>
      <c r="P2">
        <v>2.878037E-9</v>
      </c>
      <c r="Q2" s="44">
        <v>5.171002E-12</v>
      </c>
      <c r="R2">
        <v>1</v>
      </c>
      <c r="S2">
        <f>ABS(M2)</f>
        <v>0.31367591113474103</v>
      </c>
      <c r="T2">
        <f t="shared" ref="T2:U2" si="0">ABS(N2)</f>
        <v>0.30096663650275801</v>
      </c>
      <c r="U2">
        <f t="shared" si="0"/>
        <v>0.434710815961593</v>
      </c>
      <c r="W2" s="44">
        <v>0.31362972888013302</v>
      </c>
      <c r="X2" s="44">
        <v>-0.30128947640662401</v>
      </c>
      <c r="Y2">
        <v>15000</v>
      </c>
      <c r="Z2">
        <v>16</v>
      </c>
      <c r="AA2">
        <v>1</v>
      </c>
      <c r="AB2">
        <v>1</v>
      </c>
      <c r="AC2">
        <v>1</v>
      </c>
      <c r="AD2">
        <v>0.01</v>
      </c>
      <c r="AE2">
        <v>16</v>
      </c>
      <c r="AF2">
        <v>0</v>
      </c>
      <c r="AG2">
        <v>0.25</v>
      </c>
      <c r="AH2">
        <v>308.7</v>
      </c>
      <c r="AI2" t="s">
        <v>239</v>
      </c>
      <c r="AJ2">
        <v>0.25</v>
      </c>
      <c r="AK2" t="s">
        <v>240</v>
      </c>
    </row>
    <row r="3" spans="1:37" hidden="1" x14ac:dyDescent="0.3">
      <c r="A3">
        <v>0.25</v>
      </c>
      <c r="B3">
        <v>42</v>
      </c>
      <c r="C3">
        <v>1</v>
      </c>
      <c r="D3">
        <v>0.1</v>
      </c>
      <c r="E3" t="s">
        <v>26</v>
      </c>
      <c r="F3">
        <v>0</v>
      </c>
      <c r="I3" s="121"/>
      <c r="J3" s="2"/>
      <c r="K3" s="2"/>
      <c r="L3" s="122"/>
      <c r="M3">
        <v>-0.31458179788690599</v>
      </c>
      <c r="N3">
        <v>0.30040485483457702</v>
      </c>
      <c r="O3">
        <v>0.434976763022971</v>
      </c>
      <c r="P3">
        <v>5.9733549999999997E-6</v>
      </c>
      <c r="Q3" s="44">
        <v>1.3577829999999999E-5</v>
      </c>
      <c r="R3">
        <v>0.99998200000000004</v>
      </c>
      <c r="W3" s="44">
        <v>0.31362972888013302</v>
      </c>
      <c r="X3" s="44">
        <v>-0.30128947640662401</v>
      </c>
      <c r="Y3">
        <v>9000</v>
      </c>
      <c r="Z3">
        <v>16</v>
      </c>
      <c r="AA3">
        <v>1</v>
      </c>
      <c r="AB3">
        <v>1</v>
      </c>
      <c r="AC3">
        <v>1</v>
      </c>
      <c r="AD3">
        <v>0.01</v>
      </c>
      <c r="AE3">
        <v>16</v>
      </c>
      <c r="AF3">
        <v>0</v>
      </c>
      <c r="AG3">
        <v>0.25</v>
      </c>
      <c r="AH3">
        <v>174.4</v>
      </c>
      <c r="AI3" t="s">
        <v>241</v>
      </c>
      <c r="AJ3">
        <v>0.25</v>
      </c>
      <c r="AK3" t="s">
        <v>240</v>
      </c>
    </row>
    <row r="4" spans="1:37" hidden="1" x14ac:dyDescent="0.3">
      <c r="A4">
        <v>0.25</v>
      </c>
      <c r="B4">
        <v>45</v>
      </c>
      <c r="C4">
        <v>0</v>
      </c>
      <c r="D4">
        <v>0</v>
      </c>
      <c r="E4" t="s">
        <v>18</v>
      </c>
      <c r="G4">
        <f>J4-S4</f>
        <v>5.6003134070170546E-6</v>
      </c>
      <c r="H4">
        <f>K4+T4</f>
        <v>-2.3609897979298688E-4</v>
      </c>
      <c r="I4" s="121">
        <v>0.25</v>
      </c>
      <c r="J4" s="2">
        <v>0.31362972888000001</v>
      </c>
      <c r="K4" s="2">
        <v>-0.30128947640699999</v>
      </c>
      <c r="L4" s="122">
        <v>0.43490108695099999</v>
      </c>
      <c r="M4">
        <v>-0.313624128566593</v>
      </c>
      <c r="N4">
        <v>0.301053377427207</v>
      </c>
      <c r="O4">
        <v>0.434733516167644</v>
      </c>
      <c r="P4">
        <v>2.8719749999999999E-9</v>
      </c>
      <c r="Q4" s="44">
        <v>5.6692630000000001E-12</v>
      </c>
      <c r="R4">
        <v>1</v>
      </c>
      <c r="S4">
        <f>ABS(M4)</f>
        <v>0.313624128566593</v>
      </c>
      <c r="T4">
        <f t="shared" ref="T4:U4" si="1">ABS(N4)</f>
        <v>0.301053377427207</v>
      </c>
      <c r="U4">
        <f t="shared" si="1"/>
        <v>0.434733516167644</v>
      </c>
      <c r="W4" s="44">
        <v>0.31362972888013302</v>
      </c>
      <c r="X4" s="44">
        <v>-0.30128947640662401</v>
      </c>
      <c r="Y4">
        <v>15000</v>
      </c>
      <c r="Z4">
        <v>16</v>
      </c>
      <c r="AA4">
        <v>1</v>
      </c>
      <c r="AB4">
        <v>1</v>
      </c>
      <c r="AC4">
        <v>1</v>
      </c>
      <c r="AD4">
        <v>0.01</v>
      </c>
      <c r="AE4">
        <v>16</v>
      </c>
      <c r="AF4">
        <v>0</v>
      </c>
      <c r="AG4">
        <v>0.25</v>
      </c>
      <c r="AH4">
        <v>289</v>
      </c>
      <c r="AI4" t="s">
        <v>242</v>
      </c>
      <c r="AJ4">
        <v>0.25</v>
      </c>
      <c r="AK4" t="s">
        <v>240</v>
      </c>
    </row>
    <row r="5" spans="1:37" hidden="1" x14ac:dyDescent="0.3">
      <c r="A5">
        <v>0.25</v>
      </c>
      <c r="B5">
        <v>45</v>
      </c>
      <c r="C5">
        <v>1</v>
      </c>
      <c r="D5">
        <v>0.1</v>
      </c>
      <c r="E5" t="s">
        <v>26</v>
      </c>
      <c r="F5">
        <v>0</v>
      </c>
      <c r="I5" s="121"/>
      <c r="J5" s="2"/>
      <c r="K5" s="2"/>
      <c r="L5" s="122"/>
      <c r="M5">
        <v>-0.31457804437230003</v>
      </c>
      <c r="N5">
        <v>0.30041436109768899</v>
      </c>
      <c r="O5">
        <v>0.43498061376897501</v>
      </c>
      <c r="P5">
        <v>5.0755239999999998E-6</v>
      </c>
      <c r="Q5" s="44">
        <v>1.029095E-5</v>
      </c>
      <c r="R5">
        <v>0.99998600000000004</v>
      </c>
      <c r="W5" s="44">
        <v>0.31362972888013302</v>
      </c>
      <c r="X5" s="44">
        <v>-0.30128947640662401</v>
      </c>
      <c r="Y5">
        <v>9000</v>
      </c>
      <c r="Z5">
        <v>16</v>
      </c>
      <c r="AA5">
        <v>1</v>
      </c>
      <c r="AB5">
        <v>1</v>
      </c>
      <c r="AC5">
        <v>1</v>
      </c>
      <c r="AD5">
        <v>0.01</v>
      </c>
      <c r="AE5">
        <v>16</v>
      </c>
      <c r="AF5">
        <v>0</v>
      </c>
      <c r="AG5">
        <v>0.25</v>
      </c>
      <c r="AH5">
        <v>172.8</v>
      </c>
      <c r="AI5" t="s">
        <v>243</v>
      </c>
      <c r="AJ5">
        <v>0.25</v>
      </c>
      <c r="AK5" t="s">
        <v>240</v>
      </c>
    </row>
    <row r="6" spans="1:37" x14ac:dyDescent="0.3">
      <c r="A6">
        <v>0.5</v>
      </c>
      <c r="B6">
        <v>42</v>
      </c>
      <c r="C6">
        <v>0</v>
      </c>
      <c r="D6">
        <v>0</v>
      </c>
      <c r="E6" t="s">
        <v>18</v>
      </c>
      <c r="G6">
        <f>J6-S6</f>
        <v>-6.7821716318700043E-4</v>
      </c>
      <c r="H6">
        <f>K6+T6</f>
        <v>-1.2536485832460031E-3</v>
      </c>
      <c r="I6" s="121">
        <v>0.5</v>
      </c>
      <c r="J6" s="2">
        <v>0.33118719437499999</v>
      </c>
      <c r="K6" s="2">
        <v>-0.28187585514300001</v>
      </c>
      <c r="L6" s="122">
        <v>0.43490108695099999</v>
      </c>
      <c r="M6">
        <v>0.33186541153818699</v>
      </c>
      <c r="N6">
        <v>-0.28062220655975401</v>
      </c>
      <c r="O6">
        <v>0.43460726430868102</v>
      </c>
      <c r="P6">
        <v>2.6988060000000001E-9</v>
      </c>
      <c r="Q6" s="44">
        <v>5.3051579999999996E-12</v>
      </c>
      <c r="R6">
        <v>1</v>
      </c>
      <c r="S6">
        <f>ABS(M6)</f>
        <v>0.33186541153818699</v>
      </c>
      <c r="T6">
        <f t="shared" ref="T6:U6" si="2">ABS(N6)</f>
        <v>0.28062220655975401</v>
      </c>
      <c r="U6">
        <f t="shared" si="2"/>
        <v>0.43460726430868102</v>
      </c>
      <c r="W6" s="44">
        <v>0.33118719437495803</v>
      </c>
      <c r="X6" s="44">
        <v>-0.28187585514344299</v>
      </c>
      <c r="Y6">
        <v>15000</v>
      </c>
      <c r="Z6">
        <v>16</v>
      </c>
      <c r="AA6">
        <v>1</v>
      </c>
      <c r="AB6">
        <v>1</v>
      </c>
      <c r="AC6">
        <v>1</v>
      </c>
      <c r="AD6">
        <v>0.01</v>
      </c>
      <c r="AE6">
        <v>16</v>
      </c>
      <c r="AF6">
        <v>0</v>
      </c>
      <c r="AG6">
        <v>0.5</v>
      </c>
      <c r="AH6">
        <v>290</v>
      </c>
      <c r="AI6" t="s">
        <v>244</v>
      </c>
      <c r="AJ6">
        <v>0.5</v>
      </c>
      <c r="AK6" t="s">
        <v>245</v>
      </c>
    </row>
    <row r="7" spans="1:37" hidden="1" x14ac:dyDescent="0.3">
      <c r="A7">
        <v>0.5</v>
      </c>
      <c r="B7">
        <v>42</v>
      </c>
      <c r="C7">
        <v>1</v>
      </c>
      <c r="D7">
        <v>0.1</v>
      </c>
      <c r="E7" t="s">
        <v>26</v>
      </c>
      <c r="F7">
        <v>0</v>
      </c>
      <c r="I7" s="121"/>
      <c r="J7" s="2"/>
      <c r="K7" s="2"/>
      <c r="L7" s="122"/>
      <c r="M7">
        <v>0.33329903079145901</v>
      </c>
      <c r="N7">
        <v>-0.28049227414286998</v>
      </c>
      <c r="O7">
        <v>0.43561928306763997</v>
      </c>
      <c r="P7">
        <v>7.9090380000000006E-6</v>
      </c>
      <c r="Q7" s="44">
        <v>2.4465219999999999E-5</v>
      </c>
      <c r="R7">
        <v>0.99996799999999997</v>
      </c>
      <c r="W7" s="44">
        <v>0.33118719437495803</v>
      </c>
      <c r="X7" s="44">
        <v>-0.28187585514344299</v>
      </c>
      <c r="Y7">
        <v>9000</v>
      </c>
      <c r="Z7">
        <v>16</v>
      </c>
      <c r="AA7">
        <v>1</v>
      </c>
      <c r="AB7">
        <v>1</v>
      </c>
      <c r="AC7">
        <v>1</v>
      </c>
      <c r="AD7">
        <v>0.01</v>
      </c>
      <c r="AE7">
        <v>16</v>
      </c>
      <c r="AF7">
        <v>0</v>
      </c>
      <c r="AG7">
        <v>0.5</v>
      </c>
      <c r="AH7">
        <v>172.8</v>
      </c>
      <c r="AI7" t="s">
        <v>246</v>
      </c>
      <c r="AJ7">
        <v>0.5</v>
      </c>
      <c r="AK7" t="s">
        <v>245</v>
      </c>
    </row>
    <row r="8" spans="1:37" hidden="1" x14ac:dyDescent="0.3">
      <c r="A8">
        <v>0.5</v>
      </c>
      <c r="B8">
        <v>45</v>
      </c>
      <c r="C8">
        <v>0</v>
      </c>
      <c r="D8">
        <v>0</v>
      </c>
      <c r="E8" t="s">
        <v>18</v>
      </c>
      <c r="G8">
        <f>J8-S8</f>
        <v>-6.8144664635499952E-4</v>
      </c>
      <c r="H8">
        <f>K8+T8</f>
        <v>-1.2871662256500049E-3</v>
      </c>
      <c r="I8" s="121">
        <v>0.5</v>
      </c>
      <c r="J8" s="2">
        <v>0.33118719437499999</v>
      </c>
      <c r="K8" s="2">
        <v>-0.28187585514300001</v>
      </c>
      <c r="L8" s="122">
        <v>0.43490108695099999</v>
      </c>
      <c r="M8">
        <v>0.33186864102135499</v>
      </c>
      <c r="N8">
        <v>-0.28058868891735</v>
      </c>
      <c r="O8">
        <v>0.43458808916227598</v>
      </c>
      <c r="P8">
        <v>2.461049E-9</v>
      </c>
      <c r="Q8" s="44">
        <v>3.599166E-12</v>
      </c>
      <c r="R8">
        <v>1</v>
      </c>
      <c r="S8">
        <f>ABS(M8)</f>
        <v>0.33186864102135499</v>
      </c>
      <c r="T8">
        <f t="shared" ref="T8:U8" si="3">ABS(N8)</f>
        <v>0.28058868891735</v>
      </c>
      <c r="U8">
        <f t="shared" si="3"/>
        <v>0.43458808916227598</v>
      </c>
      <c r="W8" s="44">
        <v>0.33118719437495803</v>
      </c>
      <c r="X8" s="44">
        <v>-0.28187585514344299</v>
      </c>
      <c r="Y8">
        <v>15000</v>
      </c>
      <c r="Z8">
        <v>16</v>
      </c>
      <c r="AA8">
        <v>1</v>
      </c>
      <c r="AB8">
        <v>1</v>
      </c>
      <c r="AC8">
        <v>1</v>
      </c>
      <c r="AD8">
        <v>0.01</v>
      </c>
      <c r="AE8">
        <v>16</v>
      </c>
      <c r="AF8">
        <v>0</v>
      </c>
      <c r="AG8">
        <v>0.5</v>
      </c>
      <c r="AH8">
        <v>288.2</v>
      </c>
      <c r="AI8" t="s">
        <v>247</v>
      </c>
      <c r="AJ8">
        <v>0.5</v>
      </c>
      <c r="AK8" t="s">
        <v>245</v>
      </c>
    </row>
    <row r="9" spans="1:37" hidden="1" x14ac:dyDescent="0.3">
      <c r="A9">
        <v>0.5</v>
      </c>
      <c r="B9">
        <v>45</v>
      </c>
      <c r="C9">
        <v>1</v>
      </c>
      <c r="D9">
        <v>0.1</v>
      </c>
      <c r="E9" t="s">
        <v>26</v>
      </c>
      <c r="F9">
        <v>0</v>
      </c>
      <c r="I9" s="121"/>
      <c r="J9" s="2"/>
      <c r="K9" s="2"/>
      <c r="L9" s="122"/>
      <c r="M9">
        <v>0.33331077942133402</v>
      </c>
      <c r="N9">
        <v>-0.28047493418889502</v>
      </c>
      <c r="O9">
        <v>0.43561710754597599</v>
      </c>
      <c r="P9">
        <v>7.073358E-6</v>
      </c>
      <c r="Q9" s="44">
        <v>2.0240629999999999E-5</v>
      </c>
      <c r="R9">
        <v>0.999973</v>
      </c>
      <c r="W9" s="44">
        <v>0.33118719437495803</v>
      </c>
      <c r="X9" s="44">
        <v>-0.28187585514344299</v>
      </c>
      <c r="Y9">
        <v>9000</v>
      </c>
      <c r="Z9">
        <v>16</v>
      </c>
      <c r="AA9">
        <v>1</v>
      </c>
      <c r="AB9">
        <v>1</v>
      </c>
      <c r="AC9">
        <v>1</v>
      </c>
      <c r="AD9">
        <v>0.01</v>
      </c>
      <c r="AE9">
        <v>16</v>
      </c>
      <c r="AF9">
        <v>0</v>
      </c>
      <c r="AG9">
        <v>0.5</v>
      </c>
      <c r="AH9">
        <v>171.4</v>
      </c>
      <c r="AI9" t="s">
        <v>248</v>
      </c>
      <c r="AJ9">
        <v>0.5</v>
      </c>
      <c r="AK9" t="s">
        <v>245</v>
      </c>
    </row>
    <row r="10" spans="1:37" x14ac:dyDescent="0.3">
      <c r="A10">
        <v>0.75</v>
      </c>
      <c r="B10">
        <v>42</v>
      </c>
      <c r="C10">
        <v>0</v>
      </c>
      <c r="D10">
        <v>0</v>
      </c>
      <c r="E10" t="s">
        <v>18</v>
      </c>
      <c r="G10">
        <f>J10-S10</f>
        <v>-1.4897074920129927E-3</v>
      </c>
      <c r="H10">
        <f>K10+T10</f>
        <v>-3.2053275674479853E-3</v>
      </c>
      <c r="I10" s="121">
        <v>0.75</v>
      </c>
      <c r="J10" s="2">
        <v>0.357754142484</v>
      </c>
      <c r="K10" s="2">
        <v>-0.24728713869999999</v>
      </c>
      <c r="L10" s="122">
        <v>0.43490108695099999</v>
      </c>
      <c r="M10">
        <v>-0.359243849976013</v>
      </c>
      <c r="N10">
        <v>0.24408181113255201</v>
      </c>
      <c r="O10">
        <v>0.43431794145687203</v>
      </c>
      <c r="P10">
        <v>3.1362370000000002E-9</v>
      </c>
      <c r="Q10" s="44">
        <v>6.5925040000000003E-12</v>
      </c>
      <c r="R10">
        <v>1</v>
      </c>
      <c r="S10">
        <f>ABS(M10)</f>
        <v>0.359243849976013</v>
      </c>
      <c r="T10">
        <f t="shared" ref="T10:U10" si="4">ABS(N10)</f>
        <v>0.24408181113255201</v>
      </c>
      <c r="U10">
        <f t="shared" si="4"/>
        <v>0.43431794145687203</v>
      </c>
      <c r="W10" s="44">
        <v>0.35775414248369602</v>
      </c>
      <c r="X10" s="44">
        <v>-0.24728713870025401</v>
      </c>
      <c r="Y10">
        <v>15000</v>
      </c>
      <c r="Z10">
        <v>16</v>
      </c>
      <c r="AA10">
        <v>1</v>
      </c>
      <c r="AB10">
        <v>1</v>
      </c>
      <c r="AC10">
        <v>1</v>
      </c>
      <c r="AD10">
        <v>0.01</v>
      </c>
      <c r="AE10">
        <v>16</v>
      </c>
      <c r="AF10">
        <v>0</v>
      </c>
      <c r="AG10">
        <v>0.75</v>
      </c>
      <c r="AH10">
        <v>290.7</v>
      </c>
      <c r="AI10" t="s">
        <v>249</v>
      </c>
      <c r="AJ10">
        <v>0.75</v>
      </c>
      <c r="AK10" t="s">
        <v>250</v>
      </c>
    </row>
    <row r="11" spans="1:37" hidden="1" x14ac:dyDescent="0.3">
      <c r="A11">
        <v>0.75</v>
      </c>
      <c r="B11">
        <v>42</v>
      </c>
      <c r="C11">
        <v>1</v>
      </c>
      <c r="D11">
        <v>0.1</v>
      </c>
      <c r="E11" t="s">
        <v>26</v>
      </c>
      <c r="F11">
        <v>0</v>
      </c>
      <c r="I11" s="121"/>
      <c r="J11" s="2"/>
      <c r="K11" s="2"/>
      <c r="L11" s="122"/>
      <c r="M11">
        <v>-0.361463810999544</v>
      </c>
      <c r="N11">
        <v>0.24506101300599401</v>
      </c>
      <c r="O11">
        <v>0.43670469056083899</v>
      </c>
      <c r="P11">
        <v>1.039406E-5</v>
      </c>
      <c r="Q11" s="44">
        <v>4.0502310000000001E-5</v>
      </c>
      <c r="R11">
        <v>0.99994700000000003</v>
      </c>
      <c r="W11" s="44">
        <v>0.35775414248369602</v>
      </c>
      <c r="X11" s="44">
        <v>-0.24728713870025401</v>
      </c>
      <c r="Y11">
        <v>9000</v>
      </c>
      <c r="Z11">
        <v>16</v>
      </c>
      <c r="AA11">
        <v>1</v>
      </c>
      <c r="AB11">
        <v>1</v>
      </c>
      <c r="AC11">
        <v>1</v>
      </c>
      <c r="AD11">
        <v>0.01</v>
      </c>
      <c r="AE11">
        <v>16</v>
      </c>
      <c r="AF11">
        <v>0</v>
      </c>
      <c r="AG11">
        <v>0.75</v>
      </c>
      <c r="AH11">
        <v>172.2</v>
      </c>
      <c r="AI11" t="s">
        <v>251</v>
      </c>
      <c r="AJ11">
        <v>0.75</v>
      </c>
      <c r="AK11" t="s">
        <v>250</v>
      </c>
    </row>
    <row r="12" spans="1:37" hidden="1" x14ac:dyDescent="0.3">
      <c r="A12">
        <v>0.75</v>
      </c>
      <c r="B12">
        <v>45</v>
      </c>
      <c r="C12">
        <v>0</v>
      </c>
      <c r="D12">
        <v>0</v>
      </c>
      <c r="E12" t="s">
        <v>18</v>
      </c>
      <c r="G12">
        <f>J12-S12</f>
        <v>-1.5257152822730213E-3</v>
      </c>
      <c r="H12">
        <f>K12+T12</f>
        <v>-3.214526619590985E-3</v>
      </c>
      <c r="I12" s="121">
        <v>0.75</v>
      </c>
      <c r="J12" s="2">
        <v>0.357754142484</v>
      </c>
      <c r="K12" s="2">
        <v>-0.24728713869999999</v>
      </c>
      <c r="L12" s="122">
        <v>0.43490108695099999</v>
      </c>
      <c r="M12">
        <v>0.35927985776627303</v>
      </c>
      <c r="N12">
        <v>-0.24407261208040901</v>
      </c>
      <c r="O12">
        <v>0.434342556243695</v>
      </c>
      <c r="P12">
        <v>2.6213080000000001E-9</v>
      </c>
      <c r="Q12" s="44">
        <v>3.6932269999999999E-12</v>
      </c>
      <c r="R12">
        <v>1</v>
      </c>
      <c r="S12">
        <f>ABS(M12)</f>
        <v>0.35927985776627303</v>
      </c>
      <c r="T12">
        <f t="shared" ref="T12:U12" si="5">ABS(N12)</f>
        <v>0.24407261208040901</v>
      </c>
      <c r="U12">
        <f t="shared" si="5"/>
        <v>0.434342556243695</v>
      </c>
      <c r="W12" s="44">
        <v>0.35775414248369602</v>
      </c>
      <c r="X12" s="44">
        <v>-0.24728713870025401</v>
      </c>
      <c r="Y12">
        <v>15000</v>
      </c>
      <c r="Z12">
        <v>16</v>
      </c>
      <c r="AA12">
        <v>1</v>
      </c>
      <c r="AB12">
        <v>1</v>
      </c>
      <c r="AC12">
        <v>1</v>
      </c>
      <c r="AD12">
        <v>0.01</v>
      </c>
      <c r="AE12">
        <v>16</v>
      </c>
      <c r="AF12">
        <v>0</v>
      </c>
      <c r="AG12">
        <v>0.75</v>
      </c>
      <c r="AH12">
        <v>290.10000000000002</v>
      </c>
      <c r="AI12" t="s">
        <v>252</v>
      </c>
      <c r="AJ12">
        <v>0.75</v>
      </c>
      <c r="AK12" t="s">
        <v>250</v>
      </c>
    </row>
    <row r="13" spans="1:37" hidden="1" x14ac:dyDescent="0.3">
      <c r="A13">
        <v>0.75</v>
      </c>
      <c r="B13">
        <v>45</v>
      </c>
      <c r="C13">
        <v>1</v>
      </c>
      <c r="D13">
        <v>0.1</v>
      </c>
      <c r="E13" t="s">
        <v>26</v>
      </c>
      <c r="F13">
        <v>0</v>
      </c>
      <c r="I13" s="121"/>
      <c r="J13" s="2"/>
      <c r="K13" s="2"/>
      <c r="L13" s="122"/>
      <c r="M13">
        <v>0.36153183484726997</v>
      </c>
      <c r="N13">
        <v>-0.24496929430209999</v>
      </c>
      <c r="O13">
        <v>0.43670954049448302</v>
      </c>
      <c r="P13">
        <v>9.1813219999999998E-6</v>
      </c>
      <c r="Q13" s="44">
        <v>3.415238E-5</v>
      </c>
      <c r="R13">
        <v>0.99995599999999996</v>
      </c>
      <c r="W13" s="44">
        <v>0.35775414248369602</v>
      </c>
      <c r="X13" s="44">
        <v>-0.24728713870025401</v>
      </c>
      <c r="Y13">
        <v>9000</v>
      </c>
      <c r="Z13">
        <v>16</v>
      </c>
      <c r="AA13">
        <v>1</v>
      </c>
      <c r="AB13">
        <v>1</v>
      </c>
      <c r="AC13">
        <v>1</v>
      </c>
      <c r="AD13">
        <v>0.01</v>
      </c>
      <c r="AE13">
        <v>16</v>
      </c>
      <c r="AF13">
        <v>0</v>
      </c>
      <c r="AG13">
        <v>0.75</v>
      </c>
      <c r="AH13">
        <v>173.5</v>
      </c>
      <c r="AI13" t="s">
        <v>253</v>
      </c>
      <c r="AJ13">
        <v>0.75</v>
      </c>
      <c r="AK13" t="s">
        <v>250</v>
      </c>
    </row>
    <row r="14" spans="1:37" x14ac:dyDescent="0.3">
      <c r="A14">
        <v>1</v>
      </c>
      <c r="B14">
        <v>42</v>
      </c>
      <c r="C14">
        <v>0</v>
      </c>
      <c r="D14">
        <v>0</v>
      </c>
      <c r="E14" t="s">
        <v>18</v>
      </c>
      <c r="G14">
        <f>J14-S14</f>
        <v>-2.0822571573310134E-3</v>
      </c>
      <c r="H14">
        <f>K14+T14</f>
        <v>-6.2845665991239918E-3</v>
      </c>
      <c r="I14" s="121">
        <v>1</v>
      </c>
      <c r="J14" s="2">
        <v>0.38885028963500001</v>
      </c>
      <c r="K14" s="2">
        <v>-0.19476757348599999</v>
      </c>
      <c r="L14" s="122">
        <v>0.43490108695099999</v>
      </c>
      <c r="M14">
        <v>0.39093254679233103</v>
      </c>
      <c r="N14">
        <v>-0.188483006886876</v>
      </c>
      <c r="O14">
        <v>0.433997811085098</v>
      </c>
      <c r="P14">
        <v>2.7234070000000001E-9</v>
      </c>
      <c r="Q14" s="44">
        <v>4.5580379999999999E-12</v>
      </c>
      <c r="R14">
        <v>1</v>
      </c>
      <c r="S14">
        <f>ABS(M14)</f>
        <v>0.39093254679233103</v>
      </c>
      <c r="T14">
        <f t="shared" ref="T14:U14" si="6">ABS(N14)</f>
        <v>0.188483006886876</v>
      </c>
      <c r="U14">
        <f t="shared" si="6"/>
        <v>0.433997811085098</v>
      </c>
      <c r="W14" s="44">
        <v>0.38885028963483798</v>
      </c>
      <c r="X14" s="44">
        <v>-0.19476757348620899</v>
      </c>
      <c r="Y14">
        <v>15000</v>
      </c>
      <c r="Z14">
        <v>16</v>
      </c>
      <c r="AA14">
        <v>1</v>
      </c>
      <c r="AB14">
        <v>1</v>
      </c>
      <c r="AC14">
        <v>1</v>
      </c>
      <c r="AD14">
        <v>0.01</v>
      </c>
      <c r="AE14">
        <v>16</v>
      </c>
      <c r="AF14">
        <v>0</v>
      </c>
      <c r="AG14">
        <v>1</v>
      </c>
      <c r="AH14">
        <v>290.2</v>
      </c>
      <c r="AI14" t="s">
        <v>254</v>
      </c>
      <c r="AJ14">
        <v>1</v>
      </c>
      <c r="AK14" t="s">
        <v>255</v>
      </c>
    </row>
    <row r="15" spans="1:37" hidden="1" x14ac:dyDescent="0.3">
      <c r="A15">
        <v>1</v>
      </c>
      <c r="B15">
        <v>42</v>
      </c>
      <c r="C15">
        <v>1</v>
      </c>
      <c r="D15">
        <v>0.1</v>
      </c>
      <c r="E15" t="s">
        <v>26</v>
      </c>
      <c r="F15">
        <v>0</v>
      </c>
      <c r="I15" s="121"/>
      <c r="J15" s="2"/>
      <c r="K15" s="2"/>
      <c r="L15" s="122"/>
      <c r="M15">
        <v>0.39482690610493598</v>
      </c>
      <c r="N15">
        <v>-0.19066924078382599</v>
      </c>
      <c r="O15">
        <v>0.43845529437501002</v>
      </c>
      <c r="P15">
        <v>1.3019590000000001E-5</v>
      </c>
      <c r="Q15" s="44">
        <v>6.7296070000000006E-5</v>
      </c>
      <c r="R15">
        <v>0.99991699999999994</v>
      </c>
      <c r="W15" s="44">
        <v>0.38885028963483798</v>
      </c>
      <c r="X15" s="44">
        <v>-0.19476757348620899</v>
      </c>
      <c r="Y15">
        <v>9000</v>
      </c>
      <c r="Z15">
        <v>16</v>
      </c>
      <c r="AA15">
        <v>1</v>
      </c>
      <c r="AB15">
        <v>1</v>
      </c>
      <c r="AC15">
        <v>1</v>
      </c>
      <c r="AD15">
        <v>0.01</v>
      </c>
      <c r="AE15">
        <v>16</v>
      </c>
      <c r="AF15">
        <v>0</v>
      </c>
      <c r="AG15">
        <v>1</v>
      </c>
      <c r="AH15">
        <v>172.8</v>
      </c>
      <c r="AI15" t="s">
        <v>256</v>
      </c>
      <c r="AJ15">
        <v>1</v>
      </c>
      <c r="AK15" t="s">
        <v>255</v>
      </c>
    </row>
    <row r="16" spans="1:37" hidden="1" x14ac:dyDescent="0.3">
      <c r="A16">
        <v>1</v>
      </c>
      <c r="B16">
        <v>45</v>
      </c>
      <c r="C16">
        <v>0</v>
      </c>
      <c r="D16">
        <v>0</v>
      </c>
      <c r="E16" t="s">
        <v>18</v>
      </c>
      <c r="G16">
        <f>J16-S16</f>
        <v>-2.0089395850089731E-3</v>
      </c>
      <c r="H16">
        <f>K16+T16</f>
        <v>-6.1707325662850032E-3</v>
      </c>
      <c r="I16" s="121">
        <v>1</v>
      </c>
      <c r="J16" s="2">
        <v>0.38885028963500001</v>
      </c>
      <c r="K16" s="2">
        <v>-0.19476757348599999</v>
      </c>
      <c r="L16" s="122">
        <v>0.43490108695099999</v>
      </c>
      <c r="M16">
        <v>0.39085922922000899</v>
      </c>
      <c r="N16">
        <v>-0.18859684091971499</v>
      </c>
      <c r="O16">
        <v>0.43398122709554598</v>
      </c>
      <c r="P16">
        <v>2.6199900000000002E-9</v>
      </c>
      <c r="Q16" s="44">
        <v>5.2912279999999999E-12</v>
      </c>
      <c r="R16">
        <v>1</v>
      </c>
      <c r="S16">
        <f>ABS(M16)</f>
        <v>0.39085922922000899</v>
      </c>
      <c r="T16">
        <f t="shared" ref="T16:U16" si="7">ABS(N16)</f>
        <v>0.18859684091971499</v>
      </c>
      <c r="U16">
        <f t="shared" si="7"/>
        <v>0.43398122709554598</v>
      </c>
      <c r="W16" s="44">
        <v>0.38885028963483798</v>
      </c>
      <c r="X16" s="44">
        <v>-0.19476757348620899</v>
      </c>
      <c r="Y16">
        <v>15000</v>
      </c>
      <c r="Z16">
        <v>16</v>
      </c>
      <c r="AA16">
        <v>1</v>
      </c>
      <c r="AB16">
        <v>1</v>
      </c>
      <c r="AC16">
        <v>1</v>
      </c>
      <c r="AD16">
        <v>0.01</v>
      </c>
      <c r="AE16">
        <v>16</v>
      </c>
      <c r="AF16">
        <v>0</v>
      </c>
      <c r="AG16">
        <v>1</v>
      </c>
      <c r="AH16">
        <v>290</v>
      </c>
      <c r="AI16" t="s">
        <v>257</v>
      </c>
      <c r="AJ16">
        <v>1</v>
      </c>
      <c r="AK16" t="s">
        <v>255</v>
      </c>
    </row>
    <row r="17" spans="1:37" hidden="1" x14ac:dyDescent="0.3">
      <c r="A17">
        <v>1</v>
      </c>
      <c r="B17">
        <v>45</v>
      </c>
      <c r="C17">
        <v>1</v>
      </c>
      <c r="D17">
        <v>0.1</v>
      </c>
      <c r="E17" t="s">
        <v>26</v>
      </c>
      <c r="F17">
        <v>0</v>
      </c>
      <c r="I17" s="121"/>
      <c r="J17" s="2"/>
      <c r="K17" s="2"/>
      <c r="L17" s="122"/>
      <c r="M17">
        <v>0.39524930206525899</v>
      </c>
      <c r="N17">
        <v>-0.188458986245257</v>
      </c>
      <c r="O17">
        <v>0.43787989252723702</v>
      </c>
      <c r="P17">
        <v>1.210843E-5</v>
      </c>
      <c r="Q17" s="44">
        <v>6.1151880000000005E-5</v>
      </c>
      <c r="R17">
        <v>0.99992499999999995</v>
      </c>
      <c r="W17" s="44">
        <v>0.38885028963483798</v>
      </c>
      <c r="X17" s="44">
        <v>-0.19476757348620899</v>
      </c>
      <c r="Y17">
        <v>9000</v>
      </c>
      <c r="Z17">
        <v>16</v>
      </c>
      <c r="AA17">
        <v>1</v>
      </c>
      <c r="AB17">
        <v>1</v>
      </c>
      <c r="AC17">
        <v>1</v>
      </c>
      <c r="AD17">
        <v>0.01</v>
      </c>
      <c r="AE17">
        <v>16</v>
      </c>
      <c r="AF17">
        <v>0</v>
      </c>
      <c r="AG17">
        <v>1</v>
      </c>
      <c r="AH17">
        <v>175.6</v>
      </c>
      <c r="AI17" t="s">
        <v>258</v>
      </c>
      <c r="AJ17">
        <v>1</v>
      </c>
      <c r="AK17" t="s">
        <v>255</v>
      </c>
    </row>
    <row r="18" spans="1:37" x14ac:dyDescent="0.3">
      <c r="A18">
        <v>1.25</v>
      </c>
      <c r="B18">
        <v>42</v>
      </c>
      <c r="C18">
        <v>0</v>
      </c>
      <c r="D18">
        <v>0</v>
      </c>
      <c r="E18" t="s">
        <v>18</v>
      </c>
      <c r="G18">
        <f>J18-S18</f>
        <v>-1.4451932695229708E-3</v>
      </c>
      <c r="H18">
        <f>K18+T18</f>
        <v>-1.0287162185787999E-2</v>
      </c>
      <c r="I18" s="121">
        <v>1.25</v>
      </c>
      <c r="J18" s="2">
        <v>0.417508794106</v>
      </c>
      <c r="K18" s="2">
        <v>-0.121759444294</v>
      </c>
      <c r="L18" s="122">
        <v>0.43490108695099999</v>
      </c>
      <c r="M18">
        <v>-0.41895398737552297</v>
      </c>
      <c r="N18">
        <v>0.111472282108212</v>
      </c>
      <c r="O18">
        <v>0.43353029100198098</v>
      </c>
      <c r="P18">
        <v>3.2206490000000001E-9</v>
      </c>
      <c r="Q18" s="44">
        <v>5.7962510000000002E-12</v>
      </c>
      <c r="R18">
        <v>1</v>
      </c>
      <c r="S18">
        <f>ABS(M18)</f>
        <v>0.41895398737552297</v>
      </c>
      <c r="T18">
        <f t="shared" ref="T18:U18" si="8">ABS(N18)</f>
        <v>0.111472282108212</v>
      </c>
      <c r="U18">
        <f t="shared" si="8"/>
        <v>0.43353029100198098</v>
      </c>
      <c r="W18" s="44">
        <v>0.41750879410619202</v>
      </c>
      <c r="X18" s="44">
        <v>-0.121759444294053</v>
      </c>
      <c r="Y18">
        <v>15000</v>
      </c>
      <c r="Z18">
        <v>16</v>
      </c>
      <c r="AA18">
        <v>1</v>
      </c>
      <c r="AB18">
        <v>1</v>
      </c>
      <c r="AC18">
        <v>1</v>
      </c>
      <c r="AD18">
        <v>0.01</v>
      </c>
      <c r="AE18">
        <v>16</v>
      </c>
      <c r="AF18">
        <v>0</v>
      </c>
      <c r="AG18">
        <v>1.25</v>
      </c>
      <c r="AH18">
        <v>292.10000000000002</v>
      </c>
      <c r="AI18" t="s">
        <v>259</v>
      </c>
      <c r="AJ18">
        <v>1.25</v>
      </c>
      <c r="AK18" t="s">
        <v>260</v>
      </c>
    </row>
    <row r="19" spans="1:37" hidden="1" x14ac:dyDescent="0.3">
      <c r="A19">
        <v>1.25</v>
      </c>
      <c r="B19">
        <v>42</v>
      </c>
      <c r="C19">
        <v>1</v>
      </c>
      <c r="D19">
        <v>0.1</v>
      </c>
      <c r="E19" t="s">
        <v>26</v>
      </c>
      <c r="F19">
        <v>0</v>
      </c>
      <c r="I19" s="121"/>
      <c r="J19" s="2"/>
      <c r="K19" s="2"/>
      <c r="L19" s="122"/>
      <c r="M19">
        <v>-0.42560135674819599</v>
      </c>
      <c r="N19">
        <v>0.11443927126643599</v>
      </c>
      <c r="O19">
        <v>0.44071857423291999</v>
      </c>
      <c r="P19">
        <v>1.5634999999999999E-5</v>
      </c>
      <c r="Q19" s="44">
        <v>9.0084329999999996E-5</v>
      </c>
      <c r="R19">
        <v>0.99988299999999997</v>
      </c>
      <c r="W19" s="44">
        <v>0.41750879410619202</v>
      </c>
      <c r="X19" s="44">
        <v>-0.121759444294053</v>
      </c>
      <c r="Y19">
        <v>9000</v>
      </c>
      <c r="Z19">
        <v>16</v>
      </c>
      <c r="AA19">
        <v>1</v>
      </c>
      <c r="AB19">
        <v>1</v>
      </c>
      <c r="AC19">
        <v>1</v>
      </c>
      <c r="AD19">
        <v>0.01</v>
      </c>
      <c r="AE19">
        <v>16</v>
      </c>
      <c r="AF19">
        <v>0</v>
      </c>
      <c r="AG19">
        <v>1.25</v>
      </c>
      <c r="AH19">
        <v>173.4</v>
      </c>
      <c r="AI19" t="s">
        <v>261</v>
      </c>
      <c r="AJ19">
        <v>1.25</v>
      </c>
      <c r="AK19" t="s">
        <v>260</v>
      </c>
    </row>
    <row r="20" spans="1:37" hidden="1" x14ac:dyDescent="0.3">
      <c r="A20">
        <v>1.25</v>
      </c>
      <c r="B20">
        <v>45</v>
      </c>
      <c r="C20">
        <v>0</v>
      </c>
      <c r="D20">
        <v>0</v>
      </c>
      <c r="E20" t="s">
        <v>18</v>
      </c>
      <c r="G20">
        <f>J20-S20</f>
        <v>-1.4252477287229892E-3</v>
      </c>
      <c r="H20">
        <f>K20+T20</f>
        <v>-1.0097234184794995E-2</v>
      </c>
      <c r="I20" s="121">
        <v>1.25</v>
      </c>
      <c r="J20" s="2">
        <v>0.417508794106</v>
      </c>
      <c r="K20" s="2">
        <v>-0.121759444294</v>
      </c>
      <c r="L20" s="122">
        <v>0.43490108695099999</v>
      </c>
      <c r="M20">
        <v>0.41893404183472299</v>
      </c>
      <c r="N20">
        <v>-0.111662210109205</v>
      </c>
      <c r="O20">
        <v>0.43355989271892997</v>
      </c>
      <c r="P20">
        <v>2.793639E-9</v>
      </c>
      <c r="Q20" s="44">
        <v>4.2668850000000002E-12</v>
      </c>
      <c r="R20">
        <v>1</v>
      </c>
      <c r="S20">
        <f>ABS(M20)</f>
        <v>0.41893404183472299</v>
      </c>
      <c r="T20">
        <f t="shared" ref="T20:U20" si="9">ABS(N20)</f>
        <v>0.111662210109205</v>
      </c>
      <c r="U20">
        <f t="shared" si="9"/>
        <v>0.43355989271892997</v>
      </c>
      <c r="W20" s="44">
        <v>0.41750879410619202</v>
      </c>
      <c r="X20" s="44">
        <v>-0.121759444294053</v>
      </c>
      <c r="Y20">
        <v>15000</v>
      </c>
      <c r="Z20">
        <v>16</v>
      </c>
      <c r="AA20">
        <v>1</v>
      </c>
      <c r="AB20">
        <v>1</v>
      </c>
      <c r="AC20">
        <v>1</v>
      </c>
      <c r="AD20">
        <v>0.01</v>
      </c>
      <c r="AE20">
        <v>16</v>
      </c>
      <c r="AF20">
        <v>0</v>
      </c>
      <c r="AG20">
        <v>1.25</v>
      </c>
      <c r="AH20">
        <v>291</v>
      </c>
      <c r="AI20" t="s">
        <v>262</v>
      </c>
      <c r="AJ20">
        <v>1.25</v>
      </c>
      <c r="AK20" t="s">
        <v>260</v>
      </c>
    </row>
    <row r="21" spans="1:37" hidden="1" x14ac:dyDescent="0.3">
      <c r="A21">
        <v>1.25</v>
      </c>
      <c r="B21">
        <v>45</v>
      </c>
      <c r="C21">
        <v>1</v>
      </c>
      <c r="D21">
        <v>0.1</v>
      </c>
      <c r="E21" t="s">
        <v>26</v>
      </c>
      <c r="F21">
        <v>0</v>
      </c>
      <c r="I21" s="121"/>
      <c r="J21" s="2"/>
      <c r="K21" s="2"/>
      <c r="L21" s="122"/>
      <c r="M21">
        <v>0.424301341581377</v>
      </c>
      <c r="N21">
        <v>-0.117625465511991</v>
      </c>
      <c r="O21">
        <v>0.44030373448867</v>
      </c>
      <c r="P21">
        <v>1.431789E-5</v>
      </c>
      <c r="Q21" s="44">
        <v>8.1233610000000002E-5</v>
      </c>
      <c r="R21">
        <v>0.99989700000000004</v>
      </c>
      <c r="W21" s="44">
        <v>0.41750879410619202</v>
      </c>
      <c r="X21" s="44">
        <v>-0.121759444294053</v>
      </c>
      <c r="Y21">
        <v>9000</v>
      </c>
      <c r="Z21">
        <v>16</v>
      </c>
      <c r="AA21">
        <v>1</v>
      </c>
      <c r="AB21">
        <v>1</v>
      </c>
      <c r="AC21">
        <v>1</v>
      </c>
      <c r="AD21">
        <v>0.01</v>
      </c>
      <c r="AE21">
        <v>16</v>
      </c>
      <c r="AF21">
        <v>0</v>
      </c>
      <c r="AG21">
        <v>1.25</v>
      </c>
      <c r="AH21">
        <v>174.1</v>
      </c>
      <c r="AI21" t="s">
        <v>263</v>
      </c>
      <c r="AJ21">
        <v>1.25</v>
      </c>
      <c r="AK21" t="s">
        <v>260</v>
      </c>
    </row>
    <row r="22" spans="1:37" x14ac:dyDescent="0.3">
      <c r="A22">
        <v>1.5</v>
      </c>
      <c r="B22">
        <v>42</v>
      </c>
      <c r="C22">
        <v>0</v>
      </c>
      <c r="D22">
        <v>0</v>
      </c>
      <c r="E22" t="s">
        <v>18</v>
      </c>
      <c r="G22">
        <f>J22-S22</f>
        <v>1.2006027115039619E-3</v>
      </c>
      <c r="H22">
        <f>K22+T22</f>
        <v>-1.48953651411986E-2</v>
      </c>
      <c r="I22" s="121">
        <v>1.5</v>
      </c>
      <c r="J22" s="2">
        <v>0.43403710680399998</v>
      </c>
      <c r="K22" s="2">
        <v>-2.7399732632000001E-2</v>
      </c>
      <c r="L22" s="122">
        <v>0.43490108695099999</v>
      </c>
      <c r="M22">
        <v>-0.43283650409249602</v>
      </c>
      <c r="N22">
        <v>1.25043674908014E-2</v>
      </c>
      <c r="O22">
        <v>0.43301708797847499</v>
      </c>
      <c r="P22">
        <v>2.998813E-9</v>
      </c>
      <c r="Q22" s="44">
        <v>5.9107149999999996E-12</v>
      </c>
      <c r="R22">
        <v>1</v>
      </c>
      <c r="S22">
        <f>ABS(M22)</f>
        <v>0.43283650409249602</v>
      </c>
      <c r="T22">
        <f t="shared" ref="T22:U22" si="10">ABS(N22)</f>
        <v>1.25043674908014E-2</v>
      </c>
      <c r="U22">
        <f t="shared" si="10"/>
        <v>0.43301708797847499</v>
      </c>
      <c r="W22" s="44">
        <v>0.43403710680369301</v>
      </c>
      <c r="X22" s="44">
        <v>-2.7399732631603901E-2</v>
      </c>
      <c r="Y22">
        <v>15000</v>
      </c>
      <c r="Z22">
        <v>16</v>
      </c>
      <c r="AA22">
        <v>1</v>
      </c>
      <c r="AB22">
        <v>1</v>
      </c>
      <c r="AC22">
        <v>1</v>
      </c>
      <c r="AD22">
        <v>0.01</v>
      </c>
      <c r="AE22">
        <v>16</v>
      </c>
      <c r="AF22">
        <v>0</v>
      </c>
      <c r="AG22">
        <v>1.5</v>
      </c>
      <c r="AH22">
        <v>290.8</v>
      </c>
      <c r="AI22" t="s">
        <v>264</v>
      </c>
      <c r="AJ22">
        <v>1.5</v>
      </c>
      <c r="AK22" t="s">
        <v>265</v>
      </c>
    </row>
    <row r="23" spans="1:37" hidden="1" x14ac:dyDescent="0.3">
      <c r="A23">
        <v>1.5</v>
      </c>
      <c r="B23">
        <v>42</v>
      </c>
      <c r="C23">
        <v>1</v>
      </c>
      <c r="D23">
        <v>0.1</v>
      </c>
      <c r="E23" t="s">
        <v>26</v>
      </c>
      <c r="F23">
        <v>0</v>
      </c>
      <c r="I23" s="121"/>
      <c r="J23" s="2"/>
      <c r="K23" s="2"/>
      <c r="L23" s="122"/>
      <c r="M23">
        <v>-0.44311271780836697</v>
      </c>
      <c r="N23">
        <v>2.1019014779760498E-2</v>
      </c>
      <c r="O23">
        <v>0.44361095530411399</v>
      </c>
      <c r="P23">
        <v>1.8438979999999999E-5</v>
      </c>
      <c r="Q23" s="44">
        <v>1.2668E-4</v>
      </c>
      <c r="R23">
        <v>0.999838</v>
      </c>
      <c r="W23" s="44">
        <v>0.43403710680369301</v>
      </c>
      <c r="X23" s="44">
        <v>-2.7399732631603901E-2</v>
      </c>
      <c r="Y23">
        <v>9000</v>
      </c>
      <c r="Z23">
        <v>16</v>
      </c>
      <c r="AA23">
        <v>1</v>
      </c>
      <c r="AB23">
        <v>1</v>
      </c>
      <c r="AC23">
        <v>1</v>
      </c>
      <c r="AD23">
        <v>0.01</v>
      </c>
      <c r="AE23">
        <v>16</v>
      </c>
      <c r="AF23">
        <v>0</v>
      </c>
      <c r="AG23">
        <v>1.5</v>
      </c>
      <c r="AH23">
        <v>173.9</v>
      </c>
      <c r="AI23" t="s">
        <v>266</v>
      </c>
      <c r="AJ23">
        <v>1.5</v>
      </c>
      <c r="AK23" t="s">
        <v>265</v>
      </c>
    </row>
    <row r="24" spans="1:37" hidden="1" x14ac:dyDescent="0.3">
      <c r="A24">
        <v>1.5</v>
      </c>
      <c r="B24">
        <v>45</v>
      </c>
      <c r="C24">
        <v>0</v>
      </c>
      <c r="D24">
        <v>0</v>
      </c>
      <c r="E24" t="s">
        <v>18</v>
      </c>
      <c r="G24">
        <f>J24-S24</f>
        <v>1.161101752589988E-3</v>
      </c>
      <c r="H24">
        <f>K24+T24</f>
        <v>-1.4825419830670001E-2</v>
      </c>
      <c r="I24" s="121">
        <v>1.5</v>
      </c>
      <c r="J24" s="2">
        <v>0.43403710680399998</v>
      </c>
      <c r="K24" s="2">
        <v>-2.7399732632000001E-2</v>
      </c>
      <c r="L24" s="122">
        <v>0.43490108695099999</v>
      </c>
      <c r="M24">
        <v>-0.43287600505141</v>
      </c>
      <c r="N24">
        <v>1.257431280133E-2</v>
      </c>
      <c r="O24">
        <v>0.433058597757502</v>
      </c>
      <c r="P24">
        <v>2.995315E-9</v>
      </c>
      <c r="Q24" s="44">
        <v>5.1394829999999999E-12</v>
      </c>
      <c r="R24">
        <v>1</v>
      </c>
      <c r="S24">
        <f>ABS(M24)</f>
        <v>0.43287600505141</v>
      </c>
      <c r="T24">
        <f t="shared" ref="T24:U24" si="11">ABS(N24)</f>
        <v>1.257431280133E-2</v>
      </c>
      <c r="U24">
        <f t="shared" si="11"/>
        <v>0.433058597757502</v>
      </c>
      <c r="W24" s="44">
        <v>0.43403710680369301</v>
      </c>
      <c r="X24" s="44">
        <v>-2.7399732631603901E-2</v>
      </c>
      <c r="Y24">
        <v>15000</v>
      </c>
      <c r="Z24">
        <v>16</v>
      </c>
      <c r="AA24">
        <v>1</v>
      </c>
      <c r="AB24">
        <v>1</v>
      </c>
      <c r="AC24">
        <v>1</v>
      </c>
      <c r="AD24">
        <v>0.01</v>
      </c>
      <c r="AE24">
        <v>16</v>
      </c>
      <c r="AF24">
        <v>0</v>
      </c>
      <c r="AG24">
        <v>1.5</v>
      </c>
      <c r="AH24">
        <v>288.10000000000002</v>
      </c>
      <c r="AI24" t="s">
        <v>267</v>
      </c>
      <c r="AJ24">
        <v>1.5</v>
      </c>
      <c r="AK24" t="s">
        <v>265</v>
      </c>
    </row>
    <row r="25" spans="1:37" hidden="1" x14ac:dyDescent="0.3">
      <c r="A25">
        <v>1.5</v>
      </c>
      <c r="B25">
        <v>45</v>
      </c>
      <c r="C25">
        <v>1</v>
      </c>
      <c r="D25">
        <v>0.1</v>
      </c>
      <c r="E25" t="s">
        <v>26</v>
      </c>
      <c r="F25">
        <v>0</v>
      </c>
      <c r="I25" s="121"/>
      <c r="J25" s="2"/>
      <c r="K25" s="2"/>
      <c r="L25" s="122"/>
      <c r="M25">
        <v>-0.44238232286032803</v>
      </c>
      <c r="N25">
        <v>2.3551353538518598E-2</v>
      </c>
      <c r="O25">
        <v>0.44300878753450901</v>
      </c>
      <c r="P25">
        <v>1.698746E-5</v>
      </c>
      <c r="Q25" s="44">
        <v>1.1594080000000001E-4</v>
      </c>
      <c r="R25">
        <v>0.99985599999999997</v>
      </c>
      <c r="W25" s="44">
        <v>0.43403710680369301</v>
      </c>
      <c r="X25" s="44">
        <v>-2.7399732631603901E-2</v>
      </c>
      <c r="Y25">
        <v>9000</v>
      </c>
      <c r="Z25">
        <v>16</v>
      </c>
      <c r="AA25">
        <v>1</v>
      </c>
      <c r="AB25">
        <v>1</v>
      </c>
      <c r="AC25">
        <v>1</v>
      </c>
      <c r="AD25">
        <v>0.01</v>
      </c>
      <c r="AE25">
        <v>16</v>
      </c>
      <c r="AF25">
        <v>0</v>
      </c>
      <c r="AG25">
        <v>1.5</v>
      </c>
      <c r="AH25">
        <v>174.1</v>
      </c>
      <c r="AI25" t="s">
        <v>268</v>
      </c>
      <c r="AJ25">
        <v>1.5</v>
      </c>
      <c r="AK25" t="s">
        <v>265</v>
      </c>
    </row>
    <row r="26" spans="1:37" x14ac:dyDescent="0.3">
      <c r="A26">
        <v>1.75</v>
      </c>
      <c r="B26">
        <v>42</v>
      </c>
      <c r="C26">
        <v>0</v>
      </c>
      <c r="D26">
        <v>0</v>
      </c>
      <c r="E26" t="s">
        <v>18</v>
      </c>
      <c r="G26">
        <f>J26-S26</f>
        <v>6.8497461558009731E-3</v>
      </c>
      <c r="H26">
        <f>K26+T26</f>
        <v>0.19030760969668498</v>
      </c>
      <c r="I26" s="121">
        <v>1.75</v>
      </c>
      <c r="J26" s="2">
        <v>0.42642054565499998</v>
      </c>
      <c r="K26" s="2">
        <v>8.5466213641999994E-2</v>
      </c>
      <c r="L26" s="122">
        <v>0.43490108695099999</v>
      </c>
      <c r="M26">
        <v>0.41957079949919901</v>
      </c>
      <c r="N26">
        <v>0.104841396054685</v>
      </c>
      <c r="O26">
        <v>0.43247124080000099</v>
      </c>
      <c r="P26">
        <v>2.8814499999999998E-9</v>
      </c>
      <c r="Q26" s="44">
        <v>4.8222600000000001E-12</v>
      </c>
      <c r="R26">
        <v>1</v>
      </c>
      <c r="S26">
        <f>ABS(M26)</f>
        <v>0.41957079949919901</v>
      </c>
      <c r="T26">
        <f t="shared" ref="T26:U26" si="12">ABS(N26)</f>
        <v>0.104841396054685</v>
      </c>
      <c r="U26">
        <f t="shared" si="12"/>
        <v>0.43247124080000099</v>
      </c>
      <c r="W26" s="44">
        <v>0.42642054565481502</v>
      </c>
      <c r="X26" s="44">
        <v>8.5466213641724506E-2</v>
      </c>
      <c r="Y26">
        <v>15000</v>
      </c>
      <c r="Z26">
        <v>16</v>
      </c>
      <c r="AA26">
        <v>1</v>
      </c>
      <c r="AB26">
        <v>1</v>
      </c>
      <c r="AC26">
        <v>1</v>
      </c>
      <c r="AD26">
        <v>0.01</v>
      </c>
      <c r="AE26">
        <v>16</v>
      </c>
      <c r="AF26">
        <v>0</v>
      </c>
      <c r="AG26">
        <v>1.75</v>
      </c>
      <c r="AH26">
        <v>289.7</v>
      </c>
      <c r="AI26" t="s">
        <v>269</v>
      </c>
      <c r="AJ26">
        <v>1.75</v>
      </c>
      <c r="AK26" t="s">
        <v>270</v>
      </c>
    </row>
    <row r="27" spans="1:37" hidden="1" x14ac:dyDescent="0.3">
      <c r="A27">
        <v>1.75</v>
      </c>
      <c r="B27">
        <v>42</v>
      </c>
      <c r="C27">
        <v>1</v>
      </c>
      <c r="D27">
        <v>0.1</v>
      </c>
      <c r="E27" t="s">
        <v>26</v>
      </c>
      <c r="F27">
        <v>0</v>
      </c>
      <c r="I27" s="121"/>
      <c r="J27" s="2"/>
      <c r="K27" s="2"/>
      <c r="L27" s="122"/>
      <c r="M27">
        <v>0.43871759620009898</v>
      </c>
      <c r="N27">
        <v>0.10227163177441199</v>
      </c>
      <c r="O27">
        <v>0.450480427856077</v>
      </c>
      <c r="P27">
        <v>2.131018E-5</v>
      </c>
      <c r="Q27" s="44">
        <v>1.631003E-4</v>
      </c>
      <c r="R27">
        <v>0.99977800000000006</v>
      </c>
      <c r="W27" s="44">
        <v>0.42642054565481502</v>
      </c>
      <c r="X27" s="44">
        <v>8.5466213641724506E-2</v>
      </c>
      <c r="Y27">
        <v>9000</v>
      </c>
      <c r="Z27">
        <v>16</v>
      </c>
      <c r="AA27">
        <v>1</v>
      </c>
      <c r="AB27">
        <v>1</v>
      </c>
      <c r="AC27">
        <v>1</v>
      </c>
      <c r="AD27">
        <v>0.01</v>
      </c>
      <c r="AE27">
        <v>16</v>
      </c>
      <c r="AF27">
        <v>0</v>
      </c>
      <c r="AG27">
        <v>1.75</v>
      </c>
      <c r="AH27">
        <v>173</v>
      </c>
      <c r="AI27" t="s">
        <v>271</v>
      </c>
      <c r="AJ27">
        <v>1.75</v>
      </c>
      <c r="AK27" t="s">
        <v>270</v>
      </c>
    </row>
    <row r="28" spans="1:37" hidden="1" x14ac:dyDescent="0.3">
      <c r="A28">
        <v>1.75</v>
      </c>
      <c r="B28">
        <v>45</v>
      </c>
      <c r="C28">
        <v>0</v>
      </c>
      <c r="D28">
        <v>0</v>
      </c>
      <c r="E28" t="s">
        <v>18</v>
      </c>
      <c r="G28">
        <f>J28-S28</f>
        <v>6.8198049779459868E-3</v>
      </c>
      <c r="H28">
        <f>K28+T28</f>
        <v>0.18996263103566299</v>
      </c>
      <c r="I28" s="121">
        <v>1.75</v>
      </c>
      <c r="J28" s="2">
        <v>0.42642054565499998</v>
      </c>
      <c r="K28" s="2">
        <v>8.5466213641999994E-2</v>
      </c>
      <c r="L28" s="122">
        <v>0.43490108695099999</v>
      </c>
      <c r="M28">
        <v>0.419600740677054</v>
      </c>
      <c r="N28">
        <v>0.104496417393663</v>
      </c>
      <c r="O28">
        <v>0.43241679294962998</v>
      </c>
      <c r="P28">
        <v>2.8267840000000001E-9</v>
      </c>
      <c r="Q28" s="44">
        <v>4.0495519999999998E-12</v>
      </c>
      <c r="R28">
        <v>1</v>
      </c>
      <c r="S28">
        <f>ABS(M28)</f>
        <v>0.419600740677054</v>
      </c>
      <c r="T28">
        <f t="shared" ref="T28:U28" si="13">ABS(N28)</f>
        <v>0.104496417393663</v>
      </c>
      <c r="U28">
        <f t="shared" si="13"/>
        <v>0.43241679294962998</v>
      </c>
      <c r="W28" s="44">
        <v>0.42642054565481502</v>
      </c>
      <c r="X28" s="44">
        <v>8.5466213641724506E-2</v>
      </c>
      <c r="Y28">
        <v>15000</v>
      </c>
      <c r="Z28">
        <v>16</v>
      </c>
      <c r="AA28">
        <v>1</v>
      </c>
      <c r="AB28">
        <v>1</v>
      </c>
      <c r="AC28">
        <v>1</v>
      </c>
      <c r="AD28">
        <v>0.01</v>
      </c>
      <c r="AE28">
        <v>16</v>
      </c>
      <c r="AF28">
        <v>0</v>
      </c>
      <c r="AG28">
        <v>1.75</v>
      </c>
      <c r="AH28">
        <v>285.3</v>
      </c>
      <c r="AI28" t="s">
        <v>272</v>
      </c>
      <c r="AJ28">
        <v>1.75</v>
      </c>
      <c r="AK28" t="s">
        <v>270</v>
      </c>
    </row>
    <row r="29" spans="1:37" hidden="1" x14ac:dyDescent="0.3">
      <c r="A29">
        <v>1.75</v>
      </c>
      <c r="B29">
        <v>45</v>
      </c>
      <c r="C29">
        <v>1</v>
      </c>
      <c r="D29">
        <v>0.1</v>
      </c>
      <c r="E29" t="s">
        <v>26</v>
      </c>
      <c r="F29">
        <v>0</v>
      </c>
      <c r="I29" s="121"/>
      <c r="J29" s="2"/>
      <c r="K29" s="2"/>
      <c r="L29" s="122"/>
      <c r="M29">
        <v>0.434606882567391</v>
      </c>
      <c r="N29">
        <v>0.10065891264325</v>
      </c>
      <c r="O29">
        <v>0.44611137518501698</v>
      </c>
      <c r="P29">
        <v>1.9875099999999999E-5</v>
      </c>
      <c r="Q29" s="44">
        <v>1.5277739999999999E-4</v>
      </c>
      <c r="R29">
        <v>0.999803</v>
      </c>
      <c r="W29" s="44">
        <v>0.42642054565481502</v>
      </c>
      <c r="X29" s="44">
        <v>8.5466213641724506E-2</v>
      </c>
      <c r="Y29">
        <v>9000</v>
      </c>
      <c r="Z29">
        <v>16</v>
      </c>
      <c r="AA29">
        <v>1</v>
      </c>
      <c r="AB29">
        <v>1</v>
      </c>
      <c r="AC29">
        <v>1</v>
      </c>
      <c r="AD29">
        <v>0.01</v>
      </c>
      <c r="AE29">
        <v>16</v>
      </c>
      <c r="AF29">
        <v>0</v>
      </c>
      <c r="AG29">
        <v>1.75</v>
      </c>
      <c r="AH29">
        <v>172.8</v>
      </c>
      <c r="AI29" t="s">
        <v>273</v>
      </c>
      <c r="AJ29">
        <v>1.75</v>
      </c>
      <c r="AK29" t="s">
        <v>270</v>
      </c>
    </row>
    <row r="30" spans="1:37" x14ac:dyDescent="0.3">
      <c r="A30">
        <v>2</v>
      </c>
      <c r="B30">
        <v>42</v>
      </c>
      <c r="C30">
        <v>0</v>
      </c>
      <c r="D30">
        <v>0</v>
      </c>
      <c r="E30" t="s">
        <v>18</v>
      </c>
      <c r="G30">
        <f>J30-S30</f>
        <v>1.6128494858678011E-2</v>
      </c>
      <c r="H30">
        <f>K30+T30</f>
        <v>0.43731668074110996</v>
      </c>
      <c r="I30" s="121">
        <v>2</v>
      </c>
      <c r="J30" s="2">
        <v>0.381914228726</v>
      </c>
      <c r="K30" s="2">
        <v>0.208039605189</v>
      </c>
      <c r="L30" s="122">
        <v>0.43490108695099999</v>
      </c>
      <c r="M30">
        <v>0.36578573386732199</v>
      </c>
      <c r="N30">
        <v>0.22927707555210999</v>
      </c>
      <c r="O30">
        <v>0.431702652846358</v>
      </c>
      <c r="P30">
        <v>2.8600279999999999E-9</v>
      </c>
      <c r="Q30" s="44">
        <v>5.0161609999999997E-12</v>
      </c>
      <c r="R30">
        <v>1</v>
      </c>
      <c r="S30">
        <f>ABS(M30)</f>
        <v>0.36578573386732199</v>
      </c>
      <c r="T30">
        <f t="shared" ref="T30:U30" si="14">ABS(N30)</f>
        <v>0.22927707555210999</v>
      </c>
      <c r="U30">
        <f t="shared" si="14"/>
        <v>0.431702652846358</v>
      </c>
      <c r="W30" s="44">
        <v>0.38191422872612701</v>
      </c>
      <c r="X30" s="44">
        <v>0.20803960518932599</v>
      </c>
      <c r="Y30">
        <v>15000</v>
      </c>
      <c r="Z30">
        <v>16</v>
      </c>
      <c r="AA30">
        <v>1</v>
      </c>
      <c r="AB30">
        <v>1</v>
      </c>
      <c r="AC30">
        <v>1</v>
      </c>
      <c r="AD30">
        <v>0.01</v>
      </c>
      <c r="AE30">
        <v>16</v>
      </c>
      <c r="AF30">
        <v>0</v>
      </c>
      <c r="AG30">
        <v>2</v>
      </c>
      <c r="AH30">
        <v>290.5</v>
      </c>
      <c r="AI30" t="s">
        <v>274</v>
      </c>
      <c r="AJ30">
        <v>2</v>
      </c>
      <c r="AK30" t="s">
        <v>275</v>
      </c>
    </row>
    <row r="31" spans="1:37" hidden="1" x14ac:dyDescent="0.3">
      <c r="A31">
        <v>2</v>
      </c>
      <c r="B31">
        <v>42</v>
      </c>
      <c r="C31">
        <v>1</v>
      </c>
      <c r="D31">
        <v>0.1</v>
      </c>
      <c r="E31" t="s">
        <v>26</v>
      </c>
      <c r="F31">
        <v>0</v>
      </c>
      <c r="I31" s="121"/>
      <c r="J31" s="2"/>
      <c r="K31" s="2"/>
      <c r="L31" s="122"/>
      <c r="M31">
        <v>0.38190066967500702</v>
      </c>
      <c r="N31">
        <v>0.23434022872556401</v>
      </c>
      <c r="O31">
        <v>0.44806636148830498</v>
      </c>
      <c r="P31">
        <v>2.366977E-5</v>
      </c>
      <c r="Q31" s="44">
        <v>1.927047E-4</v>
      </c>
      <c r="R31">
        <v>0.99972799999999995</v>
      </c>
      <c r="W31" s="44">
        <v>0.38191422872612701</v>
      </c>
      <c r="X31" s="44">
        <v>0.20803960518932599</v>
      </c>
      <c r="Y31">
        <v>9000</v>
      </c>
      <c r="Z31">
        <v>16</v>
      </c>
      <c r="AA31">
        <v>1</v>
      </c>
      <c r="AB31">
        <v>1</v>
      </c>
      <c r="AC31">
        <v>1</v>
      </c>
      <c r="AD31">
        <v>0.01</v>
      </c>
      <c r="AE31">
        <v>16</v>
      </c>
      <c r="AF31">
        <v>0</v>
      </c>
      <c r="AG31">
        <v>2</v>
      </c>
      <c r="AH31">
        <v>171.1</v>
      </c>
      <c r="AI31" t="s">
        <v>276</v>
      </c>
      <c r="AJ31">
        <v>2</v>
      </c>
      <c r="AK31" t="s">
        <v>275</v>
      </c>
    </row>
    <row r="32" spans="1:37" hidden="1" x14ac:dyDescent="0.3">
      <c r="A32">
        <v>2</v>
      </c>
      <c r="B32">
        <v>45</v>
      </c>
      <c r="C32">
        <v>0</v>
      </c>
      <c r="D32">
        <v>0</v>
      </c>
      <c r="E32" t="s">
        <v>18</v>
      </c>
      <c r="G32">
        <f>J32-S32</f>
        <v>1.6087007764146011E-2</v>
      </c>
      <c r="H32">
        <f>K32+T32</f>
        <v>0.437312453198347</v>
      </c>
      <c r="I32" s="121">
        <v>2</v>
      </c>
      <c r="J32" s="2">
        <v>0.381914228726</v>
      </c>
      <c r="K32" s="2">
        <v>0.208039605189</v>
      </c>
      <c r="L32" s="122">
        <v>0.43490108695099999</v>
      </c>
      <c r="M32">
        <v>-0.36582722096185399</v>
      </c>
      <c r="N32">
        <v>-0.229272848009347</v>
      </c>
      <c r="O32">
        <v>0.43173556076722502</v>
      </c>
      <c r="P32">
        <v>3.4813799999999998E-9</v>
      </c>
      <c r="Q32" s="44">
        <v>6.6315470000000002E-12</v>
      </c>
      <c r="R32">
        <v>1</v>
      </c>
      <c r="S32">
        <f>ABS(M32)</f>
        <v>0.36582722096185399</v>
      </c>
      <c r="T32">
        <f t="shared" ref="T32:U32" si="15">ABS(N32)</f>
        <v>0.229272848009347</v>
      </c>
      <c r="U32">
        <f t="shared" si="15"/>
        <v>0.43173556076722502</v>
      </c>
      <c r="W32" s="44">
        <v>0.38191422872612701</v>
      </c>
      <c r="X32" s="44">
        <v>0.20803960518932599</v>
      </c>
      <c r="Y32">
        <v>15000</v>
      </c>
      <c r="Z32">
        <v>16</v>
      </c>
      <c r="AA32">
        <v>1</v>
      </c>
      <c r="AB32">
        <v>1</v>
      </c>
      <c r="AC32">
        <v>1</v>
      </c>
      <c r="AD32">
        <v>0.01</v>
      </c>
      <c r="AE32">
        <v>16</v>
      </c>
      <c r="AF32">
        <v>0</v>
      </c>
      <c r="AG32">
        <v>2</v>
      </c>
      <c r="AH32">
        <v>288.10000000000002</v>
      </c>
      <c r="AI32" t="s">
        <v>277</v>
      </c>
      <c r="AJ32">
        <v>2</v>
      </c>
      <c r="AK32" t="s">
        <v>275</v>
      </c>
    </row>
    <row r="33" spans="1:37" hidden="1" x14ac:dyDescent="0.3">
      <c r="A33">
        <v>2</v>
      </c>
      <c r="B33">
        <v>45</v>
      </c>
      <c r="C33">
        <v>1</v>
      </c>
      <c r="D33">
        <v>0.1</v>
      </c>
      <c r="E33" t="s">
        <v>26</v>
      </c>
      <c r="F33">
        <v>0</v>
      </c>
      <c r="I33" s="121"/>
      <c r="J33" s="2"/>
      <c r="K33" s="2"/>
      <c r="L33" s="122"/>
      <c r="M33">
        <v>-0.39792526184118299</v>
      </c>
      <c r="N33">
        <v>-0.21222989313476101</v>
      </c>
      <c r="O33">
        <v>0.45098341604915598</v>
      </c>
      <c r="P33">
        <v>2.2954899999999999E-5</v>
      </c>
      <c r="Q33" s="44">
        <v>2.018357E-4</v>
      </c>
      <c r="R33">
        <v>0.99974300000000005</v>
      </c>
      <c r="W33" s="44">
        <v>0.38191422872612701</v>
      </c>
      <c r="X33" s="44">
        <v>0.20803960518932599</v>
      </c>
      <c r="Y33">
        <v>9000</v>
      </c>
      <c r="Z33">
        <v>16</v>
      </c>
      <c r="AA33">
        <v>1</v>
      </c>
      <c r="AB33">
        <v>1</v>
      </c>
      <c r="AC33">
        <v>1</v>
      </c>
      <c r="AD33">
        <v>0.01</v>
      </c>
      <c r="AE33">
        <v>16</v>
      </c>
      <c r="AF33">
        <v>0</v>
      </c>
      <c r="AG33">
        <v>2</v>
      </c>
      <c r="AH33">
        <v>172.7</v>
      </c>
      <c r="AI33" t="s">
        <v>278</v>
      </c>
      <c r="AJ33">
        <v>2</v>
      </c>
      <c r="AK33" t="s">
        <v>275</v>
      </c>
    </row>
    <row r="34" spans="1:37" x14ac:dyDescent="0.3">
      <c r="A34">
        <v>2.25</v>
      </c>
      <c r="B34">
        <v>42</v>
      </c>
      <c r="C34">
        <v>0</v>
      </c>
      <c r="D34">
        <v>0</v>
      </c>
      <c r="E34" t="s">
        <v>18</v>
      </c>
      <c r="G34">
        <f>J34-S34</f>
        <v>2.8487188058239965E-2</v>
      </c>
      <c r="H34">
        <f>K34+T34</f>
        <v>0.66613437995469793</v>
      </c>
      <c r="I34" s="121">
        <v>2.25</v>
      </c>
      <c r="J34" s="2">
        <v>0.29031308968899999</v>
      </c>
      <c r="K34" s="2">
        <v>0.32381671572999998</v>
      </c>
      <c r="L34" s="122">
        <v>0.43490108695099999</v>
      </c>
      <c r="M34">
        <v>-0.26182590163076003</v>
      </c>
      <c r="N34">
        <v>-0.342317664224698</v>
      </c>
      <c r="O34">
        <v>0.430968892154658</v>
      </c>
      <c r="P34">
        <v>3.6781290000000001E-9</v>
      </c>
      <c r="Q34" s="44">
        <v>8.5517830000000007E-12</v>
      </c>
      <c r="R34">
        <v>1</v>
      </c>
      <c r="S34">
        <f>ABS(M34)</f>
        <v>0.26182590163076003</v>
      </c>
      <c r="T34">
        <f t="shared" ref="T34:U34" si="16">ABS(N34)</f>
        <v>0.342317664224698</v>
      </c>
      <c r="U34">
        <f t="shared" si="16"/>
        <v>0.430968892154658</v>
      </c>
      <c r="W34" s="44">
        <v>0.29031308968880298</v>
      </c>
      <c r="X34" s="44">
        <v>0.32381671572997001</v>
      </c>
      <c r="Y34">
        <v>15000</v>
      </c>
      <c r="Z34">
        <v>16</v>
      </c>
      <c r="AA34">
        <v>1</v>
      </c>
      <c r="AB34">
        <v>1</v>
      </c>
      <c r="AC34">
        <v>1</v>
      </c>
      <c r="AD34">
        <v>0.01</v>
      </c>
      <c r="AE34">
        <v>16</v>
      </c>
      <c r="AF34">
        <v>0</v>
      </c>
      <c r="AG34">
        <v>2.25</v>
      </c>
      <c r="AH34">
        <v>286.7</v>
      </c>
      <c r="AI34" t="s">
        <v>279</v>
      </c>
      <c r="AJ34">
        <v>2.25</v>
      </c>
      <c r="AK34" t="s">
        <v>280</v>
      </c>
    </row>
    <row r="35" spans="1:37" hidden="1" x14ac:dyDescent="0.3">
      <c r="A35">
        <v>2.25</v>
      </c>
      <c r="B35">
        <v>42</v>
      </c>
      <c r="C35">
        <v>1</v>
      </c>
      <c r="D35">
        <v>0.1</v>
      </c>
      <c r="E35" t="s">
        <v>26</v>
      </c>
      <c r="F35">
        <v>0</v>
      </c>
      <c r="I35" s="121"/>
      <c r="J35" s="2"/>
      <c r="K35" s="2"/>
      <c r="L35" s="122"/>
      <c r="M35">
        <v>-0.30138152588852501</v>
      </c>
      <c r="N35">
        <v>-0.33986317075122302</v>
      </c>
      <c r="O35">
        <v>0.454244206325156</v>
      </c>
      <c r="P35">
        <v>2.7765919999999999E-5</v>
      </c>
      <c r="Q35" s="44">
        <v>2.8906670000000001E-4</v>
      </c>
      <c r="R35">
        <v>0.99965800000000005</v>
      </c>
      <c r="W35" s="44">
        <v>0.29031308968880298</v>
      </c>
      <c r="X35" s="44">
        <v>0.32381671572997001</v>
      </c>
      <c r="Y35">
        <v>9000</v>
      </c>
      <c r="Z35">
        <v>16</v>
      </c>
      <c r="AA35">
        <v>1</v>
      </c>
      <c r="AB35">
        <v>1</v>
      </c>
      <c r="AC35">
        <v>1</v>
      </c>
      <c r="AD35">
        <v>0.01</v>
      </c>
      <c r="AE35">
        <v>16</v>
      </c>
      <c r="AF35">
        <v>0</v>
      </c>
      <c r="AG35">
        <v>2.25</v>
      </c>
      <c r="AH35">
        <v>171.1</v>
      </c>
      <c r="AI35" t="s">
        <v>281</v>
      </c>
      <c r="AJ35">
        <v>2.25</v>
      </c>
      <c r="AK35" t="s">
        <v>280</v>
      </c>
    </row>
    <row r="36" spans="1:37" hidden="1" x14ac:dyDescent="0.3">
      <c r="A36">
        <v>2.25</v>
      </c>
      <c r="B36">
        <v>45</v>
      </c>
      <c r="C36">
        <v>0</v>
      </c>
      <c r="D36">
        <v>0</v>
      </c>
      <c r="E36" t="s">
        <v>18</v>
      </c>
      <c r="G36">
        <f>J36-S36</f>
        <v>2.8299281278304E-2</v>
      </c>
      <c r="H36">
        <f>K36+T36</f>
        <v>0.66589850631480496</v>
      </c>
      <c r="I36" s="121">
        <v>2.25</v>
      </c>
      <c r="J36" s="2">
        <v>0.29031308968899999</v>
      </c>
      <c r="K36" s="2">
        <v>0.32381671572999998</v>
      </c>
      <c r="L36" s="122">
        <v>0.43490108695099999</v>
      </c>
      <c r="M36">
        <v>0.26201380841069599</v>
      </c>
      <c r="N36">
        <v>0.34208179058480498</v>
      </c>
      <c r="O36">
        <v>0.43089579627513602</v>
      </c>
      <c r="P36">
        <v>3.1656869999999999E-9</v>
      </c>
      <c r="Q36" s="44">
        <v>6.5813340000000001E-12</v>
      </c>
      <c r="R36">
        <v>1</v>
      </c>
      <c r="S36">
        <f>ABS(M36)</f>
        <v>0.26201380841069599</v>
      </c>
      <c r="T36">
        <f t="shared" ref="T36:U36" si="17">ABS(N36)</f>
        <v>0.34208179058480498</v>
      </c>
      <c r="U36">
        <f t="shared" si="17"/>
        <v>0.43089579627513602</v>
      </c>
      <c r="W36" s="44">
        <v>0.29031308968880298</v>
      </c>
      <c r="X36" s="44">
        <v>0.32381671572997001</v>
      </c>
      <c r="Y36">
        <v>15000</v>
      </c>
      <c r="Z36">
        <v>16</v>
      </c>
      <c r="AA36">
        <v>1</v>
      </c>
      <c r="AB36">
        <v>1</v>
      </c>
      <c r="AC36">
        <v>1</v>
      </c>
      <c r="AD36">
        <v>0.01</v>
      </c>
      <c r="AE36">
        <v>16</v>
      </c>
      <c r="AF36">
        <v>0</v>
      </c>
      <c r="AG36">
        <v>2.25</v>
      </c>
      <c r="AH36">
        <v>289</v>
      </c>
      <c r="AI36" t="s">
        <v>282</v>
      </c>
      <c r="AJ36">
        <v>2.25</v>
      </c>
      <c r="AK36" t="s">
        <v>280</v>
      </c>
    </row>
    <row r="37" spans="1:37" hidden="1" x14ac:dyDescent="0.3">
      <c r="A37">
        <v>2.25</v>
      </c>
      <c r="B37">
        <v>45</v>
      </c>
      <c r="C37">
        <v>1</v>
      </c>
      <c r="D37">
        <v>0.1</v>
      </c>
      <c r="E37" t="s">
        <v>26</v>
      </c>
      <c r="F37">
        <v>0</v>
      </c>
      <c r="I37" s="121"/>
      <c r="J37" s="2"/>
      <c r="K37" s="2"/>
      <c r="L37" s="122"/>
      <c r="M37">
        <v>0.304973558009833</v>
      </c>
      <c r="N37">
        <v>0.33284768715365198</v>
      </c>
      <c r="O37">
        <v>0.45143820610213398</v>
      </c>
      <c r="P37">
        <v>2.5945179999999999E-5</v>
      </c>
      <c r="Q37" s="44">
        <v>2.5490149999999999E-4</v>
      </c>
      <c r="R37">
        <v>0.99967200000000001</v>
      </c>
      <c r="W37" s="44">
        <v>0.29031308968880298</v>
      </c>
      <c r="X37" s="44">
        <v>0.32381671572997001</v>
      </c>
      <c r="Y37">
        <v>9000</v>
      </c>
      <c r="Z37">
        <v>16</v>
      </c>
      <c r="AA37">
        <v>1</v>
      </c>
      <c r="AB37">
        <v>1</v>
      </c>
      <c r="AC37">
        <v>1</v>
      </c>
      <c r="AD37">
        <v>0.01</v>
      </c>
      <c r="AE37">
        <v>16</v>
      </c>
      <c r="AF37">
        <v>0</v>
      </c>
      <c r="AG37">
        <v>2.25</v>
      </c>
      <c r="AH37">
        <v>169.5</v>
      </c>
      <c r="AI37" t="s">
        <v>283</v>
      </c>
      <c r="AJ37">
        <v>2.25</v>
      </c>
      <c r="AK37" t="s">
        <v>280</v>
      </c>
    </row>
    <row r="38" spans="1:37" x14ac:dyDescent="0.3">
      <c r="A38">
        <v>2.5</v>
      </c>
      <c r="B38">
        <v>42</v>
      </c>
      <c r="C38">
        <v>0</v>
      </c>
      <c r="D38">
        <v>0</v>
      </c>
      <c r="E38" t="s">
        <v>18</v>
      </c>
      <c r="G38">
        <f>J38-S38</f>
        <v>4.0960947522449997E-2</v>
      </c>
      <c r="H38">
        <f>K38+T38</f>
        <v>0.82483279717400304</v>
      </c>
      <c r="I38" s="121">
        <v>2.5</v>
      </c>
      <c r="J38" s="2">
        <v>0.14898570272</v>
      </c>
      <c r="K38" s="2">
        <v>0.40858562849899999</v>
      </c>
      <c r="L38" s="122">
        <v>0.43490108695099999</v>
      </c>
      <c r="M38">
        <v>0.10802475519755</v>
      </c>
      <c r="N38">
        <v>0.416247168675003</v>
      </c>
      <c r="O38">
        <v>0.43003610681598198</v>
      </c>
      <c r="P38">
        <v>3.2076659999999999E-9</v>
      </c>
      <c r="Q38" s="44">
        <v>5.94054E-12</v>
      </c>
      <c r="R38">
        <v>1</v>
      </c>
      <c r="S38">
        <f>ABS(M38)</f>
        <v>0.10802475519755</v>
      </c>
      <c r="T38">
        <f t="shared" ref="T38:U38" si="18">ABS(N38)</f>
        <v>0.416247168675003</v>
      </c>
      <c r="U38">
        <f t="shared" si="18"/>
        <v>0.43003610681598198</v>
      </c>
      <c r="W38" s="44">
        <v>0.148985702719966</v>
      </c>
      <c r="X38" s="44">
        <v>0.40858562849890001</v>
      </c>
      <c r="Y38">
        <v>15000</v>
      </c>
      <c r="Z38">
        <v>16</v>
      </c>
      <c r="AA38">
        <v>1</v>
      </c>
      <c r="AB38">
        <v>1</v>
      </c>
      <c r="AC38">
        <v>1</v>
      </c>
      <c r="AD38">
        <v>0.01</v>
      </c>
      <c r="AE38">
        <v>16</v>
      </c>
      <c r="AF38">
        <v>0</v>
      </c>
      <c r="AG38">
        <v>2.5</v>
      </c>
      <c r="AH38">
        <v>284.2</v>
      </c>
      <c r="AI38" t="s">
        <v>284</v>
      </c>
      <c r="AJ38">
        <v>2.5</v>
      </c>
      <c r="AK38" t="s">
        <v>285</v>
      </c>
    </row>
    <row r="39" spans="1:37" hidden="1" x14ac:dyDescent="0.3">
      <c r="A39">
        <v>2.5</v>
      </c>
      <c r="B39">
        <v>42</v>
      </c>
      <c r="C39">
        <v>1</v>
      </c>
      <c r="D39">
        <v>0.1</v>
      </c>
      <c r="E39" t="s">
        <v>26</v>
      </c>
      <c r="F39">
        <v>0</v>
      </c>
      <c r="I39" s="121"/>
      <c r="J39" s="2"/>
      <c r="K39" s="2"/>
      <c r="L39" s="122"/>
      <c r="M39">
        <v>0.19678809089538701</v>
      </c>
      <c r="N39">
        <v>0.41739275714040103</v>
      </c>
      <c r="O39">
        <v>0.461456678824261</v>
      </c>
      <c r="P39">
        <v>1.1941570000000001E-5</v>
      </c>
      <c r="Q39" s="44">
        <v>6.0927719999999997E-5</v>
      </c>
      <c r="R39">
        <v>0.99993500000000002</v>
      </c>
      <c r="W39" s="44">
        <v>0.148985702719966</v>
      </c>
      <c r="X39" s="44">
        <v>0.40858562849890001</v>
      </c>
      <c r="Y39">
        <v>9000</v>
      </c>
      <c r="Z39">
        <v>16</v>
      </c>
      <c r="AA39">
        <v>1</v>
      </c>
      <c r="AB39">
        <v>1</v>
      </c>
      <c r="AC39">
        <v>1</v>
      </c>
      <c r="AD39">
        <v>0.01</v>
      </c>
      <c r="AE39">
        <v>16</v>
      </c>
      <c r="AF39">
        <v>0</v>
      </c>
      <c r="AG39">
        <v>2.5</v>
      </c>
      <c r="AH39">
        <v>170.7</v>
      </c>
      <c r="AI39" t="s">
        <v>286</v>
      </c>
      <c r="AJ39">
        <v>2.5</v>
      </c>
      <c r="AK39" t="s">
        <v>285</v>
      </c>
    </row>
    <row r="40" spans="1:37" hidden="1" x14ac:dyDescent="0.3">
      <c r="A40">
        <v>2.5</v>
      </c>
      <c r="B40">
        <v>45</v>
      </c>
      <c r="C40">
        <v>0</v>
      </c>
      <c r="D40">
        <v>0</v>
      </c>
      <c r="E40" t="s">
        <v>18</v>
      </c>
      <c r="G40">
        <f>J40-S40</f>
        <v>4.0957588925283006E-2</v>
      </c>
      <c r="H40">
        <f>K40+T40</f>
        <v>0.82477794203732002</v>
      </c>
      <c r="I40" s="121">
        <v>2.5</v>
      </c>
      <c r="J40" s="2">
        <v>0.14898570272</v>
      </c>
      <c r="K40" s="2">
        <v>0.40858562849899999</v>
      </c>
      <c r="L40" s="122">
        <v>0.43490108695099999</v>
      </c>
      <c r="M40">
        <v>0.108028113794717</v>
      </c>
      <c r="N40">
        <v>0.41619231353831998</v>
      </c>
      <c r="O40">
        <v>0.42998385460203498</v>
      </c>
      <c r="P40">
        <v>3.2693569999999998E-9</v>
      </c>
      <c r="Q40" s="44">
        <v>6.1743839999999997E-12</v>
      </c>
      <c r="R40">
        <v>1</v>
      </c>
      <c r="S40">
        <f>ABS(M40)</f>
        <v>0.108028113794717</v>
      </c>
      <c r="T40">
        <f t="shared" ref="T40:U40" si="19">ABS(N40)</f>
        <v>0.41619231353831998</v>
      </c>
      <c r="U40">
        <f t="shared" si="19"/>
        <v>0.42998385460203498</v>
      </c>
      <c r="W40" s="44">
        <v>0.148985702719966</v>
      </c>
      <c r="X40" s="44">
        <v>0.40858562849890001</v>
      </c>
      <c r="Y40">
        <v>15000</v>
      </c>
      <c r="Z40">
        <v>16</v>
      </c>
      <c r="AA40">
        <v>1</v>
      </c>
      <c r="AB40">
        <v>1</v>
      </c>
      <c r="AC40">
        <v>1</v>
      </c>
      <c r="AD40">
        <v>0.01</v>
      </c>
      <c r="AE40">
        <v>16</v>
      </c>
      <c r="AF40">
        <v>0</v>
      </c>
      <c r="AG40">
        <v>2.5</v>
      </c>
      <c r="AH40">
        <v>285.89999999999998</v>
      </c>
      <c r="AI40" t="s">
        <v>287</v>
      </c>
      <c r="AJ40">
        <v>2.5</v>
      </c>
      <c r="AK40" t="s">
        <v>285</v>
      </c>
    </row>
    <row r="41" spans="1:37" hidden="1" x14ac:dyDescent="0.3">
      <c r="A41">
        <v>2.5</v>
      </c>
      <c r="B41">
        <v>45</v>
      </c>
      <c r="C41">
        <v>1</v>
      </c>
      <c r="D41">
        <v>0.1</v>
      </c>
      <c r="E41" t="s">
        <v>26</v>
      </c>
      <c r="F41">
        <v>0</v>
      </c>
      <c r="I41" s="121"/>
      <c r="J41" s="2"/>
      <c r="K41" s="2"/>
      <c r="L41" s="122"/>
      <c r="M41">
        <v>0.18082888341580799</v>
      </c>
      <c r="N41">
        <v>0.41588261829975798</v>
      </c>
      <c r="O41">
        <v>0.45349469377410601</v>
      </c>
      <c r="P41">
        <v>3.0014000000000001E-5</v>
      </c>
      <c r="Q41" s="44">
        <v>3.6462430000000002E-4</v>
      </c>
      <c r="R41">
        <v>0.999587</v>
      </c>
      <c r="W41" s="44">
        <v>0.148985702719966</v>
      </c>
      <c r="X41" s="44">
        <v>0.40858562849890001</v>
      </c>
      <c r="Y41">
        <v>9000</v>
      </c>
      <c r="Z41">
        <v>16</v>
      </c>
      <c r="AA41">
        <v>1</v>
      </c>
      <c r="AB41">
        <v>1</v>
      </c>
      <c r="AC41">
        <v>1</v>
      </c>
      <c r="AD41">
        <v>0.01</v>
      </c>
      <c r="AE41">
        <v>16</v>
      </c>
      <c r="AF41">
        <v>0</v>
      </c>
      <c r="AG41">
        <v>2.5</v>
      </c>
      <c r="AH41">
        <v>168.6</v>
      </c>
      <c r="AI41" t="s">
        <v>288</v>
      </c>
      <c r="AJ41">
        <v>2.5</v>
      </c>
      <c r="AK41" t="s">
        <v>285</v>
      </c>
    </row>
    <row r="42" spans="1:37" x14ac:dyDescent="0.3">
      <c r="A42">
        <v>2.75</v>
      </c>
      <c r="B42">
        <v>42</v>
      </c>
      <c r="C42">
        <v>0</v>
      </c>
      <c r="D42">
        <v>0</v>
      </c>
      <c r="E42" t="s">
        <v>18</v>
      </c>
      <c r="G42">
        <f>J42-S42</f>
        <v>-0.1116710659455422</v>
      </c>
      <c r="H42">
        <f>K42+T42</f>
        <v>0.85525457417644102</v>
      </c>
      <c r="I42" s="121">
        <v>2.75</v>
      </c>
      <c r="J42" s="2">
        <v>-3.1163598093999999E-2</v>
      </c>
      <c r="K42" s="2">
        <v>0.43378310891999999</v>
      </c>
      <c r="L42" s="122">
        <v>0.43490108695099999</v>
      </c>
      <c r="M42">
        <v>8.0507467851542197E-2</v>
      </c>
      <c r="N42">
        <v>-0.42147146525644102</v>
      </c>
      <c r="O42">
        <v>0.42909165501705798</v>
      </c>
      <c r="P42">
        <v>4.8833789999999998E-9</v>
      </c>
      <c r="Q42" s="44">
        <v>1.838139E-11</v>
      </c>
      <c r="R42">
        <v>1</v>
      </c>
      <c r="S42">
        <f>ABS(M42)</f>
        <v>8.0507467851542197E-2</v>
      </c>
      <c r="T42">
        <f t="shared" ref="T42:U42" si="20">ABS(N42)</f>
        <v>0.42147146525644102</v>
      </c>
      <c r="U42">
        <f t="shared" si="20"/>
        <v>0.42909165501705798</v>
      </c>
      <c r="W42" s="44">
        <v>-3.1163598094273801E-2</v>
      </c>
      <c r="X42" s="44">
        <v>0.43378310892036998</v>
      </c>
      <c r="Y42">
        <v>15000</v>
      </c>
      <c r="Z42">
        <v>16</v>
      </c>
      <c r="AA42">
        <v>1</v>
      </c>
      <c r="AB42">
        <v>1</v>
      </c>
      <c r="AC42">
        <v>1</v>
      </c>
      <c r="AD42">
        <v>0.01</v>
      </c>
      <c r="AE42">
        <v>16</v>
      </c>
      <c r="AF42">
        <v>0</v>
      </c>
      <c r="AG42">
        <v>2.75</v>
      </c>
      <c r="AH42">
        <v>284.8</v>
      </c>
      <c r="AI42" t="s">
        <v>289</v>
      </c>
      <c r="AJ42">
        <v>2.75</v>
      </c>
      <c r="AK42" t="s">
        <v>290</v>
      </c>
    </row>
    <row r="43" spans="1:37" hidden="1" x14ac:dyDescent="0.3">
      <c r="A43">
        <v>2.75</v>
      </c>
      <c r="B43">
        <v>42</v>
      </c>
      <c r="C43">
        <v>1</v>
      </c>
      <c r="D43">
        <v>0.1</v>
      </c>
      <c r="E43" t="s">
        <v>26</v>
      </c>
      <c r="F43">
        <v>0</v>
      </c>
      <c r="I43" s="121"/>
      <c r="J43" s="2"/>
      <c r="K43" s="2"/>
      <c r="L43" s="122"/>
      <c r="M43">
        <v>1.5508770507426399E-2</v>
      </c>
      <c r="N43">
        <v>-0.451273923247905</v>
      </c>
      <c r="O43">
        <v>0.45154033680969002</v>
      </c>
      <c r="P43">
        <v>3.514941E-5</v>
      </c>
      <c r="Q43" s="44">
        <v>4.4937649999999998E-4</v>
      </c>
      <c r="R43">
        <v>0.99946599999999997</v>
      </c>
      <c r="W43" s="44">
        <v>-3.1163598094273801E-2</v>
      </c>
      <c r="X43" s="44">
        <v>0.43378310892036998</v>
      </c>
      <c r="Y43">
        <v>9000</v>
      </c>
      <c r="Z43">
        <v>16</v>
      </c>
      <c r="AA43">
        <v>1</v>
      </c>
      <c r="AB43">
        <v>1</v>
      </c>
      <c r="AC43">
        <v>1</v>
      </c>
      <c r="AD43">
        <v>0.01</v>
      </c>
      <c r="AE43">
        <v>16</v>
      </c>
      <c r="AF43">
        <v>0</v>
      </c>
      <c r="AG43">
        <v>2.75</v>
      </c>
      <c r="AH43">
        <v>170.9</v>
      </c>
      <c r="AI43" t="s">
        <v>291</v>
      </c>
      <c r="AJ43">
        <v>2.75</v>
      </c>
      <c r="AK43" t="s">
        <v>290</v>
      </c>
    </row>
    <row r="44" spans="1:37" hidden="1" x14ac:dyDescent="0.3">
      <c r="A44">
        <v>2.75</v>
      </c>
      <c r="B44">
        <v>45</v>
      </c>
      <c r="C44">
        <v>0</v>
      </c>
      <c r="D44">
        <v>0</v>
      </c>
      <c r="E44" t="s">
        <v>18</v>
      </c>
      <c r="G44">
        <f>J44-S44</f>
        <v>-0.1110306153445761</v>
      </c>
      <c r="H44">
        <f>K44+T44</f>
        <v>0.85527741908092891</v>
      </c>
      <c r="I44" s="121">
        <v>2.75</v>
      </c>
      <c r="J44" s="2">
        <v>-3.1163598093999999E-2</v>
      </c>
      <c r="K44" s="2">
        <v>0.43378310891999999</v>
      </c>
      <c r="L44" s="122">
        <v>0.43490108695099999</v>
      </c>
      <c r="M44">
        <v>-7.98670172505761E-2</v>
      </c>
      <c r="N44">
        <v>0.42149431016092898</v>
      </c>
      <c r="O44">
        <v>0.42899439849785997</v>
      </c>
      <c r="P44">
        <v>3.3897879999999999E-9</v>
      </c>
      <c r="Q44" s="44">
        <v>6.1248709999999997E-12</v>
      </c>
      <c r="R44">
        <v>1</v>
      </c>
      <c r="S44">
        <f>ABS(M44)</f>
        <v>7.98670172505761E-2</v>
      </c>
      <c r="T44">
        <f t="shared" ref="T44:U44" si="21">ABS(N44)</f>
        <v>0.42149431016092898</v>
      </c>
      <c r="U44">
        <f t="shared" si="21"/>
        <v>0.42899439849785997</v>
      </c>
      <c r="W44" s="44">
        <v>-3.1163598094273801E-2</v>
      </c>
      <c r="X44" s="44">
        <v>0.43378310892036998</v>
      </c>
      <c r="Y44">
        <v>15000</v>
      </c>
      <c r="Z44">
        <v>16</v>
      </c>
      <c r="AA44">
        <v>1</v>
      </c>
      <c r="AB44">
        <v>1</v>
      </c>
      <c r="AC44">
        <v>1</v>
      </c>
      <c r="AD44">
        <v>0.01</v>
      </c>
      <c r="AE44">
        <v>16</v>
      </c>
      <c r="AF44">
        <v>0</v>
      </c>
      <c r="AG44">
        <v>2.75</v>
      </c>
      <c r="AH44">
        <v>284.10000000000002</v>
      </c>
      <c r="AI44" t="s">
        <v>292</v>
      </c>
      <c r="AJ44">
        <v>2.75</v>
      </c>
      <c r="AK44" t="s">
        <v>290</v>
      </c>
    </row>
    <row r="45" spans="1:37" hidden="1" x14ac:dyDescent="0.3">
      <c r="A45">
        <v>2.75</v>
      </c>
      <c r="B45">
        <v>45</v>
      </c>
      <c r="C45">
        <v>1</v>
      </c>
      <c r="D45">
        <v>0.1</v>
      </c>
      <c r="E45" t="s">
        <v>26</v>
      </c>
      <c r="F45">
        <v>0</v>
      </c>
      <c r="I45" s="121"/>
      <c r="J45" s="2"/>
      <c r="K45" s="2"/>
      <c r="L45" s="122"/>
      <c r="M45">
        <v>2.4506386035675499E-2</v>
      </c>
      <c r="N45">
        <v>0.455704612386298</v>
      </c>
      <c r="O45">
        <v>0.45636307552942501</v>
      </c>
      <c r="P45">
        <v>3.4612720000000003E-5</v>
      </c>
      <c r="Q45" s="44">
        <v>4.62781E-4</v>
      </c>
      <c r="R45">
        <v>0.99945600000000001</v>
      </c>
      <c r="W45" s="44">
        <v>-3.1163598094273801E-2</v>
      </c>
      <c r="X45" s="44">
        <v>0.43378310892036998</v>
      </c>
      <c r="Y45">
        <v>9000</v>
      </c>
      <c r="Z45">
        <v>16</v>
      </c>
      <c r="AA45">
        <v>1</v>
      </c>
      <c r="AB45">
        <v>1</v>
      </c>
      <c r="AC45">
        <v>1</v>
      </c>
      <c r="AD45">
        <v>0.01</v>
      </c>
      <c r="AE45">
        <v>16</v>
      </c>
      <c r="AF45">
        <v>0</v>
      </c>
      <c r="AG45">
        <v>2.75</v>
      </c>
      <c r="AH45">
        <v>168.8</v>
      </c>
      <c r="AI45" t="s">
        <v>293</v>
      </c>
      <c r="AJ45">
        <v>2.75</v>
      </c>
      <c r="AK45" t="s">
        <v>290</v>
      </c>
    </row>
    <row r="46" spans="1:37" x14ac:dyDescent="0.3">
      <c r="A46">
        <v>3</v>
      </c>
      <c r="B46">
        <v>42</v>
      </c>
      <c r="C46">
        <v>0</v>
      </c>
      <c r="D46">
        <v>0</v>
      </c>
      <c r="E46" t="s">
        <v>18</v>
      </c>
      <c r="G46">
        <f>J46-S46</f>
        <v>-0.48725086362499798</v>
      </c>
      <c r="H46">
        <f>K46+T46</f>
        <v>0.70957793226478794</v>
      </c>
      <c r="I46" s="121">
        <v>3</v>
      </c>
      <c r="J46" s="2">
        <v>-0.22106497125399999</v>
      </c>
      <c r="K46" s="2">
        <v>0.37452534482299998</v>
      </c>
      <c r="L46" s="122">
        <v>0.43490108695099999</v>
      </c>
      <c r="M46">
        <v>0.26618589237099799</v>
      </c>
      <c r="N46">
        <v>-0.33505258744178801</v>
      </c>
      <c r="O46">
        <v>0.42791957848266499</v>
      </c>
      <c r="P46">
        <v>4.5763950000000001E-9</v>
      </c>
      <c r="Q46" s="44">
        <v>1.033923E-11</v>
      </c>
      <c r="R46">
        <v>1</v>
      </c>
      <c r="S46">
        <f>ABS(M46)</f>
        <v>0.26618589237099799</v>
      </c>
      <c r="T46">
        <f t="shared" ref="T46:U46" si="22">ABS(N46)</f>
        <v>0.33505258744178801</v>
      </c>
      <c r="U46">
        <f t="shared" si="22"/>
        <v>0.42791957848266499</v>
      </c>
      <c r="W46" s="44">
        <v>-0.22106497125442601</v>
      </c>
      <c r="X46" s="44">
        <v>0.374525344823395</v>
      </c>
      <c r="Y46">
        <v>15000</v>
      </c>
      <c r="Z46">
        <v>16</v>
      </c>
      <c r="AA46">
        <v>1</v>
      </c>
      <c r="AB46">
        <v>1</v>
      </c>
      <c r="AC46">
        <v>1</v>
      </c>
      <c r="AD46">
        <v>0.01</v>
      </c>
      <c r="AE46">
        <v>16</v>
      </c>
      <c r="AF46">
        <v>0</v>
      </c>
      <c r="AG46">
        <v>3</v>
      </c>
      <c r="AH46">
        <v>280.39999999999998</v>
      </c>
      <c r="AI46" t="s">
        <v>294</v>
      </c>
      <c r="AJ46">
        <v>3</v>
      </c>
      <c r="AK46" t="s">
        <v>295</v>
      </c>
    </row>
    <row r="47" spans="1:37" hidden="1" x14ac:dyDescent="0.3">
      <c r="A47">
        <v>3</v>
      </c>
      <c r="B47">
        <v>42</v>
      </c>
      <c r="C47">
        <v>1</v>
      </c>
      <c r="D47">
        <v>0.1</v>
      </c>
      <c r="E47" t="s">
        <v>26</v>
      </c>
      <c r="F47">
        <v>0</v>
      </c>
      <c r="I47" s="121"/>
      <c r="J47" s="2"/>
      <c r="K47" s="2"/>
      <c r="L47" s="122"/>
      <c r="M47">
        <v>0.150683421731202</v>
      </c>
      <c r="N47">
        <v>-0.44601422152411702</v>
      </c>
      <c r="O47">
        <v>0.47078039401231098</v>
      </c>
      <c r="P47">
        <v>1.4835890000000001E-5</v>
      </c>
      <c r="Q47" s="44">
        <v>9.1945210000000003E-5</v>
      </c>
      <c r="R47">
        <v>0.99990500000000004</v>
      </c>
      <c r="W47" s="44">
        <v>-0.22106497125442601</v>
      </c>
      <c r="X47" s="44">
        <v>0.374525344823395</v>
      </c>
      <c r="Y47">
        <v>9000</v>
      </c>
      <c r="Z47">
        <v>16</v>
      </c>
      <c r="AA47">
        <v>1</v>
      </c>
      <c r="AB47">
        <v>1</v>
      </c>
      <c r="AC47">
        <v>1</v>
      </c>
      <c r="AD47">
        <v>0.01</v>
      </c>
      <c r="AE47">
        <v>16</v>
      </c>
      <c r="AF47">
        <v>0</v>
      </c>
      <c r="AG47">
        <v>3</v>
      </c>
      <c r="AH47">
        <v>169.2</v>
      </c>
      <c r="AI47" t="s">
        <v>296</v>
      </c>
      <c r="AJ47">
        <v>3</v>
      </c>
      <c r="AK47" t="s">
        <v>295</v>
      </c>
    </row>
    <row r="48" spans="1:37" hidden="1" x14ac:dyDescent="0.3">
      <c r="A48">
        <v>3</v>
      </c>
      <c r="B48">
        <v>45</v>
      </c>
      <c r="C48">
        <v>0</v>
      </c>
      <c r="D48">
        <v>0</v>
      </c>
      <c r="E48" t="s">
        <v>18</v>
      </c>
      <c r="G48">
        <f>J48-S48</f>
        <v>-0.487133721555989</v>
      </c>
      <c r="H48">
        <f>K48+T48</f>
        <v>0.70963657451950501</v>
      </c>
      <c r="I48" s="121">
        <v>3</v>
      </c>
      <c r="J48" s="2">
        <v>-0.22106497125399999</v>
      </c>
      <c r="K48" s="2">
        <v>0.37452534482299998</v>
      </c>
      <c r="L48" s="122">
        <v>0.43490108695099999</v>
      </c>
      <c r="M48">
        <v>-0.26606875030198901</v>
      </c>
      <c r="N48">
        <v>0.33511122969650498</v>
      </c>
      <c r="O48">
        <v>0.42789264559696</v>
      </c>
      <c r="P48">
        <v>3.6958269999999999E-9</v>
      </c>
      <c r="Q48" s="44">
        <v>8.3103849999999992E-12</v>
      </c>
      <c r="R48">
        <v>1</v>
      </c>
      <c r="S48">
        <f>ABS(M48)</f>
        <v>0.26606875030198901</v>
      </c>
      <c r="T48">
        <f t="shared" ref="T48:U48" si="23">ABS(N48)</f>
        <v>0.33511122969650498</v>
      </c>
      <c r="U48">
        <f t="shared" si="23"/>
        <v>0.42789264559696</v>
      </c>
      <c r="W48" s="44">
        <v>-0.22106497125442601</v>
      </c>
      <c r="X48" s="44">
        <v>0.374525344823395</v>
      </c>
      <c r="Y48">
        <v>15000</v>
      </c>
      <c r="Z48">
        <v>16</v>
      </c>
      <c r="AA48">
        <v>1</v>
      </c>
      <c r="AB48">
        <v>1</v>
      </c>
      <c r="AC48">
        <v>1</v>
      </c>
      <c r="AD48">
        <v>0.01</v>
      </c>
      <c r="AE48">
        <v>16</v>
      </c>
      <c r="AF48">
        <v>0</v>
      </c>
      <c r="AG48">
        <v>3</v>
      </c>
      <c r="AH48">
        <v>282.5</v>
      </c>
      <c r="AI48" t="s">
        <v>297</v>
      </c>
      <c r="AJ48">
        <v>3</v>
      </c>
      <c r="AK48" t="s">
        <v>295</v>
      </c>
    </row>
    <row r="49" spans="1:37" hidden="1" x14ac:dyDescent="0.3">
      <c r="A49">
        <v>3</v>
      </c>
      <c r="B49">
        <v>45</v>
      </c>
      <c r="C49">
        <v>1</v>
      </c>
      <c r="D49">
        <v>0.1</v>
      </c>
      <c r="E49" t="s">
        <v>26</v>
      </c>
      <c r="F49">
        <v>0</v>
      </c>
      <c r="I49" s="121"/>
      <c r="J49" s="2"/>
      <c r="K49" s="2"/>
      <c r="L49" s="122"/>
      <c r="M49">
        <v>-0.13840568580422399</v>
      </c>
      <c r="N49">
        <v>0.43774011602301299</v>
      </c>
      <c r="O49">
        <v>0.45909970925582</v>
      </c>
      <c r="P49">
        <v>3.966335E-5</v>
      </c>
      <c r="Q49" s="44">
        <v>6.2161740000000001E-4</v>
      </c>
      <c r="R49">
        <v>0.99931899999999996</v>
      </c>
      <c r="W49" s="44">
        <v>-0.22106497125442601</v>
      </c>
      <c r="X49" s="44">
        <v>0.374525344823395</v>
      </c>
      <c r="Y49">
        <v>9000</v>
      </c>
      <c r="Z49">
        <v>16</v>
      </c>
      <c r="AA49">
        <v>1</v>
      </c>
      <c r="AB49">
        <v>1</v>
      </c>
      <c r="AC49">
        <v>1</v>
      </c>
      <c r="AD49">
        <v>0.01</v>
      </c>
      <c r="AE49">
        <v>16</v>
      </c>
      <c r="AF49">
        <v>0</v>
      </c>
      <c r="AG49">
        <v>3</v>
      </c>
      <c r="AH49">
        <v>168.8</v>
      </c>
      <c r="AI49" t="s">
        <v>298</v>
      </c>
      <c r="AJ49">
        <v>3</v>
      </c>
      <c r="AK49" t="s">
        <v>295</v>
      </c>
    </row>
    <row r="50" spans="1:37" x14ac:dyDescent="0.3">
      <c r="A50">
        <v>3.25</v>
      </c>
      <c r="B50">
        <v>42</v>
      </c>
      <c r="C50">
        <v>0</v>
      </c>
      <c r="D50">
        <v>0</v>
      </c>
      <c r="E50" t="s">
        <v>18</v>
      </c>
      <c r="G50">
        <f>J50-S50</f>
        <v>-0.771405644695075</v>
      </c>
      <c r="H50">
        <f>K50+T50</f>
        <v>0.37774241507637796</v>
      </c>
      <c r="I50" s="121">
        <v>3.25</v>
      </c>
      <c r="J50" s="2">
        <v>-0.37392335017299999</v>
      </c>
      <c r="K50" s="2">
        <v>0.22208170484299999</v>
      </c>
      <c r="L50" s="122">
        <v>0.43490108695099999</v>
      </c>
      <c r="M50">
        <v>-0.39748229452207501</v>
      </c>
      <c r="N50">
        <v>0.15566071023337799</v>
      </c>
      <c r="O50">
        <v>0.42687519390202699</v>
      </c>
      <c r="P50">
        <v>4.831453E-9</v>
      </c>
      <c r="Q50" s="44">
        <v>1.2399200000000001E-11</v>
      </c>
      <c r="R50">
        <v>1</v>
      </c>
      <c r="S50">
        <f>ABS(M50)</f>
        <v>0.39748229452207501</v>
      </c>
      <c r="T50">
        <f t="shared" ref="T50:U50" si="24">ABS(N50)</f>
        <v>0.15566071023337799</v>
      </c>
      <c r="U50">
        <f t="shared" si="24"/>
        <v>0.42687519390202699</v>
      </c>
      <c r="W50" s="44">
        <v>-0.37392335017320999</v>
      </c>
      <c r="X50" s="44">
        <v>0.222081704843164</v>
      </c>
      <c r="Y50">
        <v>15000</v>
      </c>
      <c r="Z50">
        <v>16</v>
      </c>
      <c r="AA50">
        <v>1</v>
      </c>
      <c r="AB50">
        <v>1</v>
      </c>
      <c r="AC50">
        <v>1</v>
      </c>
      <c r="AD50">
        <v>0.01</v>
      </c>
      <c r="AE50">
        <v>16</v>
      </c>
      <c r="AF50">
        <v>0</v>
      </c>
      <c r="AG50">
        <v>3.25</v>
      </c>
      <c r="AH50">
        <v>281.8</v>
      </c>
      <c r="AI50" t="s">
        <v>299</v>
      </c>
      <c r="AJ50">
        <v>3.25</v>
      </c>
      <c r="AK50" t="s">
        <v>300</v>
      </c>
    </row>
    <row r="51" spans="1:37" hidden="1" x14ac:dyDescent="0.3">
      <c r="A51">
        <v>3.25</v>
      </c>
      <c r="B51">
        <v>42</v>
      </c>
      <c r="C51">
        <v>1</v>
      </c>
      <c r="D51">
        <v>0.1</v>
      </c>
      <c r="E51" t="s">
        <v>26</v>
      </c>
      <c r="F51">
        <v>0</v>
      </c>
      <c r="I51" s="121"/>
      <c r="J51" s="2"/>
      <c r="K51" s="2"/>
      <c r="L51" s="122"/>
      <c r="M51">
        <v>-0.31126633732173897</v>
      </c>
      <c r="N51">
        <v>0.36855936939490802</v>
      </c>
      <c r="O51">
        <v>0.48241345495172799</v>
      </c>
      <c r="P51">
        <v>1.1052150000000001E-5</v>
      </c>
      <c r="Q51" s="44">
        <v>4.6953580000000003E-5</v>
      </c>
      <c r="R51">
        <v>0.99994899999999998</v>
      </c>
      <c r="W51" s="44">
        <v>-0.37392335017320999</v>
      </c>
      <c r="X51" s="44">
        <v>0.222081704843164</v>
      </c>
      <c r="Y51">
        <v>9000</v>
      </c>
      <c r="Z51">
        <v>16</v>
      </c>
      <c r="AA51">
        <v>1</v>
      </c>
      <c r="AB51">
        <v>1</v>
      </c>
      <c r="AC51">
        <v>1</v>
      </c>
      <c r="AD51">
        <v>0.01</v>
      </c>
      <c r="AE51">
        <v>16</v>
      </c>
      <c r="AF51">
        <v>0</v>
      </c>
      <c r="AG51">
        <v>3.25</v>
      </c>
      <c r="AH51">
        <v>168.5</v>
      </c>
      <c r="AI51" t="s">
        <v>301</v>
      </c>
      <c r="AJ51">
        <v>3.25</v>
      </c>
      <c r="AK51" t="s">
        <v>300</v>
      </c>
    </row>
    <row r="52" spans="1:37" hidden="1" x14ac:dyDescent="0.3">
      <c r="A52">
        <v>3.25</v>
      </c>
      <c r="B52">
        <v>45</v>
      </c>
      <c r="C52">
        <v>0</v>
      </c>
      <c r="D52">
        <v>0</v>
      </c>
      <c r="E52" t="s">
        <v>18</v>
      </c>
      <c r="G52">
        <f>J52-S52</f>
        <v>-0.77121711478709798</v>
      </c>
      <c r="H52">
        <f>K52+T52</f>
        <v>0.377982806120436</v>
      </c>
      <c r="I52" s="121">
        <v>3.25</v>
      </c>
      <c r="J52" s="2">
        <v>-0.37392335017299999</v>
      </c>
      <c r="K52" s="2">
        <v>0.22208170484299999</v>
      </c>
      <c r="L52" s="122">
        <v>0.43490108695099999</v>
      </c>
      <c r="M52">
        <v>0.39729376461409799</v>
      </c>
      <c r="N52">
        <v>-0.155901101277436</v>
      </c>
      <c r="O52">
        <v>0.42678740466508602</v>
      </c>
      <c r="P52">
        <v>4.1710129999999998E-9</v>
      </c>
      <c r="Q52" s="44">
        <v>9.6167850000000002E-12</v>
      </c>
      <c r="R52">
        <v>1</v>
      </c>
      <c r="S52">
        <f>ABS(M52)</f>
        <v>0.39729376461409799</v>
      </c>
      <c r="T52">
        <f t="shared" ref="T52:U52" si="25">ABS(N52)</f>
        <v>0.155901101277436</v>
      </c>
      <c r="U52">
        <f t="shared" si="25"/>
        <v>0.42678740466508602</v>
      </c>
      <c r="W52" s="44">
        <v>-0.37392335017320999</v>
      </c>
      <c r="X52" s="44">
        <v>0.222081704843164</v>
      </c>
      <c r="Y52">
        <v>15000</v>
      </c>
      <c r="Z52">
        <v>16</v>
      </c>
      <c r="AA52">
        <v>1</v>
      </c>
      <c r="AB52">
        <v>1</v>
      </c>
      <c r="AC52">
        <v>1</v>
      </c>
      <c r="AD52">
        <v>0.01</v>
      </c>
      <c r="AE52">
        <v>16</v>
      </c>
      <c r="AF52">
        <v>0</v>
      </c>
      <c r="AG52">
        <v>3.25</v>
      </c>
      <c r="AH52">
        <v>280.10000000000002</v>
      </c>
      <c r="AI52" t="s">
        <v>302</v>
      </c>
      <c r="AJ52">
        <v>3.25</v>
      </c>
      <c r="AK52" t="s">
        <v>300</v>
      </c>
    </row>
    <row r="53" spans="1:37" hidden="1" x14ac:dyDescent="0.3">
      <c r="A53">
        <v>3.25</v>
      </c>
      <c r="B53">
        <v>45</v>
      </c>
      <c r="C53">
        <v>1</v>
      </c>
      <c r="D53">
        <v>0.1</v>
      </c>
      <c r="E53" t="s">
        <v>26</v>
      </c>
      <c r="F53">
        <v>0</v>
      </c>
      <c r="I53" s="121"/>
      <c r="J53" s="2"/>
      <c r="K53" s="2"/>
      <c r="L53" s="122"/>
      <c r="M53">
        <v>0.31804783708232698</v>
      </c>
      <c r="N53">
        <v>-0.37123412189072003</v>
      </c>
      <c r="O53">
        <v>0.48884476056179699</v>
      </c>
      <c r="P53">
        <v>1.21969E-5</v>
      </c>
      <c r="Q53" s="44">
        <v>6.0912039999999998E-5</v>
      </c>
      <c r="R53">
        <v>0.99993900000000002</v>
      </c>
      <c r="W53" s="44">
        <v>-0.37392335017320999</v>
      </c>
      <c r="X53" s="44">
        <v>0.222081704843164</v>
      </c>
      <c r="Y53">
        <v>9000</v>
      </c>
      <c r="Z53">
        <v>16</v>
      </c>
      <c r="AA53">
        <v>1</v>
      </c>
      <c r="AB53">
        <v>1</v>
      </c>
      <c r="AC53">
        <v>1</v>
      </c>
      <c r="AD53">
        <v>0.01</v>
      </c>
      <c r="AE53">
        <v>16</v>
      </c>
      <c r="AF53">
        <v>0</v>
      </c>
      <c r="AG53">
        <v>3.25</v>
      </c>
      <c r="AH53">
        <v>169.9</v>
      </c>
      <c r="AI53" t="s">
        <v>303</v>
      </c>
      <c r="AJ53">
        <v>3.25</v>
      </c>
      <c r="AK53" t="s">
        <v>300</v>
      </c>
    </row>
    <row r="54" spans="1:37" x14ac:dyDescent="0.3">
      <c r="A54">
        <v>3.5</v>
      </c>
      <c r="B54">
        <v>42</v>
      </c>
      <c r="C54">
        <v>0</v>
      </c>
      <c r="D54">
        <v>0</v>
      </c>
      <c r="E54" t="s">
        <v>18</v>
      </c>
      <c r="G54">
        <f>J54-S54</f>
        <v>-0.85239406161453102</v>
      </c>
      <c r="H54">
        <f>K54+T54</f>
        <v>7.9247261314779299E-2</v>
      </c>
      <c r="I54" s="121">
        <v>3.5</v>
      </c>
      <c r="J54" s="2">
        <v>-0.434893705051</v>
      </c>
      <c r="K54" s="2">
        <v>-2.5339175410000001E-3</v>
      </c>
      <c r="L54" s="122">
        <v>0.43490108695099999</v>
      </c>
      <c r="M54">
        <v>0.41750035656353102</v>
      </c>
      <c r="N54">
        <v>8.1781178855779305E-2</v>
      </c>
      <c r="O54">
        <v>0.425434729360117</v>
      </c>
      <c r="P54">
        <v>6.0011179999999998E-9</v>
      </c>
      <c r="Q54" s="44">
        <v>1.328253E-11</v>
      </c>
      <c r="R54">
        <v>1</v>
      </c>
      <c r="S54">
        <f>ABS(M54)</f>
        <v>0.41750035656353102</v>
      </c>
      <c r="T54">
        <f t="shared" ref="T54:U54" si="26">ABS(N54)</f>
        <v>8.1781178855779305E-2</v>
      </c>
      <c r="U54">
        <f t="shared" si="26"/>
        <v>0.425434729360117</v>
      </c>
      <c r="W54" s="44">
        <v>-0.43489370505066799</v>
      </c>
      <c r="X54" s="44">
        <v>-2.5339175413038001E-3</v>
      </c>
      <c r="Y54">
        <v>15000</v>
      </c>
      <c r="Z54">
        <v>16</v>
      </c>
      <c r="AA54">
        <v>1</v>
      </c>
      <c r="AB54">
        <v>1</v>
      </c>
      <c r="AC54">
        <v>1</v>
      </c>
      <c r="AD54">
        <v>0.01</v>
      </c>
      <c r="AE54">
        <v>16</v>
      </c>
      <c r="AF54">
        <v>0</v>
      </c>
      <c r="AG54">
        <v>3.5</v>
      </c>
      <c r="AH54">
        <v>282.2</v>
      </c>
      <c r="AI54" t="s">
        <v>304</v>
      </c>
      <c r="AJ54">
        <v>3.5</v>
      </c>
      <c r="AK54" t="s">
        <v>305</v>
      </c>
    </row>
    <row r="55" spans="1:37" hidden="1" x14ac:dyDescent="0.3">
      <c r="A55">
        <v>3.5</v>
      </c>
      <c r="B55">
        <v>42</v>
      </c>
      <c r="C55">
        <v>1</v>
      </c>
      <c r="D55">
        <v>0.1</v>
      </c>
      <c r="E55" t="s">
        <v>26</v>
      </c>
      <c r="F55">
        <v>0</v>
      </c>
      <c r="I55" s="121"/>
      <c r="J55" s="2"/>
      <c r="K55" s="2"/>
      <c r="L55" s="122"/>
      <c r="M55">
        <v>0.42350999802175199</v>
      </c>
      <c r="N55">
        <v>-0.25438389587184301</v>
      </c>
      <c r="O55">
        <v>0.49403631941722798</v>
      </c>
      <c r="P55">
        <v>9.7535489999999997E-6</v>
      </c>
      <c r="Q55" s="44">
        <v>3.1216659999999999E-5</v>
      </c>
      <c r="R55">
        <v>0.99996499999999999</v>
      </c>
      <c r="W55" s="44">
        <v>-0.43489370505066799</v>
      </c>
      <c r="X55" s="44">
        <v>-2.5339175413038001E-3</v>
      </c>
      <c r="Y55">
        <v>9000</v>
      </c>
      <c r="Z55">
        <v>16</v>
      </c>
      <c r="AA55">
        <v>1</v>
      </c>
      <c r="AB55">
        <v>1</v>
      </c>
      <c r="AC55">
        <v>1</v>
      </c>
      <c r="AD55">
        <v>0.01</v>
      </c>
      <c r="AE55">
        <v>16</v>
      </c>
      <c r="AF55">
        <v>0</v>
      </c>
      <c r="AG55">
        <v>3.5</v>
      </c>
      <c r="AH55">
        <v>168.6</v>
      </c>
      <c r="AI55" t="s">
        <v>306</v>
      </c>
      <c r="AJ55">
        <v>3.5</v>
      </c>
      <c r="AK55" t="s">
        <v>305</v>
      </c>
    </row>
    <row r="56" spans="1:37" hidden="1" x14ac:dyDescent="0.3">
      <c r="A56">
        <v>3.5</v>
      </c>
      <c r="B56">
        <v>45</v>
      </c>
      <c r="C56">
        <v>0</v>
      </c>
      <c r="D56">
        <v>0</v>
      </c>
      <c r="E56" t="s">
        <v>18</v>
      </c>
      <c r="G56">
        <f>J56-S56</f>
        <v>-0.85242810034717198</v>
      </c>
      <c r="H56">
        <f>K56+T56</f>
        <v>7.9410713174860301E-2</v>
      </c>
      <c r="I56" s="121">
        <v>3.5</v>
      </c>
      <c r="J56" s="2">
        <v>-0.434893705051</v>
      </c>
      <c r="K56" s="2">
        <v>-2.5339175410000001E-3</v>
      </c>
      <c r="L56" s="122">
        <v>0.43490108695099999</v>
      </c>
      <c r="M56">
        <v>-0.41753439529617198</v>
      </c>
      <c r="N56">
        <v>-8.1944630715860306E-2</v>
      </c>
      <c r="O56">
        <v>0.42549958138463401</v>
      </c>
      <c r="P56">
        <v>3.5894979999999998E-9</v>
      </c>
      <c r="Q56" s="44">
        <v>7.7851320000000007E-12</v>
      </c>
      <c r="R56">
        <v>1</v>
      </c>
      <c r="S56">
        <f>ABS(M56)</f>
        <v>0.41753439529617198</v>
      </c>
      <c r="T56">
        <f t="shared" ref="T56:U56" si="27">ABS(N56)</f>
        <v>8.1944630715860306E-2</v>
      </c>
      <c r="U56">
        <f t="shared" si="27"/>
        <v>0.42549958138463401</v>
      </c>
      <c r="W56" s="44">
        <v>-0.43489370505066799</v>
      </c>
      <c r="X56" s="44">
        <v>-2.5339175413038001E-3</v>
      </c>
      <c r="Y56">
        <v>15000</v>
      </c>
      <c r="Z56">
        <v>16</v>
      </c>
      <c r="AA56">
        <v>1</v>
      </c>
      <c r="AB56">
        <v>1</v>
      </c>
      <c r="AC56">
        <v>1</v>
      </c>
      <c r="AD56">
        <v>0.01</v>
      </c>
      <c r="AE56">
        <v>16</v>
      </c>
      <c r="AF56">
        <v>0</v>
      </c>
      <c r="AG56">
        <v>3.5</v>
      </c>
      <c r="AH56">
        <v>280.89999999999998</v>
      </c>
      <c r="AI56" t="s">
        <v>307</v>
      </c>
      <c r="AJ56">
        <v>3.5</v>
      </c>
      <c r="AK56" t="s">
        <v>305</v>
      </c>
    </row>
    <row r="57" spans="1:37" hidden="1" x14ac:dyDescent="0.3">
      <c r="A57">
        <v>3.5</v>
      </c>
      <c r="B57">
        <v>45</v>
      </c>
      <c r="C57">
        <v>1</v>
      </c>
      <c r="D57">
        <v>0.1</v>
      </c>
      <c r="E57" t="s">
        <v>26</v>
      </c>
      <c r="F57">
        <v>0</v>
      </c>
      <c r="I57" s="121"/>
      <c r="J57" s="2"/>
      <c r="K57" s="2"/>
      <c r="L57" s="122"/>
      <c r="M57">
        <v>-0.39567106828172699</v>
      </c>
      <c r="N57">
        <v>0.22693703389141501</v>
      </c>
      <c r="O57">
        <v>0.45613157271409799</v>
      </c>
      <c r="P57">
        <v>1.085735E-5</v>
      </c>
      <c r="Q57" s="44">
        <v>5.7723970000000003E-5</v>
      </c>
      <c r="R57">
        <v>0.999946</v>
      </c>
      <c r="W57" s="44">
        <v>-0.43489370505066799</v>
      </c>
      <c r="X57" s="44">
        <v>-2.5339175413038001E-3</v>
      </c>
      <c r="Y57">
        <v>9000</v>
      </c>
      <c r="Z57">
        <v>16</v>
      </c>
      <c r="AA57">
        <v>1</v>
      </c>
      <c r="AB57">
        <v>1</v>
      </c>
      <c r="AC57">
        <v>1</v>
      </c>
      <c r="AD57">
        <v>0.01</v>
      </c>
      <c r="AE57">
        <v>16</v>
      </c>
      <c r="AF57">
        <v>0</v>
      </c>
      <c r="AG57">
        <v>3.5</v>
      </c>
      <c r="AH57">
        <v>169.3</v>
      </c>
      <c r="AI57" t="s">
        <v>308</v>
      </c>
      <c r="AJ57">
        <v>3.5</v>
      </c>
      <c r="AK57" t="s">
        <v>305</v>
      </c>
    </row>
    <row r="58" spans="1:37" x14ac:dyDescent="0.3">
      <c r="A58">
        <v>3.75</v>
      </c>
      <c r="B58">
        <v>42</v>
      </c>
      <c r="C58">
        <v>0</v>
      </c>
      <c r="D58">
        <v>0</v>
      </c>
      <c r="E58" t="s">
        <v>18</v>
      </c>
      <c r="G58">
        <f>J58-S58</f>
        <v>-0.65623030265754201</v>
      </c>
      <c r="H58">
        <f>K58+T58</f>
        <v>6.446678835391001E-2</v>
      </c>
      <c r="I58" s="121">
        <v>3.75</v>
      </c>
      <c r="J58" s="2">
        <v>-0.361927041555</v>
      </c>
      <c r="K58" s="2">
        <v>-0.24113849137400001</v>
      </c>
      <c r="L58" s="122">
        <v>0.43490108695099999</v>
      </c>
      <c r="M58">
        <v>-0.29430326110254201</v>
      </c>
      <c r="N58">
        <v>-0.30560527972791002</v>
      </c>
      <c r="O58">
        <v>0.424274671048326</v>
      </c>
      <c r="P58">
        <v>4.2406020000000002E-9</v>
      </c>
      <c r="Q58" s="44">
        <v>9.6163410000000008E-12</v>
      </c>
      <c r="R58">
        <v>1</v>
      </c>
      <c r="S58">
        <f>ABS(M58)</f>
        <v>0.29430326110254201</v>
      </c>
      <c r="T58">
        <f t="shared" ref="T58:U58" si="28">ABS(N58)</f>
        <v>0.30560527972791002</v>
      </c>
      <c r="U58">
        <f t="shared" si="28"/>
        <v>0.424274671048326</v>
      </c>
      <c r="W58" s="44">
        <v>-0.36192704155485</v>
      </c>
      <c r="X58" s="44">
        <v>-0.24113849137405899</v>
      </c>
      <c r="Y58">
        <v>15000</v>
      </c>
      <c r="Z58">
        <v>16</v>
      </c>
      <c r="AA58">
        <v>1</v>
      </c>
      <c r="AB58">
        <v>1</v>
      </c>
      <c r="AC58">
        <v>1</v>
      </c>
      <c r="AD58">
        <v>0.01</v>
      </c>
      <c r="AE58">
        <v>16</v>
      </c>
      <c r="AF58">
        <v>0</v>
      </c>
      <c r="AG58">
        <v>3.75</v>
      </c>
      <c r="AH58">
        <v>281.3</v>
      </c>
      <c r="AI58" t="s">
        <v>309</v>
      </c>
      <c r="AJ58">
        <v>3.75</v>
      </c>
      <c r="AK58" t="s">
        <v>310</v>
      </c>
    </row>
    <row r="59" spans="1:37" hidden="1" x14ac:dyDescent="0.3">
      <c r="A59">
        <v>3.75</v>
      </c>
      <c r="B59">
        <v>42</v>
      </c>
      <c r="C59">
        <v>1</v>
      </c>
      <c r="D59">
        <v>0.1</v>
      </c>
      <c r="E59" t="s">
        <v>26</v>
      </c>
      <c r="F59">
        <v>0</v>
      </c>
      <c r="I59" s="121"/>
      <c r="J59" s="2"/>
      <c r="K59" s="2"/>
      <c r="L59" s="122"/>
      <c r="M59">
        <v>-0.42701171652904002</v>
      </c>
      <c r="N59">
        <v>9.07693732204371E-2</v>
      </c>
      <c r="O59">
        <v>0.436552499898819</v>
      </c>
      <c r="P59">
        <v>8.2605750000000001E-6</v>
      </c>
      <c r="Q59" s="44">
        <v>2.7764970000000001E-5</v>
      </c>
      <c r="R59">
        <v>0.99997000000000003</v>
      </c>
      <c r="W59" s="44">
        <v>-0.36192704155485</v>
      </c>
      <c r="X59" s="44">
        <v>-0.24113849137405899</v>
      </c>
      <c r="Y59">
        <v>9000</v>
      </c>
      <c r="Z59">
        <v>16</v>
      </c>
      <c r="AA59">
        <v>1</v>
      </c>
      <c r="AB59">
        <v>1</v>
      </c>
      <c r="AC59">
        <v>1</v>
      </c>
      <c r="AD59">
        <v>0.01</v>
      </c>
      <c r="AE59">
        <v>16</v>
      </c>
      <c r="AF59">
        <v>0</v>
      </c>
      <c r="AG59">
        <v>3.75</v>
      </c>
      <c r="AH59">
        <v>168.3</v>
      </c>
      <c r="AI59" t="s">
        <v>311</v>
      </c>
      <c r="AJ59">
        <v>3.75</v>
      </c>
      <c r="AK59" t="s">
        <v>310</v>
      </c>
    </row>
    <row r="60" spans="1:37" hidden="1" x14ac:dyDescent="0.3">
      <c r="A60">
        <v>3.75</v>
      </c>
      <c r="B60">
        <v>45</v>
      </c>
      <c r="C60">
        <v>0</v>
      </c>
      <c r="D60">
        <v>0</v>
      </c>
      <c r="E60" t="s">
        <v>18</v>
      </c>
      <c r="G60">
        <f>J60-S60</f>
        <v>-0.65652968738672401</v>
      </c>
      <c r="H60">
        <f>K60+T60</f>
        <v>6.3680050503837016E-2</v>
      </c>
      <c r="I60" s="121">
        <v>3.75</v>
      </c>
      <c r="J60" s="2">
        <v>-0.361927041555</v>
      </c>
      <c r="K60" s="2">
        <v>-0.24113849137400001</v>
      </c>
      <c r="L60" s="122">
        <v>0.43490108695099999</v>
      </c>
      <c r="M60">
        <v>-0.29460264583172402</v>
      </c>
      <c r="N60">
        <v>-0.30481854187783702</v>
      </c>
      <c r="O60">
        <v>0.42391633892029101</v>
      </c>
      <c r="P60">
        <v>4.3596020000000002E-8</v>
      </c>
      <c r="Q60" s="44">
        <v>7.7833100000000005E-10</v>
      </c>
      <c r="R60">
        <v>1</v>
      </c>
      <c r="S60">
        <f>ABS(M60)</f>
        <v>0.29460264583172402</v>
      </c>
      <c r="T60">
        <f t="shared" ref="T60:U60" si="29">ABS(N60)</f>
        <v>0.30481854187783702</v>
      </c>
      <c r="U60">
        <f t="shared" si="29"/>
        <v>0.42391633892029101</v>
      </c>
      <c r="W60" s="44">
        <v>-0.36192704155485</v>
      </c>
      <c r="X60" s="44">
        <v>-0.24113849137405899</v>
      </c>
      <c r="Y60">
        <v>15000</v>
      </c>
      <c r="Z60">
        <v>16</v>
      </c>
      <c r="AA60">
        <v>1</v>
      </c>
      <c r="AB60">
        <v>1</v>
      </c>
      <c r="AC60">
        <v>1</v>
      </c>
      <c r="AD60">
        <v>0.01</v>
      </c>
      <c r="AE60">
        <v>16</v>
      </c>
      <c r="AF60">
        <v>0</v>
      </c>
      <c r="AG60">
        <v>3.75</v>
      </c>
      <c r="AH60">
        <v>282.10000000000002</v>
      </c>
      <c r="AI60" t="s">
        <v>312</v>
      </c>
      <c r="AJ60">
        <v>3.75</v>
      </c>
      <c r="AK60" t="s">
        <v>310</v>
      </c>
    </row>
    <row r="61" spans="1:37" hidden="1" x14ac:dyDescent="0.3">
      <c r="A61">
        <v>3.75</v>
      </c>
      <c r="B61">
        <v>45</v>
      </c>
      <c r="C61">
        <v>1</v>
      </c>
      <c r="D61">
        <v>0.1</v>
      </c>
      <c r="E61" t="s">
        <v>26</v>
      </c>
      <c r="F61">
        <v>0</v>
      </c>
      <c r="I61" s="121"/>
      <c r="J61" s="2"/>
      <c r="K61" s="2"/>
      <c r="L61" s="122"/>
      <c r="M61">
        <v>-0.42031454331622498</v>
      </c>
      <c r="N61">
        <v>0.10163169431989801</v>
      </c>
      <c r="O61">
        <v>0.43242723851933701</v>
      </c>
      <c r="P61">
        <v>6.6075909999999996E-6</v>
      </c>
      <c r="Q61" s="44">
        <v>1.8858100000000002E-5</v>
      </c>
      <c r="R61">
        <v>0.999977</v>
      </c>
      <c r="W61" s="44">
        <v>-0.36192704155485</v>
      </c>
      <c r="X61" s="44">
        <v>-0.24113849137405899</v>
      </c>
      <c r="Y61">
        <v>9000</v>
      </c>
      <c r="Z61">
        <v>16</v>
      </c>
      <c r="AA61">
        <v>1</v>
      </c>
      <c r="AB61">
        <v>1</v>
      </c>
      <c r="AC61">
        <v>1</v>
      </c>
      <c r="AD61">
        <v>0.01</v>
      </c>
      <c r="AE61">
        <v>16</v>
      </c>
      <c r="AF61">
        <v>0</v>
      </c>
      <c r="AG61">
        <v>3.75</v>
      </c>
      <c r="AH61">
        <v>168.1</v>
      </c>
      <c r="AI61" t="s">
        <v>313</v>
      </c>
      <c r="AJ61">
        <v>3.75</v>
      </c>
      <c r="AK61" t="s">
        <v>310</v>
      </c>
    </row>
    <row r="62" spans="1:37" x14ac:dyDescent="0.3">
      <c r="A62">
        <v>4</v>
      </c>
      <c r="B62">
        <v>42</v>
      </c>
      <c r="C62">
        <v>0</v>
      </c>
      <c r="D62">
        <v>0</v>
      </c>
      <c r="E62" t="s">
        <v>18</v>
      </c>
      <c r="G62">
        <f>J62-S62</f>
        <v>-0.20172372670204342</v>
      </c>
      <c r="H62">
        <f>K62+T62</f>
        <v>1.3240242101657029E-2</v>
      </c>
      <c r="I62" s="121">
        <v>4</v>
      </c>
      <c r="J62" s="2">
        <v>-0.15363019665700001</v>
      </c>
      <c r="K62" s="2">
        <v>-0.40686203817299998</v>
      </c>
      <c r="L62" s="122">
        <v>0.43490108695099999</v>
      </c>
      <c r="M62">
        <v>-4.8093530045043402E-2</v>
      </c>
      <c r="N62">
        <v>-0.42010228027465701</v>
      </c>
      <c r="O62">
        <v>0.42284620552177099</v>
      </c>
      <c r="P62">
        <v>4.8434760000000003E-9</v>
      </c>
      <c r="Q62" s="44">
        <v>1.529013E-11</v>
      </c>
      <c r="R62">
        <v>1</v>
      </c>
      <c r="S62">
        <f>ABS(M62)</f>
        <v>4.8093530045043402E-2</v>
      </c>
      <c r="T62">
        <f t="shared" ref="T62:U62" si="30">ABS(N62)</f>
        <v>0.42010228027465701</v>
      </c>
      <c r="U62">
        <f t="shared" si="30"/>
        <v>0.42284620552177099</v>
      </c>
      <c r="W62" s="44">
        <v>-0.15363019665698799</v>
      </c>
      <c r="X62" s="44">
        <v>-0.40686203817257099</v>
      </c>
      <c r="Y62">
        <v>15000</v>
      </c>
      <c r="Z62">
        <v>16</v>
      </c>
      <c r="AA62">
        <v>1</v>
      </c>
      <c r="AB62">
        <v>1</v>
      </c>
      <c r="AC62">
        <v>1</v>
      </c>
      <c r="AD62">
        <v>0.01</v>
      </c>
      <c r="AE62">
        <v>16</v>
      </c>
      <c r="AF62">
        <v>0</v>
      </c>
      <c r="AG62">
        <v>4</v>
      </c>
      <c r="AH62">
        <v>281.60000000000002</v>
      </c>
      <c r="AI62" t="s">
        <v>314</v>
      </c>
      <c r="AJ62">
        <v>4</v>
      </c>
      <c r="AK62" t="s">
        <v>315</v>
      </c>
    </row>
    <row r="63" spans="1:37" hidden="1" x14ac:dyDescent="0.3">
      <c r="A63">
        <v>4</v>
      </c>
      <c r="B63">
        <v>42</v>
      </c>
      <c r="C63">
        <v>1</v>
      </c>
      <c r="D63">
        <v>0.1</v>
      </c>
      <c r="E63" t="s">
        <v>26</v>
      </c>
      <c r="F63">
        <v>0</v>
      </c>
      <c r="I63" s="121"/>
      <c r="J63" s="2"/>
      <c r="K63" s="2"/>
      <c r="L63" s="122"/>
      <c r="M63">
        <v>-0.44629811688809401</v>
      </c>
      <c r="N63">
        <v>-7.8637387913993908E-3</v>
      </c>
      <c r="O63">
        <v>0.44636739075075599</v>
      </c>
      <c r="P63">
        <v>8.3666989999999996E-6</v>
      </c>
      <c r="Q63" s="44">
        <v>3.0769199999999997E-5</v>
      </c>
      <c r="R63">
        <v>0.99996700000000005</v>
      </c>
      <c r="W63" s="44">
        <v>-0.15363019665698799</v>
      </c>
      <c r="X63" s="44">
        <v>-0.40686203817257099</v>
      </c>
      <c r="Y63">
        <v>9000</v>
      </c>
      <c r="Z63">
        <v>16</v>
      </c>
      <c r="AA63">
        <v>1</v>
      </c>
      <c r="AB63">
        <v>1</v>
      </c>
      <c r="AC63">
        <v>1</v>
      </c>
      <c r="AD63">
        <v>0.01</v>
      </c>
      <c r="AE63">
        <v>16</v>
      </c>
      <c r="AF63">
        <v>0</v>
      </c>
      <c r="AG63">
        <v>4</v>
      </c>
      <c r="AH63">
        <v>168.4</v>
      </c>
      <c r="AI63" t="s">
        <v>316</v>
      </c>
      <c r="AJ63">
        <v>4</v>
      </c>
      <c r="AK63" t="s">
        <v>315</v>
      </c>
    </row>
    <row r="64" spans="1:37" hidden="1" x14ac:dyDescent="0.3">
      <c r="A64">
        <v>4</v>
      </c>
      <c r="B64">
        <v>45</v>
      </c>
      <c r="C64">
        <v>0</v>
      </c>
      <c r="D64">
        <v>0</v>
      </c>
      <c r="E64" t="s">
        <v>18</v>
      </c>
      <c r="G64">
        <f>J64-S64</f>
        <v>-0.2025311340207922</v>
      </c>
      <c r="H64">
        <f>K64+T64</f>
        <v>1.2761053623895013E-2</v>
      </c>
      <c r="I64" s="121">
        <v>4</v>
      </c>
      <c r="J64" s="2">
        <v>-0.15363019665700001</v>
      </c>
      <c r="K64" s="2">
        <v>-0.40686203817299998</v>
      </c>
      <c r="L64" s="122">
        <v>0.43490108695099999</v>
      </c>
      <c r="M64">
        <v>4.8900937363792203E-2</v>
      </c>
      <c r="N64">
        <v>0.419623091796895</v>
      </c>
      <c r="O64">
        <v>0.42246282776623401</v>
      </c>
      <c r="P64">
        <v>5.3938959999999998E-8</v>
      </c>
      <c r="Q64" s="44">
        <v>1.430663E-9</v>
      </c>
      <c r="R64">
        <v>1</v>
      </c>
      <c r="S64">
        <f>ABS(M64)</f>
        <v>4.8900937363792203E-2</v>
      </c>
      <c r="T64">
        <f t="shared" ref="T64:U64" si="31">ABS(N64)</f>
        <v>0.419623091796895</v>
      </c>
      <c r="U64">
        <f t="shared" si="31"/>
        <v>0.42246282776623401</v>
      </c>
      <c r="W64" s="44">
        <v>-0.15363019665698799</v>
      </c>
      <c r="X64" s="44">
        <v>-0.40686203817257099</v>
      </c>
      <c r="Y64">
        <v>15000</v>
      </c>
      <c r="Z64">
        <v>16</v>
      </c>
      <c r="AA64">
        <v>1</v>
      </c>
      <c r="AB64">
        <v>1</v>
      </c>
      <c r="AC64">
        <v>1</v>
      </c>
      <c r="AD64">
        <v>0.01</v>
      </c>
      <c r="AE64">
        <v>16</v>
      </c>
      <c r="AF64">
        <v>0</v>
      </c>
      <c r="AG64">
        <v>4</v>
      </c>
      <c r="AH64">
        <v>281</v>
      </c>
      <c r="AI64" t="s">
        <v>317</v>
      </c>
      <c r="AJ64">
        <v>4</v>
      </c>
      <c r="AK64" t="s">
        <v>315</v>
      </c>
    </row>
    <row r="65" spans="1:37" hidden="1" x14ac:dyDescent="0.3">
      <c r="A65">
        <v>4</v>
      </c>
      <c r="B65">
        <v>45</v>
      </c>
      <c r="C65">
        <v>1</v>
      </c>
      <c r="D65">
        <v>0.1</v>
      </c>
      <c r="E65" t="s">
        <v>26</v>
      </c>
      <c r="F65">
        <v>0</v>
      </c>
      <c r="I65" s="121"/>
      <c r="J65" s="2"/>
      <c r="K65" s="2"/>
      <c r="L65" s="122"/>
      <c r="M65">
        <v>0.47752936970993098</v>
      </c>
      <c r="N65">
        <v>-4.2345286890114998E-2</v>
      </c>
      <c r="O65">
        <v>0.47940319383309299</v>
      </c>
      <c r="P65">
        <v>6.4032690000000004E-6</v>
      </c>
      <c r="Q65" s="44">
        <v>1.6313720000000001E-5</v>
      </c>
      <c r="R65">
        <v>0.99998399999999998</v>
      </c>
      <c r="W65" s="44">
        <v>-0.15363019665698799</v>
      </c>
      <c r="X65" s="44">
        <v>-0.40686203817257099</v>
      </c>
      <c r="Y65">
        <v>9000</v>
      </c>
      <c r="Z65">
        <v>16</v>
      </c>
      <c r="AA65">
        <v>1</v>
      </c>
      <c r="AB65">
        <v>1</v>
      </c>
      <c r="AC65">
        <v>1</v>
      </c>
      <c r="AD65">
        <v>0.01</v>
      </c>
      <c r="AE65">
        <v>16</v>
      </c>
      <c r="AF65">
        <v>0</v>
      </c>
      <c r="AG65">
        <v>4</v>
      </c>
      <c r="AH65">
        <v>166.9</v>
      </c>
      <c r="AI65" t="s">
        <v>318</v>
      </c>
      <c r="AJ65">
        <v>4</v>
      </c>
      <c r="AK65" t="s">
        <v>315</v>
      </c>
    </row>
    <row r="66" spans="1:37" x14ac:dyDescent="0.3">
      <c r="A66">
        <v>4.25</v>
      </c>
      <c r="B66">
        <v>42</v>
      </c>
      <c r="C66">
        <v>0</v>
      </c>
      <c r="D66">
        <v>0</v>
      </c>
      <c r="E66" t="s">
        <v>18</v>
      </c>
      <c r="G66">
        <f>J66-S66</f>
        <v>-0.10120185576062701</v>
      </c>
      <c r="H66">
        <f>K66+T66</f>
        <v>-6.2808891944992007E-2</v>
      </c>
      <c r="I66" s="121">
        <v>4.25</v>
      </c>
      <c r="J66" s="2">
        <v>0.12898390421299999</v>
      </c>
      <c r="K66" s="2">
        <v>-0.41533373073300001</v>
      </c>
      <c r="L66" s="122">
        <v>0.43490108695099999</v>
      </c>
      <c r="M66">
        <v>0.230185759973627</v>
      </c>
      <c r="N66">
        <v>-0.352524838788008</v>
      </c>
      <c r="O66">
        <v>0.42102166934392699</v>
      </c>
      <c r="P66">
        <v>5.2378189999999997E-9</v>
      </c>
      <c r="Q66" s="44">
        <v>1.6394120000000001E-11</v>
      </c>
      <c r="R66">
        <v>1</v>
      </c>
      <c r="S66">
        <f>ABS(M66)</f>
        <v>0.230185759973627</v>
      </c>
      <c r="T66">
        <f t="shared" ref="T66:U66" si="32">ABS(N66)</f>
        <v>0.352524838788008</v>
      </c>
      <c r="U66">
        <f t="shared" si="32"/>
        <v>0.42102166934392699</v>
      </c>
      <c r="W66" s="44">
        <v>0.12898390421313599</v>
      </c>
      <c r="X66" s="44">
        <v>-0.41533373073317797</v>
      </c>
      <c r="Y66">
        <v>15000</v>
      </c>
      <c r="Z66">
        <v>16</v>
      </c>
      <c r="AA66">
        <v>1</v>
      </c>
      <c r="AB66">
        <v>1</v>
      </c>
      <c r="AC66">
        <v>1</v>
      </c>
      <c r="AD66">
        <v>0.01</v>
      </c>
      <c r="AE66">
        <v>16</v>
      </c>
      <c r="AF66">
        <v>0</v>
      </c>
      <c r="AG66">
        <v>4.25</v>
      </c>
      <c r="AH66">
        <v>279.7</v>
      </c>
      <c r="AI66" t="s">
        <v>319</v>
      </c>
      <c r="AJ66">
        <v>4.25</v>
      </c>
      <c r="AK66" t="s">
        <v>320</v>
      </c>
    </row>
    <row r="67" spans="1:37" hidden="1" x14ac:dyDescent="0.3">
      <c r="A67">
        <v>4.25</v>
      </c>
      <c r="B67">
        <v>42</v>
      </c>
      <c r="C67">
        <v>1</v>
      </c>
      <c r="D67">
        <v>0.1</v>
      </c>
      <c r="E67" t="s">
        <v>26</v>
      </c>
      <c r="F67">
        <v>0</v>
      </c>
      <c r="I67" s="121"/>
      <c r="J67" s="2"/>
      <c r="K67" s="2"/>
      <c r="L67" s="122"/>
      <c r="M67">
        <v>-0.46774027421535402</v>
      </c>
      <c r="N67">
        <v>-9.8115799658485603E-2</v>
      </c>
      <c r="O67">
        <v>0.47792015469707799</v>
      </c>
      <c r="P67">
        <v>9.8639189999999992E-6</v>
      </c>
      <c r="Q67" s="44">
        <v>3.4260390000000001E-5</v>
      </c>
      <c r="R67">
        <v>0.99996200000000002</v>
      </c>
      <c r="W67" s="44">
        <v>0.12898390421313599</v>
      </c>
      <c r="X67" s="44">
        <v>-0.41533373073317797</v>
      </c>
      <c r="Y67">
        <v>9000</v>
      </c>
      <c r="Z67">
        <v>16</v>
      </c>
      <c r="AA67">
        <v>1</v>
      </c>
      <c r="AB67">
        <v>1</v>
      </c>
      <c r="AC67">
        <v>1</v>
      </c>
      <c r="AD67">
        <v>0.01</v>
      </c>
      <c r="AE67">
        <v>16</v>
      </c>
      <c r="AF67">
        <v>0</v>
      </c>
      <c r="AG67">
        <v>4.25</v>
      </c>
      <c r="AH67">
        <v>170.1</v>
      </c>
      <c r="AI67" t="s">
        <v>321</v>
      </c>
      <c r="AJ67">
        <v>4.25</v>
      </c>
      <c r="AK67" t="s">
        <v>320</v>
      </c>
    </row>
    <row r="68" spans="1:37" hidden="1" x14ac:dyDescent="0.3">
      <c r="A68">
        <v>4.25</v>
      </c>
      <c r="B68">
        <v>45</v>
      </c>
      <c r="C68">
        <v>0</v>
      </c>
      <c r="D68">
        <v>0</v>
      </c>
      <c r="E68" t="s">
        <v>18</v>
      </c>
      <c r="G68">
        <f>J68-S68</f>
        <v>-0.10129141147804901</v>
      </c>
      <c r="H68">
        <f>K68+T68</f>
        <v>-6.2679819950841986E-2</v>
      </c>
      <c r="I68" s="121">
        <v>4.25</v>
      </c>
      <c r="J68" s="2">
        <v>0.12898390421299999</v>
      </c>
      <c r="K68" s="2">
        <v>-0.41533373073300001</v>
      </c>
      <c r="L68" s="122">
        <v>0.43490108695099999</v>
      </c>
      <c r="M68">
        <v>0.230275315691049</v>
      </c>
      <c r="N68">
        <v>-0.35265391078215802</v>
      </c>
      <c r="O68">
        <v>0.421178705309946</v>
      </c>
      <c r="P68">
        <v>4.1389980000000001E-9</v>
      </c>
      <c r="Q68" s="44">
        <v>1.0677229999999999E-11</v>
      </c>
      <c r="R68">
        <v>1</v>
      </c>
      <c r="S68">
        <f>ABS(M68)</f>
        <v>0.230275315691049</v>
      </c>
      <c r="T68">
        <f t="shared" ref="T68:U68" si="33">ABS(N68)</f>
        <v>0.35265391078215802</v>
      </c>
      <c r="U68">
        <f t="shared" si="33"/>
        <v>0.421178705309946</v>
      </c>
      <c r="W68" s="44">
        <v>0.12898390421313599</v>
      </c>
      <c r="X68" s="44">
        <v>-0.41533373073317797</v>
      </c>
      <c r="Y68">
        <v>15000</v>
      </c>
      <c r="Z68">
        <v>16</v>
      </c>
      <c r="AA68">
        <v>1</v>
      </c>
      <c r="AB68">
        <v>1</v>
      </c>
      <c r="AC68">
        <v>1</v>
      </c>
      <c r="AD68">
        <v>0.01</v>
      </c>
      <c r="AE68">
        <v>16</v>
      </c>
      <c r="AF68">
        <v>0</v>
      </c>
      <c r="AG68">
        <v>4.25</v>
      </c>
      <c r="AH68">
        <v>278.7</v>
      </c>
      <c r="AI68" t="s">
        <v>322</v>
      </c>
      <c r="AJ68">
        <v>4.25</v>
      </c>
      <c r="AK68" t="s">
        <v>320</v>
      </c>
    </row>
    <row r="69" spans="1:37" hidden="1" x14ac:dyDescent="0.3">
      <c r="A69">
        <v>4.25</v>
      </c>
      <c r="B69">
        <v>45</v>
      </c>
      <c r="C69">
        <v>1</v>
      </c>
      <c r="D69">
        <v>0.1</v>
      </c>
      <c r="E69" t="s">
        <v>26</v>
      </c>
      <c r="F69">
        <v>0</v>
      </c>
      <c r="I69" s="121"/>
      <c r="J69" s="2"/>
      <c r="K69" s="2"/>
      <c r="L69" s="122"/>
      <c r="M69">
        <v>-0.45761336551121201</v>
      </c>
      <c r="N69">
        <v>-0.10667465019353201</v>
      </c>
      <c r="O69">
        <v>0.46988240368033701</v>
      </c>
      <c r="P69">
        <v>1.028295E-5</v>
      </c>
      <c r="Q69" s="44">
        <v>4.2660129999999997E-5</v>
      </c>
      <c r="R69">
        <v>0.99995299999999998</v>
      </c>
      <c r="W69" s="44">
        <v>0.12898390421313599</v>
      </c>
      <c r="X69" s="44">
        <v>-0.41533373073317797</v>
      </c>
      <c r="Y69">
        <v>9000</v>
      </c>
      <c r="Z69">
        <v>16</v>
      </c>
      <c r="AA69">
        <v>1</v>
      </c>
      <c r="AB69">
        <v>1</v>
      </c>
      <c r="AC69">
        <v>1</v>
      </c>
      <c r="AD69">
        <v>0.01</v>
      </c>
      <c r="AE69">
        <v>16</v>
      </c>
      <c r="AF69">
        <v>0</v>
      </c>
      <c r="AG69">
        <v>4.25</v>
      </c>
      <c r="AH69">
        <v>166.4</v>
      </c>
      <c r="AI69" t="s">
        <v>323</v>
      </c>
      <c r="AJ69">
        <v>4.25</v>
      </c>
      <c r="AK69" t="s">
        <v>320</v>
      </c>
    </row>
    <row r="70" spans="1:37" x14ac:dyDescent="0.3">
      <c r="A70">
        <v>4.5</v>
      </c>
      <c r="B70">
        <v>42</v>
      </c>
      <c r="C70">
        <v>0</v>
      </c>
      <c r="D70">
        <v>0</v>
      </c>
      <c r="E70" t="s">
        <v>18</v>
      </c>
      <c r="G70">
        <f>J70-S70</f>
        <v>-3.9020279532998969E-2</v>
      </c>
      <c r="H70">
        <f>K70+T70</f>
        <v>-0.12726458322751899</v>
      </c>
      <c r="I70" s="121">
        <v>4.5</v>
      </c>
      <c r="J70" s="2">
        <v>0.36675359306700001</v>
      </c>
      <c r="K70" s="2">
        <v>-0.233732234412</v>
      </c>
      <c r="L70" s="122">
        <v>0.43490108695099999</v>
      </c>
      <c r="M70">
        <v>0.40577387259999897</v>
      </c>
      <c r="N70">
        <v>-0.106467651184481</v>
      </c>
      <c r="O70">
        <v>0.41950899446083401</v>
      </c>
      <c r="P70">
        <v>6.025861E-9</v>
      </c>
      <c r="Q70" s="44">
        <v>1.8839800000000001E-11</v>
      </c>
      <c r="R70">
        <v>1</v>
      </c>
      <c r="S70">
        <f>ABS(M70)</f>
        <v>0.40577387259999897</v>
      </c>
      <c r="T70">
        <f t="shared" ref="T70:U70" si="34">ABS(N70)</f>
        <v>0.106467651184481</v>
      </c>
      <c r="U70">
        <f t="shared" si="34"/>
        <v>0.41950899446083401</v>
      </c>
      <c r="W70" s="44">
        <v>0.36675359306684402</v>
      </c>
      <c r="X70" s="44">
        <v>-0.23373223441229299</v>
      </c>
      <c r="Y70">
        <v>15000</v>
      </c>
      <c r="Z70">
        <v>16</v>
      </c>
      <c r="AA70">
        <v>1</v>
      </c>
      <c r="AB70">
        <v>1</v>
      </c>
      <c r="AC70">
        <v>1</v>
      </c>
      <c r="AD70">
        <v>0.01</v>
      </c>
      <c r="AE70">
        <v>16</v>
      </c>
      <c r="AF70">
        <v>0</v>
      </c>
      <c r="AG70">
        <v>4.5</v>
      </c>
      <c r="AH70">
        <v>281.39999999999998</v>
      </c>
      <c r="AI70" t="s">
        <v>324</v>
      </c>
      <c r="AJ70">
        <v>4.5</v>
      </c>
      <c r="AK70" t="s">
        <v>325</v>
      </c>
    </row>
    <row r="71" spans="1:37" hidden="1" x14ac:dyDescent="0.3">
      <c r="A71">
        <v>4.5</v>
      </c>
      <c r="B71">
        <v>42</v>
      </c>
      <c r="C71">
        <v>1</v>
      </c>
      <c r="D71">
        <v>0.1</v>
      </c>
      <c r="E71" t="s">
        <v>26</v>
      </c>
      <c r="F71">
        <v>0</v>
      </c>
      <c r="I71" s="121"/>
      <c r="J71" s="2"/>
      <c r="K71" s="2"/>
      <c r="L71" s="122"/>
      <c r="M71">
        <v>-0.41005391898306198</v>
      </c>
      <c r="N71">
        <v>-0.13294191386601001</v>
      </c>
      <c r="O71">
        <v>0.43106585220326299</v>
      </c>
      <c r="P71">
        <v>1.22508E-5</v>
      </c>
      <c r="Q71" s="44">
        <v>6.2229049999999993E-5</v>
      </c>
      <c r="R71">
        <v>0.99993399999999999</v>
      </c>
      <c r="W71" s="44">
        <v>0.36675359306684402</v>
      </c>
      <c r="X71" s="44">
        <v>-0.23373223441229299</v>
      </c>
      <c r="Y71">
        <v>9000</v>
      </c>
      <c r="Z71">
        <v>16</v>
      </c>
      <c r="AA71">
        <v>1</v>
      </c>
      <c r="AB71">
        <v>1</v>
      </c>
      <c r="AC71">
        <v>1</v>
      </c>
      <c r="AD71">
        <v>0.01</v>
      </c>
      <c r="AE71">
        <v>16</v>
      </c>
      <c r="AF71">
        <v>0</v>
      </c>
      <c r="AG71">
        <v>4.5</v>
      </c>
      <c r="AH71">
        <v>168.2</v>
      </c>
      <c r="AI71" t="s">
        <v>326</v>
      </c>
      <c r="AJ71">
        <v>4.5</v>
      </c>
      <c r="AK71" t="s">
        <v>325</v>
      </c>
    </row>
    <row r="72" spans="1:37" hidden="1" x14ac:dyDescent="0.3">
      <c r="A72">
        <v>4.5</v>
      </c>
      <c r="B72">
        <v>45</v>
      </c>
      <c r="C72">
        <v>0</v>
      </c>
      <c r="D72">
        <v>0</v>
      </c>
      <c r="E72" t="s">
        <v>18</v>
      </c>
      <c r="G72">
        <f>J72-S72</f>
        <v>-3.9147594851316969E-2</v>
      </c>
      <c r="H72">
        <f>K72+T72</f>
        <v>-0.127428145455391</v>
      </c>
      <c r="I72" s="121">
        <v>4.5</v>
      </c>
      <c r="J72" s="2">
        <v>0.36675359306700001</v>
      </c>
      <c r="K72" s="2">
        <v>-0.233732234412</v>
      </c>
      <c r="L72" s="122">
        <v>0.43490108695099999</v>
      </c>
      <c r="M72">
        <v>0.40590118791831697</v>
      </c>
      <c r="N72">
        <v>-0.10630408895660901</v>
      </c>
      <c r="O72">
        <v>0.41959067396975802</v>
      </c>
      <c r="P72">
        <v>4.7819090000000002E-9</v>
      </c>
      <c r="Q72" s="44">
        <v>1.6196740000000002E-11</v>
      </c>
      <c r="R72">
        <v>1</v>
      </c>
      <c r="S72">
        <f>ABS(M72)</f>
        <v>0.40590118791831697</v>
      </c>
      <c r="T72">
        <f t="shared" ref="T72:U72" si="35">ABS(N72)</f>
        <v>0.10630408895660901</v>
      </c>
      <c r="U72">
        <f t="shared" si="35"/>
        <v>0.41959067396975802</v>
      </c>
      <c r="W72" s="44">
        <v>0.36675359306684402</v>
      </c>
      <c r="X72" s="44">
        <v>-0.23373223441229299</v>
      </c>
      <c r="Y72">
        <v>15000</v>
      </c>
      <c r="Z72">
        <v>16</v>
      </c>
      <c r="AA72">
        <v>1</v>
      </c>
      <c r="AB72">
        <v>1</v>
      </c>
      <c r="AC72">
        <v>1</v>
      </c>
      <c r="AD72">
        <v>0.01</v>
      </c>
      <c r="AE72">
        <v>16</v>
      </c>
      <c r="AF72">
        <v>0</v>
      </c>
      <c r="AG72">
        <v>4.5</v>
      </c>
      <c r="AH72">
        <v>280.2</v>
      </c>
      <c r="AI72" t="s">
        <v>327</v>
      </c>
      <c r="AJ72">
        <v>4.5</v>
      </c>
      <c r="AK72" t="s">
        <v>325</v>
      </c>
    </row>
    <row r="73" spans="1:37" hidden="1" x14ac:dyDescent="0.3">
      <c r="A73">
        <v>4.5</v>
      </c>
      <c r="B73">
        <v>45</v>
      </c>
      <c r="C73">
        <v>1</v>
      </c>
      <c r="D73">
        <v>0.1</v>
      </c>
      <c r="E73" t="s">
        <v>26</v>
      </c>
      <c r="F73">
        <v>0</v>
      </c>
      <c r="I73" s="121"/>
      <c r="J73" s="2"/>
      <c r="K73" s="2"/>
      <c r="L73" s="122"/>
      <c r="M73">
        <v>-0.38773713322652298</v>
      </c>
      <c r="N73">
        <v>-0.127121445947459</v>
      </c>
      <c r="O73">
        <v>0.40804404970847802</v>
      </c>
      <c r="P73">
        <v>1.0018599999999999E-5</v>
      </c>
      <c r="Q73" s="44">
        <v>5.0764840000000002E-5</v>
      </c>
      <c r="R73">
        <v>0.999942</v>
      </c>
      <c r="W73" s="44">
        <v>0.36675359306684402</v>
      </c>
      <c r="X73" s="44">
        <v>-0.23373223441229299</v>
      </c>
      <c r="Y73">
        <v>9000</v>
      </c>
      <c r="Z73">
        <v>16</v>
      </c>
      <c r="AA73">
        <v>1</v>
      </c>
      <c r="AB73">
        <v>1</v>
      </c>
      <c r="AC73">
        <v>1</v>
      </c>
      <c r="AD73">
        <v>0.01</v>
      </c>
      <c r="AE73">
        <v>16</v>
      </c>
      <c r="AF73">
        <v>0</v>
      </c>
      <c r="AG73">
        <v>4.5</v>
      </c>
      <c r="AH73">
        <v>165.6</v>
      </c>
      <c r="AI73" t="s">
        <v>328</v>
      </c>
      <c r="AJ73">
        <v>4.5</v>
      </c>
      <c r="AK73" t="s">
        <v>325</v>
      </c>
    </row>
    <row r="74" spans="1:37" x14ac:dyDescent="0.3">
      <c r="A74">
        <v>4.75</v>
      </c>
      <c r="B74">
        <v>42</v>
      </c>
      <c r="C74">
        <v>0</v>
      </c>
      <c r="D74">
        <v>0</v>
      </c>
      <c r="E74" t="s">
        <v>18</v>
      </c>
      <c r="G74">
        <f>J74-S74</f>
        <v>6.6194360445998968E-2</v>
      </c>
      <c r="H74">
        <f>K74+T74</f>
        <v>0.28402057104708001</v>
      </c>
      <c r="I74" s="121">
        <v>4.75</v>
      </c>
      <c r="J74" s="2">
        <v>0.42825683585699997</v>
      </c>
      <c r="K74" s="2">
        <v>7.5730033488999995E-2</v>
      </c>
      <c r="L74" s="122">
        <v>0.43490108695099999</v>
      </c>
      <c r="M74">
        <v>0.36206247541100101</v>
      </c>
      <c r="N74">
        <v>0.20829053755808</v>
      </c>
      <c r="O74">
        <v>0.41770107030863102</v>
      </c>
      <c r="P74">
        <v>5.1408630000000002E-8</v>
      </c>
      <c r="Q74" s="44">
        <v>1.5465210000000001E-9</v>
      </c>
      <c r="R74">
        <v>1</v>
      </c>
      <c r="S74">
        <f>ABS(M74)</f>
        <v>0.36206247541100101</v>
      </c>
      <c r="T74">
        <f t="shared" ref="T74:U74" si="36">ABS(N74)</f>
        <v>0.20829053755808</v>
      </c>
      <c r="U74">
        <f t="shared" si="36"/>
        <v>0.41770107030863102</v>
      </c>
      <c r="W74" s="44">
        <v>0.42825683585732799</v>
      </c>
      <c r="X74" s="44">
        <v>7.5730033489181905E-2</v>
      </c>
      <c r="Y74">
        <v>15000</v>
      </c>
      <c r="Z74">
        <v>16</v>
      </c>
      <c r="AA74">
        <v>1</v>
      </c>
      <c r="AB74">
        <v>1</v>
      </c>
      <c r="AC74">
        <v>1</v>
      </c>
      <c r="AD74">
        <v>0.01</v>
      </c>
      <c r="AE74">
        <v>16</v>
      </c>
      <c r="AF74">
        <v>0</v>
      </c>
      <c r="AG74">
        <v>4.75</v>
      </c>
      <c r="AH74">
        <v>280.60000000000002</v>
      </c>
      <c r="AI74" t="s">
        <v>329</v>
      </c>
      <c r="AJ74">
        <v>4.75</v>
      </c>
      <c r="AK74" t="s">
        <v>330</v>
      </c>
    </row>
    <row r="75" spans="1:37" hidden="1" x14ac:dyDescent="0.3">
      <c r="A75">
        <v>4.75</v>
      </c>
      <c r="B75">
        <v>42</v>
      </c>
      <c r="C75">
        <v>1</v>
      </c>
      <c r="D75">
        <v>0.1</v>
      </c>
      <c r="E75" t="s">
        <v>26</v>
      </c>
      <c r="F75">
        <v>0</v>
      </c>
      <c r="I75" s="121"/>
      <c r="J75" s="2"/>
      <c r="K75" s="2"/>
      <c r="L75" s="122"/>
      <c r="M75">
        <v>-0.39901995563418202</v>
      </c>
      <c r="N75">
        <v>-0.17563498331851901</v>
      </c>
      <c r="O75">
        <v>0.43596395763824503</v>
      </c>
      <c r="P75">
        <v>1.007762E-5</v>
      </c>
      <c r="Q75" s="44">
        <v>4.6564899999999999E-5</v>
      </c>
      <c r="R75">
        <v>0.99994899999999998</v>
      </c>
      <c r="W75" s="44">
        <v>0.42825683585732799</v>
      </c>
      <c r="X75" s="44">
        <v>7.5730033489181905E-2</v>
      </c>
      <c r="Y75">
        <v>9000</v>
      </c>
      <c r="Z75">
        <v>16</v>
      </c>
      <c r="AA75">
        <v>1</v>
      </c>
      <c r="AB75">
        <v>1</v>
      </c>
      <c r="AC75">
        <v>1</v>
      </c>
      <c r="AD75">
        <v>0.01</v>
      </c>
      <c r="AE75">
        <v>16</v>
      </c>
      <c r="AF75">
        <v>0</v>
      </c>
      <c r="AG75">
        <v>4.75</v>
      </c>
      <c r="AH75">
        <v>165.1</v>
      </c>
      <c r="AI75" t="s">
        <v>331</v>
      </c>
      <c r="AJ75">
        <v>4.75</v>
      </c>
      <c r="AK75" t="s">
        <v>330</v>
      </c>
    </row>
    <row r="76" spans="1:37" hidden="1" x14ac:dyDescent="0.3">
      <c r="A76">
        <v>4.75</v>
      </c>
      <c r="B76">
        <v>45</v>
      </c>
      <c r="C76">
        <v>0</v>
      </c>
      <c r="D76">
        <v>0</v>
      </c>
      <c r="E76" t="s">
        <v>18</v>
      </c>
      <c r="G76">
        <f>J76-S76</f>
        <v>6.6846011436052954E-2</v>
      </c>
      <c r="H76">
        <f>K76+T76</f>
        <v>0.28397781406296801</v>
      </c>
      <c r="I76" s="121">
        <v>4.75</v>
      </c>
      <c r="J76" s="2">
        <v>0.42825683585699997</v>
      </c>
      <c r="K76" s="2">
        <v>7.5730033488999995E-2</v>
      </c>
      <c r="L76" s="122">
        <v>0.43490108695099999</v>
      </c>
      <c r="M76">
        <v>0.36141082442094702</v>
      </c>
      <c r="N76">
        <v>0.20824778057396801</v>
      </c>
      <c r="O76">
        <v>0.417114998678556</v>
      </c>
      <c r="P76">
        <v>6.2439879999999997E-8</v>
      </c>
      <c r="Q76" s="44">
        <v>1.776646E-9</v>
      </c>
      <c r="R76">
        <v>1</v>
      </c>
      <c r="S76">
        <f>ABS(M76)</f>
        <v>0.36141082442094702</v>
      </c>
      <c r="T76">
        <f t="shared" ref="T76:U76" si="37">ABS(N76)</f>
        <v>0.20824778057396801</v>
      </c>
      <c r="U76">
        <f t="shared" si="37"/>
        <v>0.417114998678556</v>
      </c>
      <c r="W76" s="44">
        <v>0.42825683585732799</v>
      </c>
      <c r="X76" s="44">
        <v>7.5730033489181905E-2</v>
      </c>
      <c r="Y76">
        <v>15000</v>
      </c>
      <c r="Z76">
        <v>16</v>
      </c>
      <c r="AA76">
        <v>1</v>
      </c>
      <c r="AB76">
        <v>1</v>
      </c>
      <c r="AC76">
        <v>1</v>
      </c>
      <c r="AD76">
        <v>0.01</v>
      </c>
      <c r="AE76">
        <v>16</v>
      </c>
      <c r="AF76">
        <v>0</v>
      </c>
      <c r="AG76">
        <v>4.75</v>
      </c>
      <c r="AH76">
        <v>281.10000000000002</v>
      </c>
      <c r="AI76" t="s">
        <v>332</v>
      </c>
      <c r="AJ76">
        <v>4.75</v>
      </c>
      <c r="AK76" t="s">
        <v>330</v>
      </c>
    </row>
    <row r="77" spans="1:37" hidden="1" x14ac:dyDescent="0.3">
      <c r="A77">
        <v>4.75</v>
      </c>
      <c r="B77">
        <v>45</v>
      </c>
      <c r="C77">
        <v>1</v>
      </c>
      <c r="D77">
        <v>0.1</v>
      </c>
      <c r="E77" t="s">
        <v>26</v>
      </c>
      <c r="F77">
        <v>0</v>
      </c>
      <c r="I77" s="121"/>
      <c r="J77" s="2"/>
      <c r="K77" s="2"/>
      <c r="L77" s="122"/>
      <c r="M77">
        <v>-0.45140746138656301</v>
      </c>
      <c r="N77">
        <v>-0.12973942544061301</v>
      </c>
      <c r="O77">
        <v>0.46968182284299897</v>
      </c>
      <c r="P77">
        <v>1.125283E-5</v>
      </c>
      <c r="Q77" s="44">
        <v>4.8332289999999997E-5</v>
      </c>
      <c r="R77">
        <v>0.99994899999999998</v>
      </c>
      <c r="W77" s="44">
        <v>0.42825683585732799</v>
      </c>
      <c r="X77" s="44">
        <v>7.5730033489181905E-2</v>
      </c>
      <c r="Y77">
        <v>9000</v>
      </c>
      <c r="Z77">
        <v>16</v>
      </c>
      <c r="AA77">
        <v>1</v>
      </c>
      <c r="AB77">
        <v>1</v>
      </c>
      <c r="AC77">
        <v>1</v>
      </c>
      <c r="AD77">
        <v>0.01</v>
      </c>
      <c r="AE77">
        <v>16</v>
      </c>
      <c r="AF77">
        <v>0</v>
      </c>
      <c r="AG77">
        <v>4.75</v>
      </c>
      <c r="AH77">
        <v>168.3</v>
      </c>
      <c r="AI77" t="s">
        <v>333</v>
      </c>
      <c r="AJ77">
        <v>4.75</v>
      </c>
      <c r="AK77" t="s">
        <v>330</v>
      </c>
    </row>
    <row r="78" spans="1:37" x14ac:dyDescent="0.3">
      <c r="A78">
        <v>5</v>
      </c>
      <c r="B78">
        <v>42</v>
      </c>
      <c r="C78">
        <v>0</v>
      </c>
      <c r="D78">
        <v>0</v>
      </c>
      <c r="E78" t="s">
        <v>18</v>
      </c>
      <c r="G78">
        <f>J78-S78</f>
        <v>0.15585726085358528</v>
      </c>
      <c r="H78">
        <f>K78+T78</f>
        <v>0.76042447975930905</v>
      </c>
      <c r="I78" s="121">
        <v>5</v>
      </c>
      <c r="J78" s="2">
        <v>0.25028795366599998</v>
      </c>
      <c r="K78" s="2">
        <v>0.35566120913100002</v>
      </c>
      <c r="L78" s="122">
        <v>0.43490108695099999</v>
      </c>
      <c r="M78">
        <v>9.4430692812414702E-2</v>
      </c>
      <c r="N78">
        <v>0.40476327062830902</v>
      </c>
      <c r="O78">
        <v>0.41563260338279301</v>
      </c>
      <c r="P78">
        <v>4.0275640000000001E-8</v>
      </c>
      <c r="Q78" s="44">
        <v>8.1064750000000002E-10</v>
      </c>
      <c r="R78">
        <v>1</v>
      </c>
      <c r="S78">
        <f>ABS(M78)</f>
        <v>9.4430692812414702E-2</v>
      </c>
      <c r="T78">
        <f t="shared" ref="T78:U78" si="38">ABS(N78)</f>
        <v>0.40476327062830902</v>
      </c>
      <c r="U78">
        <f t="shared" si="38"/>
        <v>0.41563260338279301</v>
      </c>
      <c r="W78" s="44">
        <v>0.25028795366583501</v>
      </c>
      <c r="X78" s="44">
        <v>0.35566120913106603</v>
      </c>
      <c r="Y78">
        <v>15000</v>
      </c>
      <c r="Z78">
        <v>16</v>
      </c>
      <c r="AA78">
        <v>1</v>
      </c>
      <c r="AB78">
        <v>1</v>
      </c>
      <c r="AC78">
        <v>1</v>
      </c>
      <c r="AD78">
        <v>0.01</v>
      </c>
      <c r="AE78">
        <v>16</v>
      </c>
      <c r="AF78">
        <v>0</v>
      </c>
      <c r="AG78">
        <v>5</v>
      </c>
      <c r="AH78">
        <v>280.2</v>
      </c>
      <c r="AI78" t="s">
        <v>334</v>
      </c>
      <c r="AJ78">
        <v>5</v>
      </c>
      <c r="AK78" t="s">
        <v>335</v>
      </c>
    </row>
    <row r="79" spans="1:37" hidden="1" x14ac:dyDescent="0.3">
      <c r="A79">
        <v>5</v>
      </c>
      <c r="B79">
        <v>42</v>
      </c>
      <c r="C79">
        <v>1</v>
      </c>
      <c r="D79">
        <v>0.1</v>
      </c>
      <c r="E79" t="s">
        <v>26</v>
      </c>
      <c r="F79">
        <v>0</v>
      </c>
      <c r="I79" s="121"/>
      <c r="J79" s="2"/>
      <c r="K79" s="2"/>
      <c r="L79" s="122"/>
      <c r="M79">
        <v>2.8048606616165599E-3</v>
      </c>
      <c r="N79">
        <v>2.7858709828262199E-3</v>
      </c>
      <c r="O79">
        <v>3.9532670620686904E-3</v>
      </c>
      <c r="P79">
        <v>1.6844099999999999E-7</v>
      </c>
      <c r="Q79" s="44">
        <v>1.279036E-4</v>
      </c>
      <c r="R79">
        <v>0.99986299999999995</v>
      </c>
      <c r="W79" s="44">
        <v>0.25028795366583501</v>
      </c>
      <c r="X79" s="44">
        <v>0.35566120913106603</v>
      </c>
      <c r="Y79">
        <v>9000</v>
      </c>
      <c r="Z79">
        <v>16</v>
      </c>
      <c r="AA79">
        <v>1</v>
      </c>
      <c r="AB79">
        <v>1</v>
      </c>
      <c r="AC79">
        <v>1</v>
      </c>
      <c r="AD79">
        <v>0.01</v>
      </c>
      <c r="AE79">
        <v>16</v>
      </c>
      <c r="AF79">
        <v>0</v>
      </c>
      <c r="AG79">
        <v>5</v>
      </c>
      <c r="AH79">
        <v>168.1</v>
      </c>
      <c r="AI79" t="s">
        <v>336</v>
      </c>
      <c r="AJ79">
        <v>5</v>
      </c>
      <c r="AK79" t="s">
        <v>335</v>
      </c>
    </row>
    <row r="80" spans="1:37" hidden="1" x14ac:dyDescent="0.3">
      <c r="A80">
        <v>5</v>
      </c>
      <c r="B80">
        <v>45</v>
      </c>
      <c r="C80">
        <v>0</v>
      </c>
      <c r="D80">
        <v>0</v>
      </c>
      <c r="E80" t="s">
        <v>18</v>
      </c>
      <c r="G80">
        <f>J80-S80</f>
        <v>0.15568057028654037</v>
      </c>
      <c r="H80">
        <f>K80+T80</f>
        <v>0.76059028494833403</v>
      </c>
      <c r="I80" s="121">
        <v>5</v>
      </c>
      <c r="J80" s="2">
        <v>0.25028795366599998</v>
      </c>
      <c r="K80" s="2">
        <v>0.35566120913100002</v>
      </c>
      <c r="L80" s="122">
        <v>0.43490108695099999</v>
      </c>
      <c r="M80">
        <v>-9.4607383379459606E-2</v>
      </c>
      <c r="N80">
        <v>-0.40492907581733401</v>
      </c>
      <c r="O80">
        <v>0.415834237926831</v>
      </c>
      <c r="P80">
        <v>6.2760460000000002E-8</v>
      </c>
      <c r="Q80" s="44">
        <v>2.2562480000000001E-9</v>
      </c>
      <c r="R80">
        <v>1</v>
      </c>
      <c r="S80">
        <f>ABS(M80)</f>
        <v>9.4607383379459606E-2</v>
      </c>
      <c r="T80">
        <f t="shared" ref="T80:U80" si="39">ABS(N80)</f>
        <v>0.40492907581733401</v>
      </c>
      <c r="U80">
        <f t="shared" si="39"/>
        <v>0.415834237926831</v>
      </c>
      <c r="W80" s="44">
        <v>0.25028795366583501</v>
      </c>
      <c r="X80" s="44">
        <v>0.35566120913106603</v>
      </c>
      <c r="Y80">
        <v>15000</v>
      </c>
      <c r="Z80">
        <v>16</v>
      </c>
      <c r="AA80">
        <v>1</v>
      </c>
      <c r="AB80">
        <v>1</v>
      </c>
      <c r="AC80">
        <v>1</v>
      </c>
      <c r="AD80">
        <v>0.01</v>
      </c>
      <c r="AE80">
        <v>16</v>
      </c>
      <c r="AF80">
        <v>0</v>
      </c>
      <c r="AG80">
        <v>5</v>
      </c>
      <c r="AH80">
        <v>281</v>
      </c>
      <c r="AI80" t="s">
        <v>337</v>
      </c>
      <c r="AJ80">
        <v>5</v>
      </c>
      <c r="AK80" t="s">
        <v>335</v>
      </c>
    </row>
    <row r="81" spans="1:37" hidden="1" x14ac:dyDescent="0.3">
      <c r="A81">
        <v>5</v>
      </c>
      <c r="B81">
        <v>45</v>
      </c>
      <c r="C81">
        <v>1</v>
      </c>
      <c r="D81">
        <v>0.1</v>
      </c>
      <c r="E81" t="s">
        <v>26</v>
      </c>
      <c r="F81">
        <v>0</v>
      </c>
      <c r="I81" s="121"/>
      <c r="J81" s="2"/>
      <c r="K81" s="2"/>
      <c r="L81" s="122"/>
      <c r="M81">
        <v>-3.4684437675676001E-3</v>
      </c>
      <c r="N81">
        <v>7.6569794446488398E-4</v>
      </c>
      <c r="O81">
        <v>3.55195657503527E-3</v>
      </c>
      <c r="P81">
        <v>1.9765630000000001E-7</v>
      </c>
      <c r="Q81" s="44">
        <v>2.9059449999999998E-4</v>
      </c>
      <c r="R81">
        <v>0.99974099999999999</v>
      </c>
      <c r="W81" s="44">
        <v>0.25028795366583501</v>
      </c>
      <c r="X81" s="44">
        <v>0.35566120913106603</v>
      </c>
      <c r="Y81">
        <v>9000</v>
      </c>
      <c r="Z81">
        <v>16</v>
      </c>
      <c r="AA81">
        <v>1</v>
      </c>
      <c r="AB81">
        <v>1</v>
      </c>
      <c r="AC81">
        <v>1</v>
      </c>
      <c r="AD81">
        <v>0.01</v>
      </c>
      <c r="AE81">
        <v>16</v>
      </c>
      <c r="AF81">
        <v>0</v>
      </c>
      <c r="AG81">
        <v>5</v>
      </c>
      <c r="AH81">
        <v>168.6</v>
      </c>
      <c r="AI81" t="s">
        <v>338</v>
      </c>
      <c r="AJ81">
        <v>5</v>
      </c>
      <c r="AK81" t="s">
        <v>335</v>
      </c>
    </row>
    <row r="82" spans="1:37" x14ac:dyDescent="0.3">
      <c r="A82">
        <v>5.25</v>
      </c>
      <c r="B82">
        <v>42</v>
      </c>
      <c r="C82">
        <v>0</v>
      </c>
      <c r="D82">
        <v>0</v>
      </c>
      <c r="E82" t="s">
        <v>18</v>
      </c>
      <c r="G82">
        <f>J82-S82</f>
        <v>-0.33568502959155</v>
      </c>
      <c r="H82">
        <f>K82+T82</f>
        <v>0.75938981968360797</v>
      </c>
      <c r="I82" s="121">
        <v>5.25</v>
      </c>
      <c r="J82" s="2">
        <v>-9.0429339267999995E-2</v>
      </c>
      <c r="K82" s="2">
        <v>0.42539568642699999</v>
      </c>
      <c r="L82" s="122">
        <v>0.43490108695099999</v>
      </c>
      <c r="M82">
        <v>0.24525569032354999</v>
      </c>
      <c r="N82">
        <v>-0.33399413325660798</v>
      </c>
      <c r="O82">
        <v>0.41436992492930103</v>
      </c>
      <c r="P82">
        <v>4.399974E-8</v>
      </c>
      <c r="Q82" s="44">
        <v>1.284104E-9</v>
      </c>
      <c r="R82">
        <v>1</v>
      </c>
      <c r="S82">
        <f>ABS(M82)</f>
        <v>0.24525569032354999</v>
      </c>
      <c r="T82">
        <f t="shared" ref="T82:U82" si="40">ABS(N82)</f>
        <v>0.33399413325660798</v>
      </c>
      <c r="U82">
        <f t="shared" si="40"/>
        <v>0.41436992492930103</v>
      </c>
      <c r="W82" s="44">
        <v>-9.0429339268449205E-2</v>
      </c>
      <c r="X82" s="44">
        <v>0.425395686426502</v>
      </c>
      <c r="Y82">
        <v>15000</v>
      </c>
      <c r="Z82">
        <v>16</v>
      </c>
      <c r="AA82">
        <v>1</v>
      </c>
      <c r="AB82">
        <v>1</v>
      </c>
      <c r="AC82">
        <v>1</v>
      </c>
      <c r="AD82">
        <v>0.01</v>
      </c>
      <c r="AE82">
        <v>16</v>
      </c>
      <c r="AF82">
        <v>0</v>
      </c>
      <c r="AG82">
        <v>5.25</v>
      </c>
      <c r="AH82">
        <v>277.3</v>
      </c>
      <c r="AI82" t="s">
        <v>339</v>
      </c>
      <c r="AJ82">
        <v>5.25</v>
      </c>
      <c r="AK82" t="s">
        <v>340</v>
      </c>
    </row>
    <row r="83" spans="1:37" hidden="1" x14ac:dyDescent="0.3">
      <c r="A83">
        <v>5.25</v>
      </c>
      <c r="B83">
        <v>42</v>
      </c>
      <c r="C83">
        <v>1</v>
      </c>
      <c r="D83">
        <v>0.1</v>
      </c>
      <c r="E83" t="s">
        <v>26</v>
      </c>
      <c r="F83">
        <v>0</v>
      </c>
      <c r="I83" s="121"/>
      <c r="J83" s="2"/>
      <c r="K83" s="2"/>
      <c r="L83" s="122"/>
      <c r="M83">
        <v>0.105586556154359</v>
      </c>
      <c r="N83">
        <v>-6.7904752161116494E-2</v>
      </c>
      <c r="O83">
        <v>0.12553715070289001</v>
      </c>
      <c r="P83">
        <v>6.2587220000000001E-6</v>
      </c>
      <c r="Q83" s="44">
        <v>1.914129E-4</v>
      </c>
      <c r="R83">
        <v>0.999807</v>
      </c>
      <c r="W83" s="44">
        <v>-9.0429339268449205E-2</v>
      </c>
      <c r="X83" s="44">
        <v>0.425395686426502</v>
      </c>
      <c r="Y83">
        <v>9000</v>
      </c>
      <c r="Z83">
        <v>16</v>
      </c>
      <c r="AA83">
        <v>1</v>
      </c>
      <c r="AB83">
        <v>1</v>
      </c>
      <c r="AC83">
        <v>1</v>
      </c>
      <c r="AD83">
        <v>0.01</v>
      </c>
      <c r="AE83">
        <v>16</v>
      </c>
      <c r="AF83">
        <v>0</v>
      </c>
      <c r="AG83">
        <v>5.25</v>
      </c>
      <c r="AH83">
        <v>166.8</v>
      </c>
      <c r="AI83" t="s">
        <v>341</v>
      </c>
      <c r="AJ83">
        <v>5.25</v>
      </c>
      <c r="AK83" t="s">
        <v>340</v>
      </c>
    </row>
    <row r="84" spans="1:37" hidden="1" x14ac:dyDescent="0.3">
      <c r="A84">
        <v>5.25</v>
      </c>
      <c r="B84">
        <v>45</v>
      </c>
      <c r="C84">
        <v>0</v>
      </c>
      <c r="D84">
        <v>0</v>
      </c>
      <c r="E84" t="s">
        <v>18</v>
      </c>
      <c r="G84">
        <f>J84-S84</f>
        <v>-0.33505550661169198</v>
      </c>
      <c r="H84">
        <f>K84+T84</f>
        <v>0.7591186726369139</v>
      </c>
      <c r="I84" s="121">
        <v>5.25</v>
      </c>
      <c r="J84" s="2">
        <v>-9.0429339267999995E-2</v>
      </c>
      <c r="K84" s="2">
        <v>0.42539568642699999</v>
      </c>
      <c r="L84" s="122">
        <v>0.43490108695099999</v>
      </c>
      <c r="M84">
        <v>-0.244626167343692</v>
      </c>
      <c r="N84">
        <v>0.33372298620991397</v>
      </c>
      <c r="O84">
        <v>0.41377891835390401</v>
      </c>
      <c r="P84">
        <v>8.5102890000000002E-8</v>
      </c>
      <c r="Q84" s="44">
        <v>4.3129140000000002E-9</v>
      </c>
      <c r="R84">
        <v>1</v>
      </c>
      <c r="S84">
        <f>ABS(M84)</f>
        <v>0.244626167343692</v>
      </c>
      <c r="T84">
        <f t="shared" ref="T84:U84" si="41">ABS(N84)</f>
        <v>0.33372298620991397</v>
      </c>
      <c r="U84">
        <f t="shared" si="41"/>
        <v>0.41377891835390401</v>
      </c>
      <c r="W84" s="44">
        <v>-9.0429339268449205E-2</v>
      </c>
      <c r="X84" s="44">
        <v>0.425395686426502</v>
      </c>
      <c r="Y84">
        <v>15000</v>
      </c>
      <c r="Z84">
        <v>16</v>
      </c>
      <c r="AA84">
        <v>1</v>
      </c>
      <c r="AB84">
        <v>1</v>
      </c>
      <c r="AC84">
        <v>1</v>
      </c>
      <c r="AD84">
        <v>0.01</v>
      </c>
      <c r="AE84">
        <v>16</v>
      </c>
      <c r="AF84">
        <v>0</v>
      </c>
      <c r="AG84">
        <v>5.25</v>
      </c>
      <c r="AH84">
        <v>280.60000000000002</v>
      </c>
      <c r="AI84" t="s">
        <v>342</v>
      </c>
      <c r="AJ84">
        <v>5.25</v>
      </c>
      <c r="AK84" t="s">
        <v>340</v>
      </c>
    </row>
    <row r="85" spans="1:37" hidden="1" x14ac:dyDescent="0.3">
      <c r="A85">
        <v>5.25</v>
      </c>
      <c r="B85">
        <v>45</v>
      </c>
      <c r="C85">
        <v>1</v>
      </c>
      <c r="D85">
        <v>0.1</v>
      </c>
      <c r="E85" t="s">
        <v>26</v>
      </c>
      <c r="F85">
        <v>0</v>
      </c>
      <c r="I85" s="121"/>
      <c r="J85" s="2"/>
      <c r="K85" s="2"/>
      <c r="L85" s="122"/>
      <c r="M85">
        <v>4.3209629606841302</v>
      </c>
      <c r="N85">
        <v>3.3124088177659101</v>
      </c>
      <c r="O85">
        <v>5.4445177090002703</v>
      </c>
      <c r="P85">
        <v>3.2193759999999999E-4</v>
      </c>
      <c r="Q85" s="44">
        <v>2.164488E-4</v>
      </c>
      <c r="R85">
        <v>0.99976100000000001</v>
      </c>
      <c r="W85" s="44">
        <v>-9.0429339268449205E-2</v>
      </c>
      <c r="X85" s="44">
        <v>0.425395686426502</v>
      </c>
      <c r="Y85">
        <v>9000</v>
      </c>
      <c r="Z85">
        <v>16</v>
      </c>
      <c r="AA85">
        <v>1</v>
      </c>
      <c r="AB85">
        <v>1</v>
      </c>
      <c r="AC85">
        <v>1</v>
      </c>
      <c r="AD85">
        <v>0.01</v>
      </c>
      <c r="AE85">
        <v>16</v>
      </c>
      <c r="AF85">
        <v>0</v>
      </c>
      <c r="AG85">
        <v>5.25</v>
      </c>
      <c r="AH85">
        <v>168.3</v>
      </c>
      <c r="AI85" t="s">
        <v>343</v>
      </c>
      <c r="AJ85">
        <v>5.25</v>
      </c>
      <c r="AK85" t="s">
        <v>340</v>
      </c>
    </row>
    <row r="86" spans="1:37" x14ac:dyDescent="0.3">
      <c r="A86">
        <v>5.5</v>
      </c>
      <c r="B86">
        <v>42</v>
      </c>
      <c r="C86">
        <v>0</v>
      </c>
      <c r="D86">
        <v>0</v>
      </c>
      <c r="E86" t="s">
        <v>18</v>
      </c>
      <c r="G86">
        <f>J86-S86</f>
        <v>-0.79376346911499507</v>
      </c>
      <c r="H86">
        <f>K86+T86</f>
        <v>0.22175024432057841</v>
      </c>
      <c r="I86" s="121">
        <v>5.5</v>
      </c>
      <c r="J86" s="2">
        <v>-0.38196867215300001</v>
      </c>
      <c r="K86" s="2">
        <v>0.207939628076</v>
      </c>
      <c r="L86" s="122">
        <v>0.43490108695099999</v>
      </c>
      <c r="M86">
        <v>-0.411794796961995</v>
      </c>
      <c r="N86">
        <v>1.38106162445784E-2</v>
      </c>
      <c r="O86">
        <v>0.41202631945790302</v>
      </c>
      <c r="P86">
        <v>3.9793570000000001E-8</v>
      </c>
      <c r="Q86" s="44">
        <v>1.440772E-9</v>
      </c>
      <c r="R86">
        <v>1</v>
      </c>
      <c r="S86">
        <f>ABS(M86)</f>
        <v>0.411794796961995</v>
      </c>
      <c r="T86">
        <f t="shared" ref="T86:U86" si="42">ABS(N86)</f>
        <v>1.38106162445784E-2</v>
      </c>
      <c r="U86">
        <f t="shared" si="42"/>
        <v>0.41202631945790302</v>
      </c>
      <c r="W86" s="44">
        <v>-0.38196867215320102</v>
      </c>
      <c r="X86" s="44">
        <v>0.20793962807585201</v>
      </c>
      <c r="Y86">
        <v>15000</v>
      </c>
      <c r="Z86">
        <v>16</v>
      </c>
      <c r="AA86">
        <v>1</v>
      </c>
      <c r="AB86">
        <v>1</v>
      </c>
      <c r="AC86">
        <v>1</v>
      </c>
      <c r="AD86">
        <v>0.01</v>
      </c>
      <c r="AE86">
        <v>16</v>
      </c>
      <c r="AF86">
        <v>0</v>
      </c>
      <c r="AG86">
        <v>5.5</v>
      </c>
      <c r="AH86">
        <v>277.3</v>
      </c>
      <c r="AI86" t="s">
        <v>344</v>
      </c>
      <c r="AJ86">
        <v>5.5</v>
      </c>
      <c r="AK86" t="s">
        <v>345</v>
      </c>
    </row>
    <row r="87" spans="1:37" hidden="1" x14ac:dyDescent="0.3">
      <c r="A87">
        <v>5.5</v>
      </c>
      <c r="B87">
        <v>42</v>
      </c>
      <c r="C87">
        <v>1</v>
      </c>
      <c r="D87">
        <v>0.1</v>
      </c>
      <c r="E87" t="s">
        <v>26</v>
      </c>
      <c r="F87">
        <v>0</v>
      </c>
      <c r="I87" s="121"/>
      <c r="J87" s="2"/>
      <c r="K87" s="2"/>
      <c r="L87" s="122"/>
      <c r="M87">
        <v>-1.30360661456456E-3</v>
      </c>
      <c r="N87">
        <v>1.18303492522589E-3</v>
      </c>
      <c r="O87">
        <v>1.76038684380471E-3</v>
      </c>
      <c r="P87">
        <v>7.5320230000000003E-8</v>
      </c>
      <c r="Q87" s="44">
        <v>1.4543170000000001E-4</v>
      </c>
      <c r="R87">
        <v>0.99970800000000004</v>
      </c>
      <c r="W87" s="44">
        <v>-0.38196867215320102</v>
      </c>
      <c r="X87" s="44">
        <v>0.20793962807585201</v>
      </c>
      <c r="Y87">
        <v>9000</v>
      </c>
      <c r="Z87">
        <v>16</v>
      </c>
      <c r="AA87">
        <v>1</v>
      </c>
      <c r="AB87">
        <v>1</v>
      </c>
      <c r="AC87">
        <v>1</v>
      </c>
      <c r="AD87">
        <v>0.01</v>
      </c>
      <c r="AE87">
        <v>16</v>
      </c>
      <c r="AF87">
        <v>0</v>
      </c>
      <c r="AG87">
        <v>5.5</v>
      </c>
      <c r="AH87">
        <v>166.7</v>
      </c>
      <c r="AI87" t="s">
        <v>346</v>
      </c>
      <c r="AJ87">
        <v>5.5</v>
      </c>
      <c r="AK87" t="s">
        <v>345</v>
      </c>
    </row>
    <row r="88" spans="1:37" hidden="1" x14ac:dyDescent="0.3">
      <c r="A88">
        <v>5.5</v>
      </c>
      <c r="B88">
        <v>45</v>
      </c>
      <c r="C88">
        <v>0</v>
      </c>
      <c r="D88">
        <v>0</v>
      </c>
      <c r="E88" t="s">
        <v>18</v>
      </c>
      <c r="G88">
        <f>J88-S88</f>
        <v>-0.794093447679317</v>
      </c>
      <c r="H88">
        <f>K88+T88</f>
        <v>0.22162785564479889</v>
      </c>
      <c r="I88" s="121">
        <v>5.5</v>
      </c>
      <c r="J88" s="2">
        <v>-0.38196867215300001</v>
      </c>
      <c r="K88" s="2">
        <v>0.207939628076</v>
      </c>
      <c r="L88" s="122">
        <v>0.43490108695099999</v>
      </c>
      <c r="M88">
        <v>0.41212477552631699</v>
      </c>
      <c r="N88">
        <v>-1.3688227568798899E-2</v>
      </c>
      <c r="O88">
        <v>0.41235203185699498</v>
      </c>
      <c r="P88">
        <v>1.155011E-8</v>
      </c>
      <c r="Q88" s="44">
        <v>6.5617799999999999E-11</v>
      </c>
      <c r="R88">
        <v>1</v>
      </c>
      <c r="S88">
        <f>ABS(M88)</f>
        <v>0.41212477552631699</v>
      </c>
      <c r="T88">
        <f t="shared" ref="T88:U88" si="43">ABS(N88)</f>
        <v>1.3688227568798899E-2</v>
      </c>
      <c r="U88">
        <f t="shared" si="43"/>
        <v>0.41235203185699498</v>
      </c>
      <c r="W88" s="44">
        <v>-0.38196867215320102</v>
      </c>
      <c r="X88" s="44">
        <v>0.20793962807585201</v>
      </c>
      <c r="Y88">
        <v>15000</v>
      </c>
      <c r="Z88">
        <v>16</v>
      </c>
      <c r="AA88">
        <v>1</v>
      </c>
      <c r="AB88">
        <v>1</v>
      </c>
      <c r="AC88">
        <v>1</v>
      </c>
      <c r="AD88">
        <v>0.01</v>
      </c>
      <c r="AE88">
        <v>16</v>
      </c>
      <c r="AF88">
        <v>0</v>
      </c>
      <c r="AG88">
        <v>5.5</v>
      </c>
      <c r="AH88">
        <v>280.7</v>
      </c>
      <c r="AI88" t="s">
        <v>347</v>
      </c>
      <c r="AJ88">
        <v>5.5</v>
      </c>
      <c r="AK88" t="s">
        <v>345</v>
      </c>
    </row>
    <row r="89" spans="1:37" hidden="1" x14ac:dyDescent="0.3">
      <c r="A89">
        <v>5.5</v>
      </c>
      <c r="B89">
        <v>45</v>
      </c>
      <c r="C89">
        <v>1</v>
      </c>
      <c r="D89">
        <v>0.1</v>
      </c>
      <c r="E89" t="s">
        <v>26</v>
      </c>
      <c r="F89">
        <v>0</v>
      </c>
      <c r="I89" s="121"/>
      <c r="J89" s="2"/>
      <c r="K89" s="2"/>
      <c r="L89" s="122"/>
      <c r="M89">
        <v>-0.30218037964565397</v>
      </c>
      <c r="N89">
        <v>0.1208858632379</v>
      </c>
      <c r="O89">
        <v>0.32546332170240599</v>
      </c>
      <c r="P89">
        <v>2.0336709999999999E-5</v>
      </c>
      <c r="Q89" s="44">
        <v>4.068225E-4</v>
      </c>
      <c r="R89">
        <v>0.99948199999999998</v>
      </c>
      <c r="W89" s="44">
        <v>-0.38196867215320102</v>
      </c>
      <c r="X89" s="44">
        <v>0.20793962807585201</v>
      </c>
      <c r="Y89">
        <v>9000</v>
      </c>
      <c r="Z89">
        <v>16</v>
      </c>
      <c r="AA89">
        <v>1</v>
      </c>
      <c r="AB89">
        <v>1</v>
      </c>
      <c r="AC89">
        <v>1</v>
      </c>
      <c r="AD89">
        <v>0.01</v>
      </c>
      <c r="AE89">
        <v>16</v>
      </c>
      <c r="AF89">
        <v>0</v>
      </c>
      <c r="AG89">
        <v>5.5</v>
      </c>
      <c r="AH89">
        <v>165.4</v>
      </c>
      <c r="AI89" t="s">
        <v>348</v>
      </c>
      <c r="AJ89">
        <v>5.5</v>
      </c>
      <c r="AK89" t="s">
        <v>345</v>
      </c>
    </row>
    <row r="90" spans="1:37" x14ac:dyDescent="0.3">
      <c r="A90">
        <v>5.75</v>
      </c>
      <c r="B90">
        <v>42</v>
      </c>
      <c r="C90">
        <v>0</v>
      </c>
      <c r="D90">
        <v>0</v>
      </c>
      <c r="E90" t="s">
        <v>18</v>
      </c>
      <c r="G90">
        <f>J90-S90</f>
        <v>-0.65016902013510702</v>
      </c>
      <c r="H90">
        <f>K90+T90</f>
        <v>0.15360040429547903</v>
      </c>
      <c r="I90" s="121">
        <v>5.75</v>
      </c>
      <c r="J90" s="2">
        <v>-0.39981839192000002</v>
      </c>
      <c r="K90" s="2">
        <v>-0.171126295214</v>
      </c>
      <c r="L90" s="122">
        <v>0.43490108695099999</v>
      </c>
      <c r="M90">
        <v>-0.25035062821510701</v>
      </c>
      <c r="N90">
        <v>-0.32472669950947902</v>
      </c>
      <c r="O90">
        <v>0.410027884932255</v>
      </c>
      <c r="P90">
        <v>1.442221E-7</v>
      </c>
      <c r="Q90" s="44">
        <v>8.8721549999999997E-9</v>
      </c>
      <c r="R90">
        <v>1</v>
      </c>
      <c r="S90">
        <f>ABS(M90)</f>
        <v>0.25035062821510701</v>
      </c>
      <c r="T90">
        <f t="shared" ref="T90:U90" si="44">ABS(N90)</f>
        <v>0.32472669950947902</v>
      </c>
      <c r="U90">
        <f t="shared" si="44"/>
        <v>0.410027884932255</v>
      </c>
      <c r="W90" s="44">
        <v>-0.399818391919529</v>
      </c>
      <c r="X90" s="44">
        <v>-0.17112629521404599</v>
      </c>
      <c r="Y90">
        <v>15000</v>
      </c>
      <c r="Z90">
        <v>16</v>
      </c>
      <c r="AA90">
        <v>1</v>
      </c>
      <c r="AB90">
        <v>1</v>
      </c>
      <c r="AC90">
        <v>1</v>
      </c>
      <c r="AD90">
        <v>0.01</v>
      </c>
      <c r="AE90">
        <v>16</v>
      </c>
      <c r="AF90">
        <v>0</v>
      </c>
      <c r="AG90">
        <v>5.75</v>
      </c>
      <c r="AH90">
        <v>279</v>
      </c>
      <c r="AI90" t="s">
        <v>349</v>
      </c>
      <c r="AJ90">
        <v>5.75</v>
      </c>
      <c r="AK90" t="s">
        <v>350</v>
      </c>
    </row>
    <row r="91" spans="1:37" hidden="1" x14ac:dyDescent="0.3">
      <c r="A91">
        <v>5.75</v>
      </c>
      <c r="B91">
        <v>42</v>
      </c>
      <c r="C91">
        <v>1</v>
      </c>
      <c r="D91">
        <v>0.1</v>
      </c>
      <c r="E91" t="s">
        <v>26</v>
      </c>
      <c r="F91">
        <v>0</v>
      </c>
      <c r="I91" s="121"/>
      <c r="J91" s="2"/>
      <c r="K91" s="2"/>
      <c r="L91" s="122"/>
      <c r="M91">
        <v>-7.4476196483923996E-3</v>
      </c>
      <c r="N91">
        <v>-1.06141592800856E-2</v>
      </c>
      <c r="O91">
        <v>1.2966395630634901E-2</v>
      </c>
      <c r="P91">
        <v>6.9678389999999998E-7</v>
      </c>
      <c r="Q91" s="44">
        <v>1.5687249999999999E-4</v>
      </c>
      <c r="R91">
        <v>0.99977000000000005</v>
      </c>
      <c r="W91" s="44">
        <v>-0.399818391919529</v>
      </c>
      <c r="X91" s="44">
        <v>-0.17112629521404599</v>
      </c>
      <c r="Y91">
        <v>9000</v>
      </c>
      <c r="Z91">
        <v>16</v>
      </c>
      <c r="AA91">
        <v>1</v>
      </c>
      <c r="AB91">
        <v>1</v>
      </c>
      <c r="AC91">
        <v>1</v>
      </c>
      <c r="AD91">
        <v>0.01</v>
      </c>
      <c r="AE91">
        <v>16</v>
      </c>
      <c r="AF91">
        <v>0</v>
      </c>
      <c r="AG91">
        <v>5.75</v>
      </c>
      <c r="AH91">
        <v>166.5</v>
      </c>
      <c r="AI91" t="s">
        <v>351</v>
      </c>
      <c r="AJ91">
        <v>5.75</v>
      </c>
      <c r="AK91" t="s">
        <v>350</v>
      </c>
    </row>
    <row r="92" spans="1:37" hidden="1" x14ac:dyDescent="0.3">
      <c r="A92">
        <v>5.75</v>
      </c>
      <c r="B92">
        <v>45</v>
      </c>
      <c r="C92">
        <v>0</v>
      </c>
      <c r="D92">
        <v>0</v>
      </c>
      <c r="E92" t="s">
        <v>18</v>
      </c>
      <c r="G92">
        <f>J92-S92</f>
        <v>-0.65109046791732395</v>
      </c>
      <c r="H92">
        <f>K92+T92</f>
        <v>0.15372157186753602</v>
      </c>
      <c r="I92" s="121">
        <v>5.75</v>
      </c>
      <c r="J92" s="2">
        <v>-0.39981839192000002</v>
      </c>
      <c r="K92" s="2">
        <v>-0.171126295214</v>
      </c>
      <c r="L92" s="122">
        <v>0.43490108695099999</v>
      </c>
      <c r="M92">
        <v>-0.25127207599732398</v>
      </c>
      <c r="N92">
        <v>-0.32484786708153601</v>
      </c>
      <c r="O92">
        <v>0.41068697681254601</v>
      </c>
      <c r="P92">
        <v>8.7779849999999994E-8</v>
      </c>
      <c r="Q92" s="44">
        <v>3.9577849999999999E-9</v>
      </c>
      <c r="R92">
        <v>1</v>
      </c>
      <c r="S92">
        <f>ABS(M92)</f>
        <v>0.25127207599732398</v>
      </c>
      <c r="T92">
        <f t="shared" ref="T92:U92" si="45">ABS(N92)</f>
        <v>0.32484786708153601</v>
      </c>
      <c r="U92">
        <f t="shared" si="45"/>
        <v>0.41068697681254601</v>
      </c>
      <c r="W92" s="44">
        <v>-0.399818391919529</v>
      </c>
      <c r="X92" s="44">
        <v>-0.17112629521404599</v>
      </c>
      <c r="Y92">
        <v>15000</v>
      </c>
      <c r="Z92">
        <v>16</v>
      </c>
      <c r="AA92">
        <v>1</v>
      </c>
      <c r="AB92">
        <v>1</v>
      </c>
      <c r="AC92">
        <v>1</v>
      </c>
      <c r="AD92">
        <v>0.01</v>
      </c>
      <c r="AE92">
        <v>16</v>
      </c>
      <c r="AF92">
        <v>0</v>
      </c>
      <c r="AG92">
        <v>5.75</v>
      </c>
      <c r="AH92">
        <v>282.5</v>
      </c>
      <c r="AI92" t="s">
        <v>352</v>
      </c>
      <c r="AJ92">
        <v>5.75</v>
      </c>
      <c r="AK92" t="s">
        <v>350</v>
      </c>
    </row>
    <row r="93" spans="1:37" hidden="1" x14ac:dyDescent="0.3">
      <c r="A93">
        <v>5.75</v>
      </c>
      <c r="B93">
        <v>45</v>
      </c>
      <c r="C93">
        <v>1</v>
      </c>
      <c r="D93">
        <v>0.1</v>
      </c>
      <c r="E93" t="s">
        <v>26</v>
      </c>
      <c r="F93">
        <v>0</v>
      </c>
      <c r="I93" s="121"/>
      <c r="J93" s="2"/>
      <c r="K93" s="2"/>
      <c r="L93" s="122"/>
      <c r="M93">
        <v>-0.11237799164107599</v>
      </c>
      <c r="N93">
        <v>-0.225447155959967</v>
      </c>
      <c r="O93">
        <v>0.25190322176526397</v>
      </c>
      <c r="P93">
        <v>1.19047E-5</v>
      </c>
      <c r="Q93" s="44">
        <v>2.9572000000000002E-4</v>
      </c>
      <c r="R93">
        <v>0.99976500000000001</v>
      </c>
      <c r="W93" s="44">
        <v>-0.399818391919529</v>
      </c>
      <c r="X93" s="44">
        <v>-0.17112629521404599</v>
      </c>
      <c r="Y93">
        <v>9000</v>
      </c>
      <c r="Z93">
        <v>16</v>
      </c>
      <c r="AA93">
        <v>1</v>
      </c>
      <c r="AB93">
        <v>1</v>
      </c>
      <c r="AC93">
        <v>1</v>
      </c>
      <c r="AD93">
        <v>0.01</v>
      </c>
      <c r="AE93">
        <v>16</v>
      </c>
      <c r="AF93">
        <v>0</v>
      </c>
      <c r="AG93">
        <v>5.75</v>
      </c>
      <c r="AH93">
        <v>165.3</v>
      </c>
      <c r="AI93" t="s">
        <v>353</v>
      </c>
      <c r="AJ93">
        <v>5.75</v>
      </c>
      <c r="AK93" t="s">
        <v>350</v>
      </c>
    </row>
    <row r="94" spans="1:37" x14ac:dyDescent="0.3">
      <c r="A94">
        <v>6</v>
      </c>
      <c r="B94">
        <v>42</v>
      </c>
      <c r="C94">
        <v>0</v>
      </c>
      <c r="D94">
        <v>0</v>
      </c>
      <c r="E94" t="s">
        <v>18</v>
      </c>
      <c r="G94">
        <f>J94-S94</f>
        <v>-0.227600567536904</v>
      </c>
      <c r="H94">
        <f>K94+T94</f>
        <v>-3.8054064408918009E-2</v>
      </c>
      <c r="I94" s="121">
        <v>6</v>
      </c>
      <c r="J94" s="2">
        <v>-9.6310638158000006E-2</v>
      </c>
      <c r="K94" s="2">
        <v>-0.42410283706700003</v>
      </c>
      <c r="L94" s="122">
        <v>0.43490108695099999</v>
      </c>
      <c r="M94">
        <v>0.13128992937890399</v>
      </c>
      <c r="N94">
        <v>-0.38604877265808202</v>
      </c>
      <c r="O94">
        <v>0.40776304445980499</v>
      </c>
      <c r="P94">
        <v>6.4003740000000005E-8</v>
      </c>
      <c r="Q94" s="44">
        <v>2.4131970000000002E-9</v>
      </c>
      <c r="R94">
        <v>1</v>
      </c>
      <c r="S94">
        <f>ABS(M94)</f>
        <v>0.13128992937890399</v>
      </c>
      <c r="T94">
        <f t="shared" ref="T94:U94" si="46">ABS(N94)</f>
        <v>0.38604877265808202</v>
      </c>
      <c r="U94">
        <f t="shared" si="46"/>
        <v>0.40776304445980499</v>
      </c>
      <c r="W94" s="44">
        <v>-9.6310638158220802E-2</v>
      </c>
      <c r="X94" s="44">
        <v>-0.42410283706709601</v>
      </c>
      <c r="Y94">
        <v>15000</v>
      </c>
      <c r="Z94">
        <v>16</v>
      </c>
      <c r="AA94">
        <v>1</v>
      </c>
      <c r="AB94">
        <v>1</v>
      </c>
      <c r="AC94">
        <v>1</v>
      </c>
      <c r="AD94">
        <v>0.01</v>
      </c>
      <c r="AE94">
        <v>16</v>
      </c>
      <c r="AF94">
        <v>0</v>
      </c>
      <c r="AG94">
        <v>6</v>
      </c>
      <c r="AH94">
        <v>280.10000000000002</v>
      </c>
      <c r="AI94" t="s">
        <v>354</v>
      </c>
      <c r="AJ94">
        <v>6</v>
      </c>
      <c r="AK94" t="s">
        <v>355</v>
      </c>
    </row>
    <row r="95" spans="1:37" hidden="1" x14ac:dyDescent="0.3">
      <c r="A95">
        <v>6</v>
      </c>
      <c r="B95">
        <v>42</v>
      </c>
      <c r="C95">
        <v>1</v>
      </c>
      <c r="D95">
        <v>0.1</v>
      </c>
      <c r="E95" t="s">
        <v>26</v>
      </c>
      <c r="F95">
        <v>0</v>
      </c>
      <c r="I95" s="121"/>
      <c r="J95" s="2"/>
      <c r="K95" s="2"/>
      <c r="L95" s="122"/>
      <c r="M95">
        <v>2.3876366041685202</v>
      </c>
      <c r="N95">
        <v>0.20128601059267601</v>
      </c>
      <c r="O95">
        <v>2.3961061353007098</v>
      </c>
      <c r="P95">
        <v>1.3681469999999999E-4</v>
      </c>
      <c r="Q95" s="44">
        <v>2.8271569999999997E-4</v>
      </c>
      <c r="R95">
        <v>0.99969699999999995</v>
      </c>
      <c r="W95" s="44">
        <v>-9.6310638158220802E-2</v>
      </c>
      <c r="X95" s="44">
        <v>-0.42410283706709601</v>
      </c>
      <c r="Y95">
        <v>9000</v>
      </c>
      <c r="Z95">
        <v>16</v>
      </c>
      <c r="AA95">
        <v>1</v>
      </c>
      <c r="AB95">
        <v>1</v>
      </c>
      <c r="AC95">
        <v>1</v>
      </c>
      <c r="AD95">
        <v>0.01</v>
      </c>
      <c r="AE95">
        <v>16</v>
      </c>
      <c r="AF95">
        <v>0</v>
      </c>
      <c r="AG95">
        <v>6</v>
      </c>
      <c r="AH95">
        <v>167.5</v>
      </c>
      <c r="AI95" t="s">
        <v>356</v>
      </c>
      <c r="AJ95">
        <v>6</v>
      </c>
      <c r="AK95" t="s">
        <v>355</v>
      </c>
    </row>
    <row r="96" spans="1:37" hidden="1" x14ac:dyDescent="0.3">
      <c r="A96">
        <v>6</v>
      </c>
      <c r="B96">
        <v>45</v>
      </c>
      <c r="C96">
        <v>0</v>
      </c>
      <c r="D96">
        <v>0</v>
      </c>
      <c r="E96" t="s">
        <v>18</v>
      </c>
      <c r="G96">
        <f>J96-S96</f>
        <v>-0.227257416849138</v>
      </c>
      <c r="H96">
        <f>K96+T96</f>
        <v>-3.8291269122017024E-2</v>
      </c>
      <c r="I96" s="121">
        <v>6</v>
      </c>
      <c r="J96" s="2">
        <v>-9.6310638158000006E-2</v>
      </c>
      <c r="K96" s="2">
        <v>-0.42410283706700003</v>
      </c>
      <c r="L96" s="122">
        <v>0.43490108695099999</v>
      </c>
      <c r="M96">
        <v>0.13094677869113799</v>
      </c>
      <c r="N96">
        <v>-0.385811567944983</v>
      </c>
      <c r="O96">
        <v>0.407428060901249</v>
      </c>
      <c r="P96">
        <v>1.402405E-7</v>
      </c>
      <c r="Q96" s="44">
        <v>1.2041E-8</v>
      </c>
      <c r="R96">
        <v>1</v>
      </c>
      <c r="S96">
        <f>ABS(M96)</f>
        <v>0.13094677869113799</v>
      </c>
      <c r="T96">
        <f t="shared" ref="T96:U96" si="47">ABS(N96)</f>
        <v>0.385811567944983</v>
      </c>
      <c r="U96">
        <f t="shared" si="47"/>
        <v>0.407428060901249</v>
      </c>
      <c r="W96" s="44">
        <v>-9.6310638158220802E-2</v>
      </c>
      <c r="X96" s="44">
        <v>-0.42410283706709601</v>
      </c>
      <c r="Y96">
        <v>15000</v>
      </c>
      <c r="Z96">
        <v>16</v>
      </c>
      <c r="AA96">
        <v>1</v>
      </c>
      <c r="AB96">
        <v>1</v>
      </c>
      <c r="AC96">
        <v>1</v>
      </c>
      <c r="AD96">
        <v>0.01</v>
      </c>
      <c r="AE96">
        <v>16</v>
      </c>
      <c r="AF96">
        <v>0</v>
      </c>
      <c r="AG96">
        <v>6</v>
      </c>
      <c r="AH96">
        <v>274.7</v>
      </c>
      <c r="AI96" t="s">
        <v>357</v>
      </c>
      <c r="AJ96">
        <v>6</v>
      </c>
      <c r="AK96" t="s">
        <v>355</v>
      </c>
    </row>
    <row r="97" spans="1:37" hidden="1" x14ac:dyDescent="0.3">
      <c r="A97">
        <v>6</v>
      </c>
      <c r="B97">
        <v>45</v>
      </c>
      <c r="C97">
        <v>1</v>
      </c>
      <c r="D97">
        <v>0.1</v>
      </c>
      <c r="E97" t="s">
        <v>26</v>
      </c>
      <c r="F97">
        <v>0</v>
      </c>
      <c r="I97" s="121"/>
      <c r="J97" s="2"/>
      <c r="K97" s="2"/>
      <c r="L97" s="122"/>
      <c r="M97">
        <v>-3.5215934736025098</v>
      </c>
      <c r="N97">
        <v>1.41469234385783</v>
      </c>
      <c r="O97">
        <v>3.7951251654049298</v>
      </c>
      <c r="P97">
        <v>2.1025009999999999E-4</v>
      </c>
      <c r="Q97" s="44">
        <v>2.6607250000000002E-4</v>
      </c>
      <c r="R97">
        <v>0.99969300000000005</v>
      </c>
      <c r="W97" s="44">
        <v>-9.6310638158220802E-2</v>
      </c>
      <c r="X97" s="44">
        <v>-0.42410283706709601</v>
      </c>
      <c r="Y97">
        <v>9000</v>
      </c>
      <c r="Z97">
        <v>16</v>
      </c>
      <c r="AA97">
        <v>1</v>
      </c>
      <c r="AB97">
        <v>1</v>
      </c>
      <c r="AC97">
        <v>1</v>
      </c>
      <c r="AD97">
        <v>0.01</v>
      </c>
      <c r="AE97">
        <v>16</v>
      </c>
      <c r="AF97">
        <v>0</v>
      </c>
      <c r="AG97">
        <v>6</v>
      </c>
      <c r="AH97">
        <v>166</v>
      </c>
      <c r="AI97" t="s">
        <v>358</v>
      </c>
      <c r="AJ97">
        <v>6</v>
      </c>
      <c r="AK97" t="s">
        <v>355</v>
      </c>
    </row>
    <row r="98" spans="1:37" x14ac:dyDescent="0.3">
      <c r="A98">
        <v>6.25</v>
      </c>
      <c r="B98">
        <v>42</v>
      </c>
      <c r="C98">
        <v>0</v>
      </c>
      <c r="D98">
        <v>0</v>
      </c>
      <c r="E98" t="s">
        <v>18</v>
      </c>
      <c r="G98">
        <f>J98-S98</f>
        <v>-9.7333400550729032E-2</v>
      </c>
      <c r="H98">
        <f>K98+T98</f>
        <v>-0.2297675100898626</v>
      </c>
      <c r="I98" s="121">
        <v>6.25</v>
      </c>
      <c r="J98" s="2">
        <v>0.29958083084499998</v>
      </c>
      <c r="K98" s="2">
        <v>-0.31526224198399999</v>
      </c>
      <c r="L98" s="122">
        <v>0.43490108695099999</v>
      </c>
      <c r="M98">
        <v>0.39691423139572901</v>
      </c>
      <c r="N98">
        <v>-8.5494731894137393E-2</v>
      </c>
      <c r="O98">
        <v>0.40601755659837202</v>
      </c>
      <c r="P98">
        <v>1.042752E-7</v>
      </c>
      <c r="Q98" s="44">
        <v>6.6555029999999997E-9</v>
      </c>
      <c r="R98">
        <v>1</v>
      </c>
      <c r="S98">
        <f>ABS(M98)</f>
        <v>0.39691423139572901</v>
      </c>
      <c r="T98">
        <f t="shared" ref="T98:U98" si="48">ABS(N98)</f>
        <v>8.5494731894137393E-2</v>
      </c>
      <c r="U98">
        <f t="shared" si="48"/>
        <v>0.40601755659837202</v>
      </c>
      <c r="W98" s="44">
        <v>0.29958083084489201</v>
      </c>
      <c r="X98" s="44">
        <v>-0.31526224198449099</v>
      </c>
      <c r="Y98">
        <v>15000</v>
      </c>
      <c r="Z98">
        <v>16</v>
      </c>
      <c r="AA98">
        <v>1</v>
      </c>
      <c r="AB98">
        <v>1</v>
      </c>
      <c r="AC98">
        <v>1</v>
      </c>
      <c r="AD98">
        <v>0.01</v>
      </c>
      <c r="AE98">
        <v>16</v>
      </c>
      <c r="AF98">
        <v>0</v>
      </c>
      <c r="AG98">
        <v>6.25</v>
      </c>
      <c r="AH98">
        <v>278.60000000000002</v>
      </c>
      <c r="AI98" t="s">
        <v>359</v>
      </c>
      <c r="AJ98">
        <v>6.25</v>
      </c>
      <c r="AK98" t="s">
        <v>360</v>
      </c>
    </row>
    <row r="99" spans="1:37" hidden="1" x14ac:dyDescent="0.3">
      <c r="A99">
        <v>6.25</v>
      </c>
      <c r="B99">
        <v>42</v>
      </c>
      <c r="C99">
        <v>1</v>
      </c>
      <c r="D99">
        <v>0.1</v>
      </c>
      <c r="E99" t="s">
        <v>26</v>
      </c>
      <c r="F99">
        <v>0</v>
      </c>
      <c r="I99" s="121"/>
      <c r="J99" s="2"/>
      <c r="K99" s="2"/>
      <c r="L99" s="122"/>
      <c r="M99">
        <v>-5.3205390959825301E-2</v>
      </c>
      <c r="N99">
        <v>12.4093622641383</v>
      </c>
      <c r="O99">
        <v>12.4094763232074</v>
      </c>
      <c r="P99">
        <v>9.0602870000000004E-4</v>
      </c>
      <c r="Q99" s="44">
        <v>2.1855029999999999E-4</v>
      </c>
      <c r="R99">
        <v>0.99970700000000001</v>
      </c>
      <c r="W99" s="44">
        <v>0.29958083084489201</v>
      </c>
      <c r="X99" s="44">
        <v>-0.31526224198449099</v>
      </c>
      <c r="Y99">
        <v>9000</v>
      </c>
      <c r="Z99">
        <v>16</v>
      </c>
      <c r="AA99">
        <v>1</v>
      </c>
      <c r="AB99">
        <v>1</v>
      </c>
      <c r="AC99">
        <v>1</v>
      </c>
      <c r="AD99">
        <v>0.01</v>
      </c>
      <c r="AE99">
        <v>16</v>
      </c>
      <c r="AF99">
        <v>0</v>
      </c>
      <c r="AG99">
        <v>6.25</v>
      </c>
      <c r="AH99">
        <v>165.9</v>
      </c>
      <c r="AI99" t="s">
        <v>361</v>
      </c>
      <c r="AJ99">
        <v>6.25</v>
      </c>
      <c r="AK99" t="s">
        <v>360</v>
      </c>
    </row>
    <row r="100" spans="1:37" hidden="1" x14ac:dyDescent="0.3">
      <c r="A100">
        <v>6.25</v>
      </c>
      <c r="B100">
        <v>45</v>
      </c>
      <c r="C100">
        <v>0</v>
      </c>
      <c r="D100">
        <v>0</v>
      </c>
      <c r="E100" t="s">
        <v>18</v>
      </c>
      <c r="G100">
        <f>J100-S100</f>
        <v>-9.803066230677504E-2</v>
      </c>
      <c r="H100">
        <f>K100+T100</f>
        <v>-0.23121587692449438</v>
      </c>
      <c r="I100" s="121">
        <v>6.25</v>
      </c>
      <c r="J100" s="2">
        <v>0.29958083084499998</v>
      </c>
      <c r="K100" s="2">
        <v>-0.31526224198399999</v>
      </c>
      <c r="L100" s="122">
        <v>0.43490108695099999</v>
      </c>
      <c r="M100">
        <v>-0.39761149315177502</v>
      </c>
      <c r="N100">
        <v>8.4046365059505607E-2</v>
      </c>
      <c r="O100">
        <v>0.40639720836405802</v>
      </c>
      <c r="P100">
        <v>5.9535269999999997E-8</v>
      </c>
      <c r="Q100" s="44">
        <v>1.8247129999999999E-9</v>
      </c>
      <c r="R100">
        <v>1</v>
      </c>
      <c r="S100">
        <f>ABS(M100)</f>
        <v>0.39761149315177502</v>
      </c>
      <c r="T100">
        <f t="shared" ref="T100:U100" si="49">ABS(N100)</f>
        <v>8.4046365059505607E-2</v>
      </c>
      <c r="U100">
        <f t="shared" si="49"/>
        <v>0.40639720836405802</v>
      </c>
      <c r="W100" s="44">
        <v>0.29958083084489201</v>
      </c>
      <c r="X100" s="44">
        <v>-0.31526224198449099</v>
      </c>
      <c r="Y100">
        <v>15000</v>
      </c>
      <c r="Z100">
        <v>16</v>
      </c>
      <c r="AA100">
        <v>1</v>
      </c>
      <c r="AB100">
        <v>1</v>
      </c>
      <c r="AC100">
        <v>1</v>
      </c>
      <c r="AD100">
        <v>0.01</v>
      </c>
      <c r="AE100">
        <v>16</v>
      </c>
      <c r="AF100">
        <v>0</v>
      </c>
      <c r="AG100">
        <v>6.25</v>
      </c>
      <c r="AH100">
        <v>276.89999999999998</v>
      </c>
      <c r="AI100" t="s">
        <v>362</v>
      </c>
      <c r="AJ100">
        <v>6.25</v>
      </c>
      <c r="AK100" t="s">
        <v>360</v>
      </c>
    </row>
    <row r="101" spans="1:37" hidden="1" x14ac:dyDescent="0.3">
      <c r="A101">
        <v>6.25</v>
      </c>
      <c r="B101">
        <v>45</v>
      </c>
      <c r="C101">
        <v>1</v>
      </c>
      <c r="D101">
        <v>0.1</v>
      </c>
      <c r="E101" t="s">
        <v>26</v>
      </c>
      <c r="F101">
        <v>0</v>
      </c>
      <c r="I101" s="121"/>
      <c r="J101" s="2"/>
      <c r="K101" s="2"/>
      <c r="L101" s="122"/>
      <c r="M101">
        <v>-5.4851865780879399</v>
      </c>
      <c r="N101">
        <v>38.967169835580499</v>
      </c>
      <c r="O101">
        <v>39.351335387651197</v>
      </c>
      <c r="P101">
        <v>2.3594089999999998E-3</v>
      </c>
      <c r="Q101" s="44">
        <v>2.484907E-4</v>
      </c>
      <c r="R101">
        <v>0.99958800000000003</v>
      </c>
      <c r="W101" s="44">
        <v>0.29958083084489201</v>
      </c>
      <c r="X101" s="44">
        <v>-0.31526224198449099</v>
      </c>
      <c r="Y101">
        <v>9000</v>
      </c>
      <c r="Z101">
        <v>16</v>
      </c>
      <c r="AA101">
        <v>1</v>
      </c>
      <c r="AB101">
        <v>1</v>
      </c>
      <c r="AC101">
        <v>1</v>
      </c>
      <c r="AD101">
        <v>0.01</v>
      </c>
      <c r="AE101">
        <v>16</v>
      </c>
      <c r="AF101">
        <v>0</v>
      </c>
      <c r="AG101">
        <v>6.25</v>
      </c>
      <c r="AH101">
        <v>167</v>
      </c>
      <c r="AI101" t="s">
        <v>363</v>
      </c>
      <c r="AJ101">
        <v>6.25</v>
      </c>
      <c r="AK101" t="s">
        <v>360</v>
      </c>
    </row>
    <row r="102" spans="1:37" x14ac:dyDescent="0.3">
      <c r="A102">
        <v>6.5</v>
      </c>
      <c r="B102">
        <v>42</v>
      </c>
      <c r="C102">
        <v>0</v>
      </c>
      <c r="D102">
        <v>0</v>
      </c>
      <c r="E102" t="s">
        <v>18</v>
      </c>
      <c r="G102">
        <f>J102-S102</f>
        <v>0.16249986225045504</v>
      </c>
      <c r="H102">
        <f>K102+T102</f>
        <v>0.39658253227553097</v>
      </c>
      <c r="I102" s="121">
        <v>6.5</v>
      </c>
      <c r="J102" s="2">
        <v>0.42512444070400002</v>
      </c>
      <c r="K102" s="2">
        <v>9.1696048697999993E-2</v>
      </c>
      <c r="L102" s="122">
        <v>0.43490108695099999</v>
      </c>
      <c r="M102">
        <v>0.26262457845354498</v>
      </c>
      <c r="N102">
        <v>0.30488648357753101</v>
      </c>
      <c r="O102">
        <v>0.40240208383676901</v>
      </c>
      <c r="P102">
        <v>2.211468E-7</v>
      </c>
      <c r="Q102" s="44">
        <v>2.5489520000000001E-8</v>
      </c>
      <c r="R102">
        <v>1</v>
      </c>
      <c r="S102">
        <f>ABS(M102)</f>
        <v>0.26262457845354498</v>
      </c>
      <c r="T102">
        <f t="shared" ref="T102:U102" si="50">ABS(N102)</f>
        <v>0.30488648357753101</v>
      </c>
      <c r="U102">
        <f t="shared" si="50"/>
        <v>0.40240208383676901</v>
      </c>
      <c r="W102" s="44">
        <v>0.42512444070403799</v>
      </c>
      <c r="X102" s="44">
        <v>9.1696048698305305E-2</v>
      </c>
      <c r="Y102">
        <v>15000</v>
      </c>
      <c r="Z102">
        <v>16</v>
      </c>
      <c r="AA102">
        <v>1</v>
      </c>
      <c r="AB102">
        <v>1</v>
      </c>
      <c r="AC102">
        <v>1</v>
      </c>
      <c r="AD102">
        <v>0.01</v>
      </c>
      <c r="AE102">
        <v>16</v>
      </c>
      <c r="AF102">
        <v>0</v>
      </c>
      <c r="AG102">
        <v>6.5</v>
      </c>
      <c r="AH102">
        <v>277.3</v>
      </c>
      <c r="AI102" t="s">
        <v>364</v>
      </c>
      <c r="AJ102">
        <v>6.5</v>
      </c>
      <c r="AK102" t="s">
        <v>365</v>
      </c>
    </row>
    <row r="103" spans="1:37" hidden="1" x14ac:dyDescent="0.3">
      <c r="A103">
        <v>6.5</v>
      </c>
      <c r="B103">
        <v>42</v>
      </c>
      <c r="C103">
        <v>1</v>
      </c>
      <c r="D103">
        <v>0.1</v>
      </c>
      <c r="E103" t="s">
        <v>26</v>
      </c>
      <c r="F103">
        <v>0</v>
      </c>
      <c r="I103" s="121"/>
      <c r="J103" s="2"/>
      <c r="K103" s="2"/>
      <c r="L103" s="122"/>
      <c r="M103">
        <v>8.7646323569366995</v>
      </c>
      <c r="N103">
        <v>9.6802020964455107</v>
      </c>
      <c r="O103">
        <v>13.058525681725699</v>
      </c>
      <c r="P103">
        <v>1.313633E-3</v>
      </c>
      <c r="Q103" s="44">
        <v>2.5244779999999999E-4</v>
      </c>
      <c r="R103">
        <v>0.99972499999999997</v>
      </c>
      <c r="W103" s="44">
        <v>0.42512444070403799</v>
      </c>
      <c r="X103" s="44">
        <v>9.1696048698305305E-2</v>
      </c>
      <c r="Y103">
        <v>9000</v>
      </c>
      <c r="Z103">
        <v>16</v>
      </c>
      <c r="AA103">
        <v>1</v>
      </c>
      <c r="AB103">
        <v>1</v>
      </c>
      <c r="AC103">
        <v>1</v>
      </c>
      <c r="AD103">
        <v>0.01</v>
      </c>
      <c r="AE103">
        <v>16</v>
      </c>
      <c r="AF103">
        <v>0</v>
      </c>
      <c r="AG103">
        <v>6.5</v>
      </c>
      <c r="AH103">
        <v>165.4</v>
      </c>
      <c r="AI103" t="s">
        <v>366</v>
      </c>
      <c r="AJ103">
        <v>6.5</v>
      </c>
      <c r="AK103" t="s">
        <v>365</v>
      </c>
    </row>
    <row r="104" spans="1:37" hidden="1" x14ac:dyDescent="0.3">
      <c r="A104">
        <v>6.5</v>
      </c>
      <c r="B104">
        <v>45</v>
      </c>
      <c r="C104">
        <v>0</v>
      </c>
      <c r="D104">
        <v>0</v>
      </c>
      <c r="E104" t="s">
        <v>18</v>
      </c>
      <c r="G104">
        <f>J104-S104</f>
        <v>0.162365723044675</v>
      </c>
      <c r="H104">
        <f>K104+T104</f>
        <v>0.39775701065485503</v>
      </c>
      <c r="I104" s="121">
        <v>6.5</v>
      </c>
      <c r="J104" s="2">
        <v>0.42512444070400002</v>
      </c>
      <c r="K104" s="2">
        <v>9.1696048697999993E-2</v>
      </c>
      <c r="L104" s="122">
        <v>0.43490108695099999</v>
      </c>
      <c r="M104">
        <v>0.26275871765932501</v>
      </c>
      <c r="N104">
        <v>0.306060961956855</v>
      </c>
      <c r="O104">
        <v>0.40338003934246403</v>
      </c>
      <c r="P104">
        <v>1.076123E-7</v>
      </c>
      <c r="Q104" s="44">
        <v>6.0097069999999998E-9</v>
      </c>
      <c r="R104">
        <v>1</v>
      </c>
      <c r="S104">
        <f>ABS(M104)</f>
        <v>0.26275871765932501</v>
      </c>
      <c r="T104">
        <f t="shared" ref="T104:U104" si="51">ABS(N104)</f>
        <v>0.306060961956855</v>
      </c>
      <c r="U104">
        <f t="shared" si="51"/>
        <v>0.40338003934246403</v>
      </c>
      <c r="W104" s="44">
        <v>0.42512444070403799</v>
      </c>
      <c r="X104" s="44">
        <v>9.1696048698305305E-2</v>
      </c>
      <c r="Y104">
        <v>15000</v>
      </c>
      <c r="Z104">
        <v>16</v>
      </c>
      <c r="AA104">
        <v>1</v>
      </c>
      <c r="AB104">
        <v>1</v>
      </c>
      <c r="AC104">
        <v>1</v>
      </c>
      <c r="AD104">
        <v>0.01</v>
      </c>
      <c r="AE104">
        <v>16</v>
      </c>
      <c r="AF104">
        <v>0</v>
      </c>
      <c r="AG104">
        <v>6.5</v>
      </c>
      <c r="AH104">
        <v>279.5</v>
      </c>
      <c r="AI104" t="s">
        <v>367</v>
      </c>
      <c r="AJ104">
        <v>6.5</v>
      </c>
      <c r="AK104" t="s">
        <v>365</v>
      </c>
    </row>
    <row r="105" spans="1:37" hidden="1" x14ac:dyDescent="0.3">
      <c r="A105">
        <v>6.5</v>
      </c>
      <c r="B105">
        <v>45</v>
      </c>
      <c r="C105">
        <v>1</v>
      </c>
      <c r="D105">
        <v>0.1</v>
      </c>
      <c r="E105" t="s">
        <v>26</v>
      </c>
      <c r="F105">
        <v>0</v>
      </c>
      <c r="I105" s="121"/>
      <c r="J105" s="2"/>
      <c r="K105" s="2"/>
      <c r="L105" s="122"/>
      <c r="M105">
        <v>15.6089354981982</v>
      </c>
      <c r="N105">
        <v>12.867016004979501</v>
      </c>
      <c r="O105">
        <v>20.228666991655999</v>
      </c>
      <c r="P105">
        <v>2.1008570000000001E-2</v>
      </c>
      <c r="Q105" s="44">
        <v>0.16536110000000001</v>
      </c>
      <c r="R105">
        <v>0.90514499999999998</v>
      </c>
      <c r="W105" s="44">
        <v>0.42512444070403799</v>
      </c>
      <c r="X105" s="44">
        <v>9.1696048698305305E-2</v>
      </c>
      <c r="Y105">
        <v>9000</v>
      </c>
      <c r="Z105">
        <v>16</v>
      </c>
      <c r="AA105">
        <v>1</v>
      </c>
      <c r="AB105">
        <v>1</v>
      </c>
      <c r="AC105">
        <v>1</v>
      </c>
      <c r="AD105">
        <v>0.01</v>
      </c>
      <c r="AE105">
        <v>16</v>
      </c>
      <c r="AF105">
        <v>0</v>
      </c>
      <c r="AG105">
        <v>6.5</v>
      </c>
      <c r="AH105">
        <v>167.1</v>
      </c>
      <c r="AI105" t="s">
        <v>368</v>
      </c>
      <c r="AJ105">
        <v>6.5</v>
      </c>
      <c r="AK105" t="s">
        <v>365</v>
      </c>
    </row>
    <row r="106" spans="1:37" x14ac:dyDescent="0.3">
      <c r="A106">
        <v>6.75</v>
      </c>
      <c r="B106">
        <v>42</v>
      </c>
      <c r="C106">
        <v>0</v>
      </c>
      <c r="D106">
        <v>0</v>
      </c>
      <c r="E106" t="s">
        <v>18</v>
      </c>
      <c r="G106">
        <f>J106-S106</f>
        <v>-3.1528053682833013E-2</v>
      </c>
      <c r="H106">
        <f>K106+T106</f>
        <v>0.78421803936883294</v>
      </c>
      <c r="I106" s="121">
        <v>6.75</v>
      </c>
      <c r="J106" s="2">
        <v>0.126398426131</v>
      </c>
      <c r="K106" s="2">
        <v>0.41612785691699999</v>
      </c>
      <c r="L106" s="122">
        <v>0.43490108695099999</v>
      </c>
      <c r="M106">
        <v>0.15792647981383301</v>
      </c>
      <c r="N106">
        <v>-0.368090182451833</v>
      </c>
      <c r="O106">
        <v>0.40053858171693302</v>
      </c>
      <c r="P106">
        <v>1.203417E-7</v>
      </c>
      <c r="Q106" s="44">
        <v>8.1189999999999998E-9</v>
      </c>
      <c r="R106">
        <v>1</v>
      </c>
      <c r="S106">
        <f>ABS(M106)</f>
        <v>0.15792647981383301</v>
      </c>
      <c r="T106">
        <f t="shared" ref="T106:U106" si="52">ABS(N106)</f>
        <v>0.368090182451833</v>
      </c>
      <c r="U106">
        <f t="shared" si="52"/>
        <v>0.40053858171693302</v>
      </c>
      <c r="W106" s="44">
        <v>0.12639842613082</v>
      </c>
      <c r="X106" s="44">
        <v>0.41612785691714399</v>
      </c>
      <c r="Y106">
        <v>15000</v>
      </c>
      <c r="Z106">
        <v>16</v>
      </c>
      <c r="AA106">
        <v>1</v>
      </c>
      <c r="AB106">
        <v>1</v>
      </c>
      <c r="AC106">
        <v>1</v>
      </c>
      <c r="AD106">
        <v>0.01</v>
      </c>
      <c r="AE106">
        <v>16</v>
      </c>
      <c r="AF106">
        <v>0</v>
      </c>
      <c r="AG106">
        <v>6.75</v>
      </c>
      <c r="AH106">
        <v>279</v>
      </c>
      <c r="AI106" t="s">
        <v>369</v>
      </c>
      <c r="AJ106">
        <v>6.75</v>
      </c>
      <c r="AK106" t="s">
        <v>370</v>
      </c>
    </row>
    <row r="107" spans="1:37" hidden="1" x14ac:dyDescent="0.3">
      <c r="A107">
        <v>6.75</v>
      </c>
      <c r="B107">
        <v>42</v>
      </c>
      <c r="C107">
        <v>1</v>
      </c>
      <c r="D107">
        <v>0.1</v>
      </c>
      <c r="E107" t="s">
        <v>26</v>
      </c>
      <c r="F107">
        <v>0</v>
      </c>
      <c r="I107" s="121"/>
      <c r="J107" s="2"/>
      <c r="K107" s="2"/>
      <c r="L107" s="122"/>
      <c r="M107">
        <v>-5.59114799933496</v>
      </c>
      <c r="N107">
        <v>15.7661602237345</v>
      </c>
      <c r="O107">
        <v>16.728202059723401</v>
      </c>
      <c r="P107">
        <v>4.5968479999999997E-3</v>
      </c>
      <c r="Q107" s="44">
        <v>2.5179489999999998E-3</v>
      </c>
      <c r="R107">
        <v>0.99848700000000001</v>
      </c>
      <c r="W107" s="44">
        <v>0.12639842613082</v>
      </c>
      <c r="X107" s="44">
        <v>0.41612785691714399</v>
      </c>
      <c r="Y107">
        <v>9000</v>
      </c>
      <c r="Z107">
        <v>16</v>
      </c>
      <c r="AA107">
        <v>1</v>
      </c>
      <c r="AB107">
        <v>1</v>
      </c>
      <c r="AC107">
        <v>1</v>
      </c>
      <c r="AD107">
        <v>0.01</v>
      </c>
      <c r="AE107">
        <v>16</v>
      </c>
      <c r="AF107">
        <v>0</v>
      </c>
      <c r="AG107">
        <v>6.75</v>
      </c>
      <c r="AH107">
        <v>166.9</v>
      </c>
      <c r="AI107" t="s">
        <v>371</v>
      </c>
      <c r="AJ107">
        <v>6.75</v>
      </c>
      <c r="AK107" t="s">
        <v>370</v>
      </c>
    </row>
    <row r="108" spans="1:37" hidden="1" x14ac:dyDescent="0.3">
      <c r="A108">
        <v>6.75</v>
      </c>
      <c r="B108">
        <v>45</v>
      </c>
      <c r="C108">
        <v>0</v>
      </c>
      <c r="D108">
        <v>0</v>
      </c>
      <c r="E108" t="s">
        <v>18</v>
      </c>
      <c r="G108">
        <f>J108-S108</f>
        <v>-3.1053663038166007E-2</v>
      </c>
      <c r="H108">
        <f>K108+T108</f>
        <v>0.78478026081688501</v>
      </c>
      <c r="I108" s="121">
        <v>6.75</v>
      </c>
      <c r="J108" s="2">
        <v>0.126398426131</v>
      </c>
      <c r="K108" s="2">
        <v>0.41612785691699999</v>
      </c>
      <c r="L108" s="122">
        <v>0.43490108695099999</v>
      </c>
      <c r="M108">
        <v>0.157452089169166</v>
      </c>
      <c r="N108">
        <v>-0.36865240389988502</v>
      </c>
      <c r="O108">
        <v>0.40086875069640798</v>
      </c>
      <c r="P108">
        <v>9.7056379999999994E-8</v>
      </c>
      <c r="Q108" s="44">
        <v>6.027052E-9</v>
      </c>
      <c r="R108">
        <v>1</v>
      </c>
      <c r="S108">
        <f>ABS(M108)</f>
        <v>0.157452089169166</v>
      </c>
      <c r="T108">
        <f t="shared" ref="T108:U108" si="53">ABS(N108)</f>
        <v>0.36865240389988502</v>
      </c>
      <c r="U108">
        <f t="shared" si="53"/>
        <v>0.40086875069640798</v>
      </c>
      <c r="W108" s="44">
        <v>0.12639842613082</v>
      </c>
      <c r="X108" s="44">
        <v>0.41612785691714399</v>
      </c>
      <c r="Y108">
        <v>15000</v>
      </c>
      <c r="Z108">
        <v>16</v>
      </c>
      <c r="AA108">
        <v>1</v>
      </c>
      <c r="AB108">
        <v>1</v>
      </c>
      <c r="AC108">
        <v>1</v>
      </c>
      <c r="AD108">
        <v>0.01</v>
      </c>
      <c r="AE108">
        <v>16</v>
      </c>
      <c r="AF108">
        <v>0</v>
      </c>
      <c r="AG108">
        <v>6.75</v>
      </c>
      <c r="AH108">
        <v>275.2</v>
      </c>
      <c r="AI108" t="s">
        <v>372</v>
      </c>
      <c r="AJ108">
        <v>6.75</v>
      </c>
      <c r="AK108" t="s">
        <v>370</v>
      </c>
    </row>
    <row r="109" spans="1:37" hidden="1" x14ac:dyDescent="0.3">
      <c r="A109">
        <v>6.75</v>
      </c>
      <c r="B109">
        <v>45</v>
      </c>
      <c r="C109">
        <v>1</v>
      </c>
      <c r="D109">
        <v>0.1</v>
      </c>
      <c r="E109" t="s">
        <v>26</v>
      </c>
      <c r="F109">
        <v>0</v>
      </c>
      <c r="I109" s="121"/>
      <c r="J109" s="2"/>
      <c r="K109" s="2"/>
      <c r="L109" s="122"/>
      <c r="M109">
        <v>-2.7780439410269002</v>
      </c>
      <c r="N109">
        <v>0.23382944972088199</v>
      </c>
      <c r="O109">
        <v>2.7878673479620599</v>
      </c>
      <c r="P109">
        <v>5.769808E-4</v>
      </c>
      <c r="Q109" s="44">
        <v>2.7608049999999999E-3</v>
      </c>
      <c r="R109">
        <v>0.99641299999999999</v>
      </c>
      <c r="W109" s="44">
        <v>0.12639842613082</v>
      </c>
      <c r="X109" s="44">
        <v>0.41612785691714399</v>
      </c>
      <c r="Y109">
        <v>9000</v>
      </c>
      <c r="Z109">
        <v>16</v>
      </c>
      <c r="AA109">
        <v>1</v>
      </c>
      <c r="AB109">
        <v>1</v>
      </c>
      <c r="AC109">
        <v>1</v>
      </c>
      <c r="AD109">
        <v>0.01</v>
      </c>
      <c r="AE109">
        <v>16</v>
      </c>
      <c r="AF109">
        <v>0</v>
      </c>
      <c r="AG109">
        <v>6.75</v>
      </c>
      <c r="AH109">
        <v>164.4</v>
      </c>
      <c r="AI109" t="s">
        <v>373</v>
      </c>
      <c r="AJ109">
        <v>6.75</v>
      </c>
      <c r="AK109" t="s">
        <v>370</v>
      </c>
    </row>
    <row r="110" spans="1:37" x14ac:dyDescent="0.3">
      <c r="A110">
        <v>7</v>
      </c>
      <c r="B110">
        <v>42</v>
      </c>
      <c r="C110">
        <v>0</v>
      </c>
      <c r="D110">
        <v>0</v>
      </c>
      <c r="E110" t="s">
        <v>18</v>
      </c>
      <c r="G110">
        <f>J110-S110</f>
        <v>-0.71341748782618097</v>
      </c>
      <c r="H110">
        <f>K110+T110</f>
        <v>0.30405404521145341</v>
      </c>
      <c r="I110" s="121">
        <v>7</v>
      </c>
      <c r="J110" s="2">
        <v>-0.31460438747199998</v>
      </c>
      <c r="K110" s="2">
        <v>0.30027160174400003</v>
      </c>
      <c r="L110" s="122">
        <v>0.43490108695099999</v>
      </c>
      <c r="M110">
        <v>-0.39881310035418099</v>
      </c>
      <c r="N110">
        <v>3.7824434674533598E-3</v>
      </c>
      <c r="O110">
        <v>0.39883103677208798</v>
      </c>
      <c r="P110">
        <v>5.6023579999999998E-8</v>
      </c>
      <c r="Q110" s="44">
        <v>2.3442249999999999E-9</v>
      </c>
      <c r="R110">
        <v>1</v>
      </c>
      <c r="S110">
        <f>ABS(M110)</f>
        <v>0.39881310035418099</v>
      </c>
      <c r="T110">
        <f t="shared" ref="T110:U110" si="54">ABS(N110)</f>
        <v>3.7824434674533598E-3</v>
      </c>
      <c r="U110">
        <f t="shared" si="54"/>
        <v>0.39883103677208798</v>
      </c>
      <c r="W110" s="44">
        <v>-0.31460438747207398</v>
      </c>
      <c r="X110" s="44">
        <v>0.30027160174436202</v>
      </c>
      <c r="Y110">
        <v>15000</v>
      </c>
      <c r="Z110">
        <v>16</v>
      </c>
      <c r="AA110">
        <v>1</v>
      </c>
      <c r="AB110">
        <v>1</v>
      </c>
      <c r="AC110">
        <v>1</v>
      </c>
      <c r="AD110">
        <v>0.01</v>
      </c>
      <c r="AE110">
        <v>16</v>
      </c>
      <c r="AF110">
        <v>0</v>
      </c>
      <c r="AG110">
        <v>7</v>
      </c>
      <c r="AH110">
        <v>277.3</v>
      </c>
      <c r="AI110" t="s">
        <v>374</v>
      </c>
      <c r="AJ110">
        <v>7</v>
      </c>
      <c r="AK110" t="s">
        <v>375</v>
      </c>
    </row>
    <row r="111" spans="1:37" hidden="1" x14ac:dyDescent="0.3">
      <c r="A111">
        <v>7</v>
      </c>
      <c r="B111">
        <v>42</v>
      </c>
      <c r="C111">
        <v>1</v>
      </c>
      <c r="D111">
        <v>0.1</v>
      </c>
      <c r="E111" t="s">
        <v>26</v>
      </c>
      <c r="F111">
        <v>0</v>
      </c>
      <c r="I111" s="121"/>
      <c r="J111" s="2"/>
      <c r="K111" s="2"/>
      <c r="L111" s="122"/>
      <c r="M111">
        <v>-0.19958198418018799</v>
      </c>
      <c r="N111">
        <v>-0.50489649158847905</v>
      </c>
      <c r="O111">
        <v>0.54291199620901298</v>
      </c>
      <c r="P111">
        <v>6.4516080000000004E-4</v>
      </c>
      <c r="Q111" s="44">
        <v>0.1199158</v>
      </c>
      <c r="R111">
        <v>0.874413</v>
      </c>
      <c r="W111" s="44">
        <v>-0.31460438747207398</v>
      </c>
      <c r="X111" s="44">
        <v>0.30027160174436202</v>
      </c>
      <c r="Y111">
        <v>9000</v>
      </c>
      <c r="Z111">
        <v>16</v>
      </c>
      <c r="AA111">
        <v>1</v>
      </c>
      <c r="AB111">
        <v>1</v>
      </c>
      <c r="AC111">
        <v>1</v>
      </c>
      <c r="AD111">
        <v>0.01</v>
      </c>
      <c r="AE111">
        <v>16</v>
      </c>
      <c r="AF111">
        <v>0</v>
      </c>
      <c r="AG111">
        <v>7</v>
      </c>
      <c r="AH111">
        <v>166.3</v>
      </c>
      <c r="AI111" t="s">
        <v>376</v>
      </c>
      <c r="AJ111">
        <v>7</v>
      </c>
      <c r="AK111" t="s">
        <v>375</v>
      </c>
    </row>
    <row r="112" spans="1:37" hidden="1" x14ac:dyDescent="0.3">
      <c r="A112">
        <v>7</v>
      </c>
      <c r="B112">
        <v>45</v>
      </c>
      <c r="C112">
        <v>0</v>
      </c>
      <c r="D112">
        <v>0</v>
      </c>
      <c r="E112" t="s">
        <v>18</v>
      </c>
      <c r="G112">
        <f>J112-S112</f>
        <v>-0.71318977975620501</v>
      </c>
      <c r="H112">
        <f>K112+T112</f>
        <v>0.30440009074733759</v>
      </c>
      <c r="I112" s="121">
        <v>7</v>
      </c>
      <c r="J112" s="2">
        <v>-0.31460438747199998</v>
      </c>
      <c r="K112" s="2">
        <v>0.30027160174400003</v>
      </c>
      <c r="L112" s="122">
        <v>0.43490108695099999</v>
      </c>
      <c r="M112">
        <v>0.39858539228420498</v>
      </c>
      <c r="N112">
        <v>-4.1284890033375602E-3</v>
      </c>
      <c r="O112">
        <v>0.39860677285239898</v>
      </c>
      <c r="P112">
        <v>9.9903470000000002E-8</v>
      </c>
      <c r="Q112" s="44">
        <v>5.7900999999999997E-9</v>
      </c>
      <c r="R112">
        <v>1</v>
      </c>
      <c r="S112">
        <f>ABS(M112)</f>
        <v>0.39858539228420498</v>
      </c>
      <c r="T112">
        <f t="shared" ref="T112:U112" si="55">ABS(N112)</f>
        <v>4.1284890033375602E-3</v>
      </c>
      <c r="U112">
        <f t="shared" si="55"/>
        <v>0.39860677285239898</v>
      </c>
      <c r="W112" s="44">
        <v>-0.31460438747207398</v>
      </c>
      <c r="X112" s="44">
        <v>0.30027160174436202</v>
      </c>
      <c r="Y112">
        <v>15000</v>
      </c>
      <c r="Z112">
        <v>16</v>
      </c>
      <c r="AA112">
        <v>1</v>
      </c>
      <c r="AB112">
        <v>1</v>
      </c>
      <c r="AC112">
        <v>1</v>
      </c>
      <c r="AD112">
        <v>0.01</v>
      </c>
      <c r="AE112">
        <v>16</v>
      </c>
      <c r="AF112">
        <v>0</v>
      </c>
      <c r="AG112">
        <v>7</v>
      </c>
      <c r="AH112">
        <v>275.39999999999998</v>
      </c>
      <c r="AI112" t="s">
        <v>377</v>
      </c>
      <c r="AJ112">
        <v>7</v>
      </c>
      <c r="AK112" t="s">
        <v>375</v>
      </c>
    </row>
    <row r="113" spans="1:37" hidden="1" x14ac:dyDescent="0.3">
      <c r="A113">
        <v>7</v>
      </c>
      <c r="B113">
        <v>45</v>
      </c>
      <c r="C113">
        <v>1</v>
      </c>
      <c r="D113">
        <v>0.1</v>
      </c>
      <c r="E113" t="s">
        <v>26</v>
      </c>
      <c r="F113">
        <v>0</v>
      </c>
      <c r="I113" s="121"/>
      <c r="J113" s="2"/>
      <c r="K113" s="2"/>
      <c r="L113" s="122"/>
      <c r="M113">
        <v>-0.159445699093583</v>
      </c>
      <c r="N113">
        <v>-13.886503167277899</v>
      </c>
      <c r="O113">
        <v>13.887418519861001</v>
      </c>
      <c r="P113">
        <v>1.091891E-3</v>
      </c>
      <c r="Q113" s="44">
        <v>1.436473E-3</v>
      </c>
      <c r="R113">
        <v>0.99956100000000003</v>
      </c>
      <c r="W113" s="44">
        <v>-0.31460438747207398</v>
      </c>
      <c r="X113" s="44">
        <v>0.30027160174436202</v>
      </c>
      <c r="Y113">
        <v>9000</v>
      </c>
      <c r="Z113">
        <v>16</v>
      </c>
      <c r="AA113">
        <v>1</v>
      </c>
      <c r="AB113">
        <v>1</v>
      </c>
      <c r="AC113">
        <v>1</v>
      </c>
      <c r="AD113">
        <v>0.01</v>
      </c>
      <c r="AE113">
        <v>16</v>
      </c>
      <c r="AF113">
        <v>0</v>
      </c>
      <c r="AG113">
        <v>7</v>
      </c>
      <c r="AH113">
        <v>166.6</v>
      </c>
      <c r="AI113" t="s">
        <v>378</v>
      </c>
      <c r="AJ113">
        <v>7</v>
      </c>
      <c r="AK113" t="s">
        <v>375</v>
      </c>
    </row>
    <row r="114" spans="1:37" x14ac:dyDescent="0.3">
      <c r="A114">
        <v>7.25</v>
      </c>
      <c r="B114">
        <v>42</v>
      </c>
      <c r="C114">
        <v>0</v>
      </c>
      <c r="D114">
        <v>0</v>
      </c>
      <c r="E114" t="s">
        <v>18</v>
      </c>
      <c r="G114">
        <f>J114-S114</f>
        <v>-0.55147074150284503</v>
      </c>
      <c r="H114">
        <f>K114+T114</f>
        <v>0.205680312058</v>
      </c>
      <c r="I114" s="121">
        <v>7.25</v>
      </c>
      <c r="J114" s="2">
        <v>-0.403612950543</v>
      </c>
      <c r="K114" s="2">
        <v>-0.16197389167599999</v>
      </c>
      <c r="L114" s="122">
        <v>0.43490108695099999</v>
      </c>
      <c r="M114">
        <v>-0.147857790959845</v>
      </c>
      <c r="N114">
        <v>-0.36765420373399998</v>
      </c>
      <c r="O114">
        <v>0.39627205285107697</v>
      </c>
      <c r="P114">
        <v>1.4005410000000001E-7</v>
      </c>
      <c r="Q114" s="44">
        <v>1.060869E-8</v>
      </c>
      <c r="R114">
        <v>1</v>
      </c>
      <c r="S114">
        <f>ABS(M114)</f>
        <v>0.147857790959845</v>
      </c>
      <c r="T114">
        <f t="shared" ref="T114:U114" si="56">ABS(N114)</f>
        <v>0.36765420373399998</v>
      </c>
      <c r="U114">
        <f t="shared" si="56"/>
        <v>0.39627205285107697</v>
      </c>
      <c r="W114" s="44">
        <v>-0.40361295054312302</v>
      </c>
      <c r="X114" s="44">
        <v>-0.16197389167602899</v>
      </c>
      <c r="Y114">
        <v>15000</v>
      </c>
      <c r="Z114">
        <v>16</v>
      </c>
      <c r="AA114">
        <v>1</v>
      </c>
      <c r="AB114">
        <v>1</v>
      </c>
      <c r="AC114">
        <v>1</v>
      </c>
      <c r="AD114">
        <v>0.01</v>
      </c>
      <c r="AE114">
        <v>16</v>
      </c>
      <c r="AF114">
        <v>0</v>
      </c>
      <c r="AG114">
        <v>7.25</v>
      </c>
      <c r="AH114">
        <v>277.89999999999998</v>
      </c>
      <c r="AI114" t="s">
        <v>379</v>
      </c>
      <c r="AJ114">
        <v>7.25</v>
      </c>
      <c r="AK114" t="s">
        <v>380</v>
      </c>
    </row>
    <row r="115" spans="1:37" hidden="1" x14ac:dyDescent="0.3">
      <c r="A115">
        <v>7.25</v>
      </c>
      <c r="B115">
        <v>42</v>
      </c>
      <c r="C115">
        <v>1</v>
      </c>
      <c r="D115">
        <v>0.1</v>
      </c>
      <c r="E115" t="s">
        <v>26</v>
      </c>
      <c r="F115">
        <v>0</v>
      </c>
      <c r="I115" s="121"/>
      <c r="J115" s="2"/>
      <c r="K115" s="2"/>
      <c r="L115" s="122"/>
      <c r="M115">
        <v>-91.238737133440907</v>
      </c>
      <c r="N115">
        <v>18.387359470041002</v>
      </c>
      <c r="O115">
        <v>93.073101065697998</v>
      </c>
      <c r="P115">
        <v>5.8830979999999998E-3</v>
      </c>
      <c r="Q115" s="44">
        <v>1.4886850000000001E-4</v>
      </c>
      <c r="R115">
        <v>0.99943099999999996</v>
      </c>
      <c r="W115" s="44">
        <v>-0.40361295054312302</v>
      </c>
      <c r="X115" s="44">
        <v>-0.16197389167602899</v>
      </c>
      <c r="Y115">
        <v>9000</v>
      </c>
      <c r="Z115">
        <v>16</v>
      </c>
      <c r="AA115">
        <v>1</v>
      </c>
      <c r="AB115">
        <v>1</v>
      </c>
      <c r="AC115">
        <v>1</v>
      </c>
      <c r="AD115">
        <v>0.01</v>
      </c>
      <c r="AE115">
        <v>16</v>
      </c>
      <c r="AF115">
        <v>0</v>
      </c>
      <c r="AG115">
        <v>7.25</v>
      </c>
      <c r="AH115">
        <v>167.3</v>
      </c>
      <c r="AI115" t="s">
        <v>381</v>
      </c>
      <c r="AJ115">
        <v>7.25</v>
      </c>
      <c r="AK115" t="s">
        <v>380</v>
      </c>
    </row>
    <row r="116" spans="1:37" hidden="1" x14ac:dyDescent="0.3">
      <c r="A116">
        <v>7.25</v>
      </c>
      <c r="B116">
        <v>45</v>
      </c>
      <c r="C116">
        <v>0</v>
      </c>
      <c r="D116">
        <v>0</v>
      </c>
      <c r="E116" t="s">
        <v>18</v>
      </c>
      <c r="G116">
        <f>J116-S116</f>
        <v>-0.55085719932479404</v>
      </c>
      <c r="H116">
        <f>K116+T116</f>
        <v>0.20573177948736801</v>
      </c>
      <c r="I116" s="121">
        <v>7.25</v>
      </c>
      <c r="J116" s="2">
        <v>-0.403612950543</v>
      </c>
      <c r="K116" s="2">
        <v>-0.16197389167599999</v>
      </c>
      <c r="L116" s="122">
        <v>0.43490108695099999</v>
      </c>
      <c r="M116">
        <v>-0.14724424878179401</v>
      </c>
      <c r="N116">
        <v>-0.367705671163368</v>
      </c>
      <c r="O116">
        <v>0.396091314478136</v>
      </c>
      <c r="P116">
        <v>1.3466410000000001E-7</v>
      </c>
      <c r="Q116" s="44">
        <v>9.867872E-9</v>
      </c>
      <c r="R116">
        <v>1</v>
      </c>
      <c r="S116">
        <f>ABS(M116)</f>
        <v>0.14724424878179401</v>
      </c>
      <c r="T116">
        <f t="shared" ref="T116:U116" si="57">ABS(N116)</f>
        <v>0.367705671163368</v>
      </c>
      <c r="U116">
        <f t="shared" si="57"/>
        <v>0.396091314478136</v>
      </c>
      <c r="W116" s="44">
        <v>-0.40361295054312302</v>
      </c>
      <c r="X116" s="44">
        <v>-0.16197389167602899</v>
      </c>
      <c r="Y116">
        <v>15000</v>
      </c>
      <c r="Z116">
        <v>16</v>
      </c>
      <c r="AA116">
        <v>1</v>
      </c>
      <c r="AB116">
        <v>1</v>
      </c>
      <c r="AC116">
        <v>1</v>
      </c>
      <c r="AD116">
        <v>0.01</v>
      </c>
      <c r="AE116">
        <v>16</v>
      </c>
      <c r="AF116">
        <v>0</v>
      </c>
      <c r="AG116">
        <v>7.25</v>
      </c>
      <c r="AH116">
        <v>277.60000000000002</v>
      </c>
      <c r="AI116" t="s">
        <v>382</v>
      </c>
      <c r="AJ116">
        <v>7.25</v>
      </c>
      <c r="AK116" t="s">
        <v>380</v>
      </c>
    </row>
    <row r="117" spans="1:37" hidden="1" x14ac:dyDescent="0.3">
      <c r="A117">
        <v>7.25</v>
      </c>
      <c r="B117">
        <v>45</v>
      </c>
      <c r="C117">
        <v>1</v>
      </c>
      <c r="D117">
        <v>0.1</v>
      </c>
      <c r="E117" t="s">
        <v>26</v>
      </c>
      <c r="F117">
        <v>0</v>
      </c>
      <c r="I117" s="121"/>
      <c r="J117" s="2"/>
      <c r="K117" s="2"/>
      <c r="L117" s="122"/>
      <c r="M117">
        <v>-12541.8351143443</v>
      </c>
      <c r="N117">
        <v>-17172.648798914499</v>
      </c>
      <c r="O117">
        <v>21264.935805364199</v>
      </c>
      <c r="P117">
        <v>1.6322460000000001</v>
      </c>
      <c r="Q117" s="44">
        <v>6.7365820000000001E-4</v>
      </c>
      <c r="R117">
        <v>0.99959299999999995</v>
      </c>
      <c r="W117" s="44">
        <v>-0.40361295054312302</v>
      </c>
      <c r="X117" s="44">
        <v>-0.16197389167602899</v>
      </c>
      <c r="Y117">
        <v>9000</v>
      </c>
      <c r="Z117">
        <v>16</v>
      </c>
      <c r="AA117">
        <v>1</v>
      </c>
      <c r="AB117">
        <v>1</v>
      </c>
      <c r="AC117">
        <v>1</v>
      </c>
      <c r="AD117">
        <v>0.01</v>
      </c>
      <c r="AE117">
        <v>16</v>
      </c>
      <c r="AF117">
        <v>0</v>
      </c>
      <c r="AG117">
        <v>7.25</v>
      </c>
      <c r="AH117">
        <v>165.8</v>
      </c>
      <c r="AI117" t="s">
        <v>383</v>
      </c>
      <c r="AJ117">
        <v>7.25</v>
      </c>
      <c r="AK117" t="s">
        <v>380</v>
      </c>
    </row>
    <row r="118" spans="1:37" x14ac:dyDescent="0.3">
      <c r="A118">
        <v>7.5</v>
      </c>
      <c r="B118">
        <v>42</v>
      </c>
      <c r="C118">
        <v>0</v>
      </c>
      <c r="D118">
        <v>0</v>
      </c>
      <c r="E118" t="s">
        <v>18</v>
      </c>
      <c r="G118">
        <f>J118-S118</f>
        <v>-0.29972613537151099</v>
      </c>
      <c r="H118">
        <f>K118+T118</f>
        <v>-0.17730048116439101</v>
      </c>
      <c r="I118" s="121">
        <v>7.5</v>
      </c>
      <c r="J118" s="2">
        <v>-2.3062413809999999E-3</v>
      </c>
      <c r="K118" s="2">
        <v>-0.434894972012</v>
      </c>
      <c r="L118" s="122">
        <v>0.43490108695099999</v>
      </c>
      <c r="M118">
        <v>-0.297419893990511</v>
      </c>
      <c r="N118">
        <v>0.25759449084760899</v>
      </c>
      <c r="O118">
        <v>0.39346348630637301</v>
      </c>
      <c r="P118">
        <v>1.4272420000000001E-7</v>
      </c>
      <c r="Q118" s="44">
        <v>1.135989E-8</v>
      </c>
      <c r="R118">
        <v>1</v>
      </c>
      <c r="S118">
        <f>ABS(M118)</f>
        <v>0.297419893990511</v>
      </c>
      <c r="T118">
        <f t="shared" ref="T118:U118" si="58">ABS(N118)</f>
        <v>0.25759449084760899</v>
      </c>
      <c r="U118">
        <f t="shared" si="58"/>
        <v>0.39346348630637301</v>
      </c>
      <c r="W118" s="44">
        <v>-2.3062413813719701E-3</v>
      </c>
      <c r="X118" s="44">
        <v>-0.43489497201220201</v>
      </c>
      <c r="Y118">
        <v>15000</v>
      </c>
      <c r="Z118">
        <v>16</v>
      </c>
      <c r="AA118">
        <v>1</v>
      </c>
      <c r="AB118">
        <v>1</v>
      </c>
      <c r="AC118">
        <v>1</v>
      </c>
      <c r="AD118">
        <v>0.01</v>
      </c>
      <c r="AE118">
        <v>16</v>
      </c>
      <c r="AF118">
        <v>0</v>
      </c>
      <c r="AG118">
        <v>7.5</v>
      </c>
      <c r="AH118">
        <v>277.39999999999998</v>
      </c>
      <c r="AI118" t="s">
        <v>384</v>
      </c>
      <c r="AJ118">
        <v>7.5</v>
      </c>
      <c r="AK118" t="s">
        <v>385</v>
      </c>
    </row>
    <row r="119" spans="1:37" hidden="1" x14ac:dyDescent="0.3">
      <c r="A119">
        <v>7.5</v>
      </c>
      <c r="B119">
        <v>42</v>
      </c>
      <c r="C119">
        <v>1</v>
      </c>
      <c r="D119">
        <v>0.1</v>
      </c>
      <c r="E119" t="s">
        <v>26</v>
      </c>
      <c r="F119">
        <v>0</v>
      </c>
      <c r="I119" s="121"/>
      <c r="J119" s="2"/>
      <c r="K119" s="2"/>
      <c r="L119" s="122"/>
      <c r="M119">
        <v>7.0887640790236901</v>
      </c>
      <c r="N119">
        <v>-53.132823190074099</v>
      </c>
      <c r="O119">
        <v>53.6036143960063</v>
      </c>
      <c r="P119">
        <v>3.6917009999999999E-3</v>
      </c>
      <c r="Q119" s="44">
        <v>1.0932649999999999E-3</v>
      </c>
      <c r="R119">
        <v>0.99961999999999995</v>
      </c>
      <c r="W119" s="44">
        <v>-2.3062413813719701E-3</v>
      </c>
      <c r="X119" s="44">
        <v>-0.43489497201220201</v>
      </c>
      <c r="Y119">
        <v>9000</v>
      </c>
      <c r="Z119">
        <v>16</v>
      </c>
      <c r="AA119">
        <v>1</v>
      </c>
      <c r="AB119">
        <v>1</v>
      </c>
      <c r="AC119">
        <v>1</v>
      </c>
      <c r="AD119">
        <v>0.01</v>
      </c>
      <c r="AE119">
        <v>16</v>
      </c>
      <c r="AF119">
        <v>0</v>
      </c>
      <c r="AG119">
        <v>7.5</v>
      </c>
      <c r="AH119">
        <v>166.3</v>
      </c>
      <c r="AI119" t="s">
        <v>386</v>
      </c>
      <c r="AJ119">
        <v>7.5</v>
      </c>
      <c r="AK119" t="s">
        <v>385</v>
      </c>
    </row>
    <row r="120" spans="1:37" hidden="1" x14ac:dyDescent="0.3">
      <c r="A120">
        <v>7.5</v>
      </c>
      <c r="B120">
        <v>45</v>
      </c>
      <c r="C120">
        <v>0</v>
      </c>
      <c r="D120">
        <v>0</v>
      </c>
      <c r="E120" t="s">
        <v>18</v>
      </c>
      <c r="G120">
        <f>J120-S120</f>
        <v>-0.30000656647757201</v>
      </c>
      <c r="H120">
        <f>K120+T120</f>
        <v>-0.17708276619760399</v>
      </c>
      <c r="I120" s="121">
        <v>7.5</v>
      </c>
      <c r="J120" s="2">
        <v>-2.3062413809999999E-3</v>
      </c>
      <c r="K120" s="2">
        <v>-0.434894972012</v>
      </c>
      <c r="L120" s="122">
        <v>0.43490108695099999</v>
      </c>
      <c r="M120">
        <v>0.29770032509657202</v>
      </c>
      <c r="N120">
        <v>-0.25781220581439601</v>
      </c>
      <c r="O120">
        <v>0.39381799988000699</v>
      </c>
      <c r="P120">
        <v>1.3906049999999999E-7</v>
      </c>
      <c r="Q120" s="44">
        <v>1.051252E-8</v>
      </c>
      <c r="R120">
        <v>1</v>
      </c>
      <c r="S120">
        <f>ABS(M120)</f>
        <v>0.29770032509657202</v>
      </c>
      <c r="T120">
        <f t="shared" ref="T120:U120" si="59">ABS(N120)</f>
        <v>0.25781220581439601</v>
      </c>
      <c r="U120">
        <f t="shared" si="59"/>
        <v>0.39381799988000699</v>
      </c>
      <c r="W120" s="44">
        <v>-2.3062413813719701E-3</v>
      </c>
      <c r="X120" s="44">
        <v>-0.43489497201220201</v>
      </c>
      <c r="Y120">
        <v>15000</v>
      </c>
      <c r="Z120">
        <v>16</v>
      </c>
      <c r="AA120">
        <v>1</v>
      </c>
      <c r="AB120">
        <v>1</v>
      </c>
      <c r="AC120">
        <v>1</v>
      </c>
      <c r="AD120">
        <v>0.01</v>
      </c>
      <c r="AE120">
        <v>16</v>
      </c>
      <c r="AF120">
        <v>0</v>
      </c>
      <c r="AG120">
        <v>7.5</v>
      </c>
      <c r="AH120">
        <v>277.7</v>
      </c>
      <c r="AI120" t="s">
        <v>387</v>
      </c>
      <c r="AJ120">
        <v>7.5</v>
      </c>
      <c r="AK120" t="s">
        <v>385</v>
      </c>
    </row>
    <row r="121" spans="1:37" hidden="1" x14ac:dyDescent="0.3">
      <c r="A121">
        <v>7.5</v>
      </c>
      <c r="B121">
        <v>45</v>
      </c>
      <c r="C121">
        <v>1</v>
      </c>
      <c r="D121">
        <v>0.1</v>
      </c>
      <c r="E121" t="s">
        <v>26</v>
      </c>
      <c r="F121">
        <v>0</v>
      </c>
      <c r="I121" s="121"/>
      <c r="J121" s="2"/>
      <c r="K121" s="2"/>
      <c r="L121" s="122"/>
      <c r="M121">
        <v>1278.1190724584801</v>
      </c>
      <c r="N121">
        <v>-752.42904052719405</v>
      </c>
      <c r="O121">
        <v>1483.1513154128199</v>
      </c>
      <c r="P121">
        <v>0.10155939999999999</v>
      </c>
      <c r="Q121" s="44">
        <v>5.6943719999999996E-4</v>
      </c>
      <c r="R121">
        <v>0.99947399999999997</v>
      </c>
      <c r="W121" s="44">
        <v>-2.3062413813719701E-3</v>
      </c>
      <c r="X121" s="44">
        <v>-0.43489497201220201</v>
      </c>
      <c r="Y121">
        <v>9000</v>
      </c>
      <c r="Z121">
        <v>16</v>
      </c>
      <c r="AA121">
        <v>1</v>
      </c>
      <c r="AB121">
        <v>1</v>
      </c>
      <c r="AC121">
        <v>1</v>
      </c>
      <c r="AD121">
        <v>0.01</v>
      </c>
      <c r="AE121">
        <v>16</v>
      </c>
      <c r="AF121">
        <v>0</v>
      </c>
      <c r="AG121">
        <v>7.5</v>
      </c>
      <c r="AH121">
        <v>167.5</v>
      </c>
      <c r="AI121" t="s">
        <v>388</v>
      </c>
      <c r="AJ121">
        <v>7.5</v>
      </c>
      <c r="AK121" t="s">
        <v>385</v>
      </c>
    </row>
    <row r="122" spans="1:37" x14ac:dyDescent="0.3">
      <c r="A122">
        <v>7.75</v>
      </c>
      <c r="B122">
        <v>42</v>
      </c>
      <c r="C122">
        <v>0</v>
      </c>
      <c r="D122">
        <v>0</v>
      </c>
      <c r="E122" t="s">
        <v>18</v>
      </c>
      <c r="G122">
        <f>J122-S122</f>
        <v>7.9452627813141996E-2</v>
      </c>
      <c r="H122">
        <f>K122+T122</f>
        <v>6.0435936769449E-2</v>
      </c>
      <c r="I122" s="121">
        <v>7.75</v>
      </c>
      <c r="J122" s="2">
        <v>0.40821861560099998</v>
      </c>
      <c r="K122" s="2">
        <v>-0.14998839057499999</v>
      </c>
      <c r="L122" s="122">
        <v>0.43490108695099999</v>
      </c>
      <c r="M122">
        <v>-0.32876598778785798</v>
      </c>
      <c r="N122">
        <v>-0.21042432734444899</v>
      </c>
      <c r="O122">
        <v>0.39034020067691</v>
      </c>
      <c r="P122">
        <v>3.8235129999999998E-7</v>
      </c>
      <c r="Q122" s="44">
        <v>1.123028E-7</v>
      </c>
      <c r="R122">
        <v>1</v>
      </c>
      <c r="S122">
        <f>ABS(M122)</f>
        <v>0.32876598778785798</v>
      </c>
      <c r="T122">
        <f t="shared" ref="T122:U122" si="60">ABS(N122)</f>
        <v>0.21042432734444899</v>
      </c>
      <c r="U122">
        <f t="shared" si="60"/>
        <v>0.39034020067691</v>
      </c>
      <c r="W122" s="44">
        <v>0.40821861560144801</v>
      </c>
      <c r="X122" s="44">
        <v>-0.14998839057487401</v>
      </c>
      <c r="Y122">
        <v>15000</v>
      </c>
      <c r="Z122">
        <v>16</v>
      </c>
      <c r="AA122">
        <v>1</v>
      </c>
      <c r="AB122">
        <v>1</v>
      </c>
      <c r="AC122">
        <v>1</v>
      </c>
      <c r="AD122">
        <v>0.01</v>
      </c>
      <c r="AE122">
        <v>16</v>
      </c>
      <c r="AF122">
        <v>0</v>
      </c>
      <c r="AG122">
        <v>7.75</v>
      </c>
      <c r="AH122">
        <v>274.8</v>
      </c>
      <c r="AI122" t="s">
        <v>389</v>
      </c>
      <c r="AJ122">
        <v>7.75</v>
      </c>
      <c r="AK122" t="s">
        <v>390</v>
      </c>
    </row>
    <row r="123" spans="1:37" hidden="1" x14ac:dyDescent="0.3">
      <c r="A123">
        <v>7.75</v>
      </c>
      <c r="B123">
        <v>42</v>
      </c>
      <c r="C123">
        <v>1</v>
      </c>
      <c r="D123">
        <v>0.1</v>
      </c>
      <c r="E123" t="s">
        <v>26</v>
      </c>
      <c r="F123">
        <v>0</v>
      </c>
      <c r="I123" s="121"/>
      <c r="J123" s="2"/>
      <c r="K123" s="2"/>
      <c r="L123" s="122"/>
      <c r="M123">
        <v>-0.44806906676770802</v>
      </c>
      <c r="N123">
        <v>-0.44992946795558703</v>
      </c>
      <c r="O123">
        <v>0.63498221607292504</v>
      </c>
      <c r="P123">
        <v>2.2305520000000001E-4</v>
      </c>
      <c r="Q123" s="44">
        <v>7.07291E-3</v>
      </c>
      <c r="R123">
        <v>0.99211499999999997</v>
      </c>
      <c r="W123" s="44">
        <v>0.40821861560144801</v>
      </c>
      <c r="X123" s="44">
        <v>-0.14998839057487401</v>
      </c>
      <c r="Y123">
        <v>9000</v>
      </c>
      <c r="Z123">
        <v>16</v>
      </c>
      <c r="AA123">
        <v>1</v>
      </c>
      <c r="AB123">
        <v>1</v>
      </c>
      <c r="AC123">
        <v>1</v>
      </c>
      <c r="AD123">
        <v>0.01</v>
      </c>
      <c r="AE123">
        <v>16</v>
      </c>
      <c r="AF123">
        <v>0</v>
      </c>
      <c r="AG123">
        <v>7.75</v>
      </c>
      <c r="AH123">
        <v>165.8</v>
      </c>
      <c r="AI123" t="s">
        <v>391</v>
      </c>
      <c r="AJ123">
        <v>7.75</v>
      </c>
      <c r="AK123" t="s">
        <v>390</v>
      </c>
    </row>
    <row r="124" spans="1:37" hidden="1" x14ac:dyDescent="0.3">
      <c r="A124">
        <v>7.75</v>
      </c>
      <c r="B124">
        <v>45</v>
      </c>
      <c r="C124">
        <v>0</v>
      </c>
      <c r="D124">
        <v>0</v>
      </c>
      <c r="E124" t="s">
        <v>18</v>
      </c>
      <c r="G124">
        <f>J124-S124</f>
        <v>7.8776688490009961E-2</v>
      </c>
      <c r="H124">
        <f>K124+T124</f>
        <v>6.0773645397293019E-2</v>
      </c>
      <c r="I124" s="121">
        <v>7.75</v>
      </c>
      <c r="J124" s="2">
        <v>0.40821861560099998</v>
      </c>
      <c r="K124" s="2">
        <v>-0.14998839057499999</v>
      </c>
      <c r="L124" s="122">
        <v>0.43490108695099999</v>
      </c>
      <c r="M124">
        <v>-0.32944192711099002</v>
      </c>
      <c r="N124">
        <v>-0.21076203597229301</v>
      </c>
      <c r="O124">
        <v>0.39109157386191401</v>
      </c>
      <c r="P124">
        <v>1.3537830000000001E-7</v>
      </c>
      <c r="Q124" s="44">
        <v>2.1625619999999999E-8</v>
      </c>
      <c r="R124">
        <v>1</v>
      </c>
      <c r="S124">
        <f>ABS(M124)</f>
        <v>0.32944192711099002</v>
      </c>
      <c r="T124">
        <f t="shared" ref="T124:U124" si="61">ABS(N124)</f>
        <v>0.21076203597229301</v>
      </c>
      <c r="U124">
        <f t="shared" si="61"/>
        <v>0.39109157386191401</v>
      </c>
      <c r="W124" s="44">
        <v>0.40821861560144801</v>
      </c>
      <c r="X124" s="44">
        <v>-0.14998839057487401</v>
      </c>
      <c r="Y124">
        <v>15000</v>
      </c>
      <c r="Z124">
        <v>16</v>
      </c>
      <c r="AA124">
        <v>1</v>
      </c>
      <c r="AB124">
        <v>1</v>
      </c>
      <c r="AC124">
        <v>1</v>
      </c>
      <c r="AD124">
        <v>0.01</v>
      </c>
      <c r="AE124">
        <v>16</v>
      </c>
      <c r="AF124">
        <v>0</v>
      </c>
      <c r="AG124">
        <v>7.75</v>
      </c>
      <c r="AH124">
        <v>276.8</v>
      </c>
      <c r="AI124" t="s">
        <v>392</v>
      </c>
      <c r="AJ124">
        <v>7.75</v>
      </c>
      <c r="AK124" t="s">
        <v>390</v>
      </c>
    </row>
    <row r="125" spans="1:37" hidden="1" x14ac:dyDescent="0.3">
      <c r="A125">
        <v>7.75</v>
      </c>
      <c r="B125">
        <v>45</v>
      </c>
      <c r="C125">
        <v>1</v>
      </c>
      <c r="D125">
        <v>0.1</v>
      </c>
      <c r="E125" t="s">
        <v>26</v>
      </c>
      <c r="F125">
        <v>0</v>
      </c>
      <c r="I125" s="121"/>
      <c r="J125" s="2"/>
      <c r="K125" s="2"/>
      <c r="L125" s="122"/>
      <c r="M125">
        <v>323.81787358260101</v>
      </c>
      <c r="N125">
        <v>-521.53809288843001</v>
      </c>
      <c r="O125">
        <v>613.88923885767701</v>
      </c>
      <c r="P125">
        <v>0.1582991</v>
      </c>
      <c r="Q125" s="44">
        <v>6.4572800000000001E-3</v>
      </c>
      <c r="R125">
        <v>0.991981</v>
      </c>
      <c r="W125" s="44">
        <v>0.40821861560144801</v>
      </c>
      <c r="X125" s="44">
        <v>-0.14998839057487401</v>
      </c>
      <c r="Y125">
        <v>9000</v>
      </c>
      <c r="Z125">
        <v>16</v>
      </c>
      <c r="AA125">
        <v>1</v>
      </c>
      <c r="AB125">
        <v>1</v>
      </c>
      <c r="AC125">
        <v>1</v>
      </c>
      <c r="AD125">
        <v>0.01</v>
      </c>
      <c r="AE125">
        <v>16</v>
      </c>
      <c r="AF125">
        <v>0</v>
      </c>
      <c r="AG125">
        <v>7.75</v>
      </c>
      <c r="AH125">
        <v>169.1</v>
      </c>
      <c r="AI125" t="s">
        <v>393</v>
      </c>
      <c r="AJ125">
        <v>7.75</v>
      </c>
      <c r="AK125" t="s">
        <v>390</v>
      </c>
    </row>
    <row r="126" spans="1:37" x14ac:dyDescent="0.3">
      <c r="A126">
        <v>8</v>
      </c>
      <c r="B126">
        <v>42</v>
      </c>
      <c r="C126">
        <v>0</v>
      </c>
      <c r="D126">
        <v>0</v>
      </c>
      <c r="E126" t="s">
        <v>18</v>
      </c>
      <c r="G126">
        <f>J126-S126</f>
        <v>0.14487655288262202</v>
      </c>
      <c r="H126">
        <f>K126+T126</f>
        <v>0.71175846224111905</v>
      </c>
      <c r="I126" s="121">
        <v>8</v>
      </c>
      <c r="J126" s="2">
        <v>0.26622813818300001</v>
      </c>
      <c r="K126" s="2">
        <v>0.34389174731400002</v>
      </c>
      <c r="L126" s="122">
        <v>0.43490108695099999</v>
      </c>
      <c r="M126">
        <v>-0.121351585300378</v>
      </c>
      <c r="N126">
        <v>0.36786671492711898</v>
      </c>
      <c r="O126">
        <v>0.387365624708989</v>
      </c>
      <c r="P126">
        <v>2.9258030000000002E-7</v>
      </c>
      <c r="Q126" s="44">
        <v>6.1508659999999996E-8</v>
      </c>
      <c r="R126">
        <v>1</v>
      </c>
      <c r="S126">
        <f>ABS(M126)</f>
        <v>0.121351585300378</v>
      </c>
      <c r="T126">
        <f t="shared" ref="T126:U126" si="62">ABS(N126)</f>
        <v>0.36786671492711898</v>
      </c>
      <c r="U126">
        <f t="shared" si="62"/>
        <v>0.387365624708989</v>
      </c>
      <c r="W126" s="44">
        <v>0.26622813818270302</v>
      </c>
      <c r="X126" s="44">
        <v>0.34389174731385302</v>
      </c>
      <c r="Y126">
        <v>15000</v>
      </c>
      <c r="Z126">
        <v>16</v>
      </c>
      <c r="AA126">
        <v>1</v>
      </c>
      <c r="AB126">
        <v>1</v>
      </c>
      <c r="AC126">
        <v>1</v>
      </c>
      <c r="AD126">
        <v>0.01</v>
      </c>
      <c r="AE126">
        <v>16</v>
      </c>
      <c r="AF126">
        <v>0</v>
      </c>
      <c r="AG126">
        <v>8</v>
      </c>
      <c r="AH126">
        <v>275.8</v>
      </c>
      <c r="AI126" t="s">
        <v>394</v>
      </c>
      <c r="AJ126">
        <v>8</v>
      </c>
      <c r="AK126" t="s">
        <v>395</v>
      </c>
    </row>
    <row r="127" spans="1:37" hidden="1" x14ac:dyDescent="0.3">
      <c r="A127">
        <v>8</v>
      </c>
      <c r="B127">
        <v>42</v>
      </c>
      <c r="C127">
        <v>1</v>
      </c>
      <c r="D127">
        <v>0.1</v>
      </c>
      <c r="E127" t="s">
        <v>26</v>
      </c>
      <c r="F127">
        <v>0</v>
      </c>
      <c r="I127" s="121"/>
      <c r="J127" s="2"/>
      <c r="K127" s="2"/>
      <c r="L127" s="122"/>
      <c r="M127">
        <v>-4245.2326466193599</v>
      </c>
      <c r="N127">
        <v>5572.5935979448004</v>
      </c>
      <c r="O127">
        <v>7005.4121671589201</v>
      </c>
      <c r="P127">
        <v>0.44096360000000001</v>
      </c>
      <c r="Q127" s="44">
        <v>2.373946E-4</v>
      </c>
      <c r="R127">
        <v>0.99963900000000006</v>
      </c>
      <c r="W127" s="44">
        <v>0.26622813818270302</v>
      </c>
      <c r="X127" s="44">
        <v>0.34389174731385302</v>
      </c>
      <c r="Y127">
        <v>9000</v>
      </c>
      <c r="Z127">
        <v>16</v>
      </c>
      <c r="AA127">
        <v>1</v>
      </c>
      <c r="AB127">
        <v>1</v>
      </c>
      <c r="AC127">
        <v>1</v>
      </c>
      <c r="AD127">
        <v>0.01</v>
      </c>
      <c r="AE127">
        <v>16</v>
      </c>
      <c r="AF127">
        <v>0</v>
      </c>
      <c r="AG127">
        <v>8</v>
      </c>
      <c r="AH127">
        <v>166.9</v>
      </c>
      <c r="AI127" t="s">
        <v>396</v>
      </c>
      <c r="AJ127">
        <v>8</v>
      </c>
      <c r="AK127" t="s">
        <v>395</v>
      </c>
    </row>
    <row r="128" spans="1:37" hidden="1" x14ac:dyDescent="0.3">
      <c r="A128">
        <v>8</v>
      </c>
      <c r="B128">
        <v>45</v>
      </c>
      <c r="C128">
        <v>0</v>
      </c>
      <c r="D128">
        <v>0</v>
      </c>
      <c r="E128" t="s">
        <v>18</v>
      </c>
      <c r="G128">
        <f>J128-S128</f>
        <v>0.14271198387616302</v>
      </c>
      <c r="H128">
        <f>K128+T128</f>
        <v>0.71200982124535206</v>
      </c>
      <c r="I128" s="121">
        <v>8</v>
      </c>
      <c r="J128" s="2">
        <v>0.26622813818300001</v>
      </c>
      <c r="K128" s="2">
        <v>0.34389174731400002</v>
      </c>
      <c r="L128" s="122">
        <v>0.43490108695099999</v>
      </c>
      <c r="M128">
        <v>0.123516154306837</v>
      </c>
      <c r="N128">
        <v>-0.36811807393135199</v>
      </c>
      <c r="O128">
        <v>0.38828746661420699</v>
      </c>
      <c r="P128">
        <v>1.064913E-7</v>
      </c>
      <c r="Q128" s="44">
        <v>5.8793590000000004E-9</v>
      </c>
      <c r="R128">
        <v>1</v>
      </c>
      <c r="S128">
        <f>ABS(M128)</f>
        <v>0.123516154306837</v>
      </c>
      <c r="T128">
        <f t="shared" ref="T128:U128" si="63">ABS(N128)</f>
        <v>0.36811807393135199</v>
      </c>
      <c r="U128">
        <f t="shared" si="63"/>
        <v>0.38828746661420699</v>
      </c>
      <c r="W128" s="44">
        <v>0.26622813818270302</v>
      </c>
      <c r="X128" s="44">
        <v>0.34389174731385302</v>
      </c>
      <c r="Y128">
        <v>15000</v>
      </c>
      <c r="Z128">
        <v>16</v>
      </c>
      <c r="AA128">
        <v>1</v>
      </c>
      <c r="AB128">
        <v>1</v>
      </c>
      <c r="AC128">
        <v>1</v>
      </c>
      <c r="AD128">
        <v>0.01</v>
      </c>
      <c r="AE128">
        <v>16</v>
      </c>
      <c r="AF128">
        <v>0</v>
      </c>
      <c r="AG128">
        <v>8</v>
      </c>
      <c r="AH128">
        <v>278.3</v>
      </c>
      <c r="AI128" t="s">
        <v>397</v>
      </c>
      <c r="AJ128">
        <v>8</v>
      </c>
      <c r="AK128" t="s">
        <v>395</v>
      </c>
    </row>
    <row r="129" spans="1:37" hidden="1" x14ac:dyDescent="0.3">
      <c r="A129">
        <v>8</v>
      </c>
      <c r="B129">
        <v>45</v>
      </c>
      <c r="C129">
        <v>1</v>
      </c>
      <c r="D129">
        <v>0.1</v>
      </c>
      <c r="E129" t="s">
        <v>26</v>
      </c>
      <c r="F129">
        <v>0</v>
      </c>
      <c r="I129" s="121"/>
      <c r="J129" s="2"/>
      <c r="K129" s="2"/>
      <c r="L129" s="122"/>
      <c r="M129">
        <v>803.34575563891997</v>
      </c>
      <c r="N129">
        <v>2752.1520865309599</v>
      </c>
      <c r="O129">
        <v>2867.00287940207</v>
      </c>
      <c r="P129">
        <v>0.15872900000000001</v>
      </c>
      <c r="Q129" s="44">
        <v>1.4410869999999999E-4</v>
      </c>
      <c r="R129">
        <v>0.999386</v>
      </c>
      <c r="W129" s="44">
        <v>0.26622813818270302</v>
      </c>
      <c r="X129" s="44">
        <v>0.34389174731385302</v>
      </c>
      <c r="Y129">
        <v>9000</v>
      </c>
      <c r="Z129">
        <v>16</v>
      </c>
      <c r="AA129">
        <v>1</v>
      </c>
      <c r="AB129">
        <v>1</v>
      </c>
      <c r="AC129">
        <v>1</v>
      </c>
      <c r="AD129">
        <v>0.01</v>
      </c>
      <c r="AE129">
        <v>16</v>
      </c>
      <c r="AF129">
        <v>0</v>
      </c>
      <c r="AG129">
        <v>8</v>
      </c>
      <c r="AH129">
        <v>167.3</v>
      </c>
      <c r="AI129" t="s">
        <v>398</v>
      </c>
      <c r="AJ129">
        <v>8</v>
      </c>
      <c r="AK129" t="s">
        <v>395</v>
      </c>
    </row>
    <row r="130" spans="1:37" x14ac:dyDescent="0.3">
      <c r="A130">
        <v>8.25</v>
      </c>
      <c r="B130">
        <v>42</v>
      </c>
      <c r="C130">
        <v>0</v>
      </c>
      <c r="D130">
        <v>0</v>
      </c>
      <c r="E130" t="s">
        <v>18</v>
      </c>
      <c r="G130">
        <f>J130-S130</f>
        <v>-0.64464764617437509</v>
      </c>
      <c r="H130">
        <f>K130+T130</f>
        <v>0.39326035810464721</v>
      </c>
      <c r="I130" s="121">
        <v>8.25</v>
      </c>
      <c r="J130" s="2">
        <v>-0.26162305354900001</v>
      </c>
      <c r="K130" s="2">
        <v>0.34740802132800003</v>
      </c>
      <c r="L130" s="122">
        <v>0.43490108695099999</v>
      </c>
      <c r="M130">
        <v>-0.38302459262537503</v>
      </c>
      <c r="N130">
        <v>-4.5852336776647198E-2</v>
      </c>
      <c r="O130">
        <v>0.385759349003642</v>
      </c>
      <c r="P130">
        <v>1.517069E-7</v>
      </c>
      <c r="Q130" s="44">
        <v>1.7572700000000002E-8</v>
      </c>
      <c r="R130">
        <v>1</v>
      </c>
      <c r="S130">
        <f>ABS(M130)</f>
        <v>0.38302459262537503</v>
      </c>
      <c r="T130">
        <f t="shared" ref="T130:U130" si="64">ABS(N130)</f>
        <v>4.5852336776647198E-2</v>
      </c>
      <c r="U130">
        <f t="shared" si="64"/>
        <v>0.385759349003642</v>
      </c>
      <c r="W130" s="44">
        <v>-0.26162305354856003</v>
      </c>
      <c r="X130" s="44">
        <v>0.34740802132755999</v>
      </c>
      <c r="Y130">
        <v>15000</v>
      </c>
      <c r="Z130">
        <v>16</v>
      </c>
      <c r="AA130">
        <v>1</v>
      </c>
      <c r="AB130">
        <v>1</v>
      </c>
      <c r="AC130">
        <v>1</v>
      </c>
      <c r="AD130">
        <v>0.01</v>
      </c>
      <c r="AE130">
        <v>16</v>
      </c>
      <c r="AF130">
        <v>0</v>
      </c>
      <c r="AG130">
        <v>8.25</v>
      </c>
      <c r="AH130">
        <v>275.5</v>
      </c>
      <c r="AI130" t="s">
        <v>399</v>
      </c>
      <c r="AJ130">
        <v>8.25</v>
      </c>
      <c r="AK130" t="s">
        <v>400</v>
      </c>
    </row>
    <row r="131" spans="1:37" hidden="1" x14ac:dyDescent="0.3">
      <c r="A131">
        <v>8.25</v>
      </c>
      <c r="B131">
        <v>42</v>
      </c>
      <c r="C131">
        <v>1</v>
      </c>
      <c r="D131">
        <v>0.1</v>
      </c>
      <c r="E131" t="s">
        <v>26</v>
      </c>
      <c r="F131">
        <v>0</v>
      </c>
      <c r="I131" s="121"/>
      <c r="J131" s="2"/>
      <c r="K131" s="2"/>
      <c r="L131" s="122"/>
      <c r="M131">
        <v>-284.64902123231599</v>
      </c>
      <c r="N131">
        <v>-320.85226191381201</v>
      </c>
      <c r="O131">
        <v>428.918686074324</v>
      </c>
      <c r="P131">
        <v>1.9964490000000001E-2</v>
      </c>
      <c r="Q131" s="44">
        <v>1.5178070000000001E-4</v>
      </c>
      <c r="R131">
        <v>0.99970400000000004</v>
      </c>
      <c r="W131" s="44">
        <v>-0.26162305354856003</v>
      </c>
      <c r="X131" s="44">
        <v>0.34740802132755999</v>
      </c>
      <c r="Y131">
        <v>9000</v>
      </c>
      <c r="Z131">
        <v>16</v>
      </c>
      <c r="AA131">
        <v>1</v>
      </c>
      <c r="AB131">
        <v>1</v>
      </c>
      <c r="AC131">
        <v>1</v>
      </c>
      <c r="AD131">
        <v>0.01</v>
      </c>
      <c r="AE131">
        <v>16</v>
      </c>
      <c r="AF131">
        <v>0</v>
      </c>
      <c r="AG131">
        <v>8.25</v>
      </c>
      <c r="AH131">
        <v>164.5</v>
      </c>
      <c r="AI131" t="s">
        <v>401</v>
      </c>
      <c r="AJ131">
        <v>8.25</v>
      </c>
      <c r="AK131" t="s">
        <v>400</v>
      </c>
    </row>
    <row r="132" spans="1:37" hidden="1" x14ac:dyDescent="0.3">
      <c r="A132">
        <v>8.25</v>
      </c>
      <c r="B132">
        <v>45</v>
      </c>
      <c r="C132">
        <v>0</v>
      </c>
      <c r="D132">
        <v>0</v>
      </c>
      <c r="E132" t="s">
        <v>18</v>
      </c>
      <c r="G132">
        <f>J132-S132</f>
        <v>-0.64348770274008604</v>
      </c>
      <c r="H132">
        <f>K132+T132</f>
        <v>0.39407307716273432</v>
      </c>
      <c r="I132" s="121">
        <v>8.25</v>
      </c>
      <c r="J132" s="2">
        <v>-0.26162305354900001</v>
      </c>
      <c r="K132" s="2">
        <v>0.34740802132800003</v>
      </c>
      <c r="L132" s="122">
        <v>0.43490108695099999</v>
      </c>
      <c r="M132">
        <v>0.38186464919108598</v>
      </c>
      <c r="N132">
        <v>4.6665055834734299E-2</v>
      </c>
      <c r="O132">
        <v>0.38470539083549399</v>
      </c>
      <c r="P132">
        <v>2.35189E-7</v>
      </c>
      <c r="Q132" s="44">
        <v>3.8701890000000003E-8</v>
      </c>
      <c r="R132">
        <v>1</v>
      </c>
      <c r="S132">
        <f>ABS(M132)</f>
        <v>0.38186464919108598</v>
      </c>
      <c r="T132">
        <f t="shared" ref="T132:U132" si="65">ABS(N132)</f>
        <v>4.6665055834734299E-2</v>
      </c>
      <c r="U132">
        <f t="shared" si="65"/>
        <v>0.38470539083549399</v>
      </c>
      <c r="W132" s="44">
        <v>-0.26162305354856003</v>
      </c>
      <c r="X132" s="44">
        <v>0.34740802132755999</v>
      </c>
      <c r="Y132">
        <v>15000</v>
      </c>
      <c r="Z132">
        <v>16</v>
      </c>
      <c r="AA132">
        <v>1</v>
      </c>
      <c r="AB132">
        <v>1</v>
      </c>
      <c r="AC132">
        <v>1</v>
      </c>
      <c r="AD132">
        <v>0.01</v>
      </c>
      <c r="AE132">
        <v>16</v>
      </c>
      <c r="AF132">
        <v>0</v>
      </c>
      <c r="AG132">
        <v>8.25</v>
      </c>
      <c r="AH132">
        <v>277.39999999999998</v>
      </c>
      <c r="AI132" t="s">
        <v>402</v>
      </c>
      <c r="AJ132">
        <v>8.25</v>
      </c>
      <c r="AK132" t="s">
        <v>400</v>
      </c>
    </row>
    <row r="133" spans="1:37" hidden="1" x14ac:dyDescent="0.3">
      <c r="A133">
        <v>8.25</v>
      </c>
      <c r="B133">
        <v>45</v>
      </c>
      <c r="C133">
        <v>1</v>
      </c>
      <c r="D133">
        <v>0.1</v>
      </c>
      <c r="E133" t="s">
        <v>26</v>
      </c>
      <c r="F133">
        <v>0</v>
      </c>
      <c r="I133" s="121"/>
      <c r="J133" s="2"/>
      <c r="K133" s="2"/>
      <c r="L133" s="122"/>
      <c r="M133">
        <v>-347.07490971789298</v>
      </c>
      <c r="N133">
        <v>2812.89747900774</v>
      </c>
      <c r="O133">
        <v>2834.2288581488601</v>
      </c>
      <c r="P133">
        <v>0.14767849999999999</v>
      </c>
      <c r="Q133" s="44">
        <v>1.7636759999999999E-4</v>
      </c>
      <c r="R133">
        <v>0.999695</v>
      </c>
      <c r="W133" s="44">
        <v>-0.26162305354856003</v>
      </c>
      <c r="X133" s="44">
        <v>0.34740802132755999</v>
      </c>
      <c r="Y133">
        <v>9000</v>
      </c>
      <c r="Z133">
        <v>16</v>
      </c>
      <c r="AA133">
        <v>1</v>
      </c>
      <c r="AB133">
        <v>1</v>
      </c>
      <c r="AC133">
        <v>1</v>
      </c>
      <c r="AD133">
        <v>0.01</v>
      </c>
      <c r="AE133">
        <v>16</v>
      </c>
      <c r="AF133">
        <v>0</v>
      </c>
      <c r="AG133">
        <v>8.25</v>
      </c>
      <c r="AH133">
        <v>164.1</v>
      </c>
      <c r="AI133" t="s">
        <v>403</v>
      </c>
      <c r="AJ133">
        <v>8.25</v>
      </c>
      <c r="AK133" t="s">
        <v>400</v>
      </c>
    </row>
    <row r="134" spans="1:37" x14ac:dyDescent="0.3">
      <c r="A134">
        <v>8.5</v>
      </c>
      <c r="B134">
        <v>42</v>
      </c>
      <c r="C134">
        <v>0</v>
      </c>
      <c r="D134">
        <v>0</v>
      </c>
      <c r="E134" t="s">
        <v>18</v>
      </c>
      <c r="G134">
        <f>J134-S134</f>
        <v>-21781.446296485014</v>
      </c>
      <c r="H134">
        <f>K134+T134</f>
        <v>8553.7869129411229</v>
      </c>
      <c r="I134" s="121">
        <v>8.5</v>
      </c>
      <c r="J134" s="2">
        <v>-0.39727183691399998</v>
      </c>
      <c r="K134" s="2">
        <v>-0.17695774361700001</v>
      </c>
      <c r="L134" s="122">
        <v>0.43490108695099999</v>
      </c>
      <c r="M134">
        <v>-21781.049024648099</v>
      </c>
      <c r="N134">
        <v>8553.96387068474</v>
      </c>
      <c r="O134">
        <v>23400.5212445172</v>
      </c>
      <c r="P134">
        <v>0.29578579999999999</v>
      </c>
      <c r="Q134" s="44">
        <v>1.130525E-5</v>
      </c>
      <c r="R134">
        <v>0.99998200000000004</v>
      </c>
      <c r="S134">
        <f>ABS(M134)</f>
        <v>21781.049024648099</v>
      </c>
      <c r="T134">
        <f t="shared" ref="T134:U134" si="66">ABS(N134)</f>
        <v>8553.96387068474</v>
      </c>
      <c r="U134">
        <f t="shared" si="66"/>
        <v>23400.5212445172</v>
      </c>
      <c r="W134" s="44">
        <v>-0.39727183691364698</v>
      </c>
      <c r="X134" s="44">
        <v>-0.176957743617114</v>
      </c>
      <c r="Y134">
        <v>15000</v>
      </c>
      <c r="Z134">
        <v>16</v>
      </c>
      <c r="AA134">
        <v>1</v>
      </c>
      <c r="AB134">
        <v>1</v>
      </c>
      <c r="AC134">
        <v>1</v>
      </c>
      <c r="AD134">
        <v>0.01</v>
      </c>
      <c r="AE134">
        <v>16</v>
      </c>
      <c r="AF134">
        <v>0</v>
      </c>
      <c r="AG134">
        <v>8.5</v>
      </c>
      <c r="AH134">
        <v>274</v>
      </c>
      <c r="AI134" t="s">
        <v>404</v>
      </c>
      <c r="AJ134">
        <v>8.5</v>
      </c>
      <c r="AK134" t="s">
        <v>405</v>
      </c>
    </row>
    <row r="135" spans="1:37" hidden="1" x14ac:dyDescent="0.3">
      <c r="A135">
        <v>8.5</v>
      </c>
      <c r="B135">
        <v>42</v>
      </c>
      <c r="C135">
        <v>1</v>
      </c>
      <c r="D135">
        <v>0.1</v>
      </c>
      <c r="E135" t="s">
        <v>26</v>
      </c>
      <c r="F135">
        <v>0</v>
      </c>
      <c r="I135" s="121"/>
      <c r="J135" s="2"/>
      <c r="K135" s="2"/>
      <c r="L135" s="122"/>
      <c r="M135">
        <v>7903.9584230332002</v>
      </c>
      <c r="N135">
        <v>350918.95274076599</v>
      </c>
      <c r="O135">
        <v>351007.95425663597</v>
      </c>
      <c r="P135">
        <v>19.994479999999999</v>
      </c>
      <c r="Q135" s="44">
        <v>3.0277119999999998E-4</v>
      </c>
      <c r="R135">
        <v>0.99972099999999997</v>
      </c>
      <c r="W135" s="44">
        <v>-0.39727183691364698</v>
      </c>
      <c r="X135" s="44">
        <v>-0.176957743617114</v>
      </c>
      <c r="Y135">
        <v>9000</v>
      </c>
      <c r="Z135">
        <v>16</v>
      </c>
      <c r="AA135">
        <v>1</v>
      </c>
      <c r="AB135">
        <v>1</v>
      </c>
      <c r="AC135">
        <v>1</v>
      </c>
      <c r="AD135">
        <v>0.01</v>
      </c>
      <c r="AE135">
        <v>16</v>
      </c>
      <c r="AF135">
        <v>0</v>
      </c>
      <c r="AG135">
        <v>8.5</v>
      </c>
      <c r="AH135">
        <v>166.8</v>
      </c>
      <c r="AI135" t="s">
        <v>406</v>
      </c>
      <c r="AJ135">
        <v>8.5</v>
      </c>
      <c r="AK135" t="s">
        <v>405</v>
      </c>
    </row>
    <row r="136" spans="1:37" hidden="1" x14ac:dyDescent="0.3">
      <c r="A136">
        <v>8.5</v>
      </c>
      <c r="B136">
        <v>45</v>
      </c>
      <c r="C136">
        <v>0</v>
      </c>
      <c r="D136">
        <v>0</v>
      </c>
      <c r="E136" t="s">
        <v>18</v>
      </c>
      <c r="G136">
        <f>J136-S136</f>
        <v>-18139.893422326117</v>
      </c>
      <c r="H136">
        <f>K136+T136</f>
        <v>25376.724080271582</v>
      </c>
      <c r="I136" s="121">
        <v>8.5</v>
      </c>
      <c r="J136" s="2">
        <v>-0.39727183691399998</v>
      </c>
      <c r="K136" s="2">
        <v>-0.17695774361700001</v>
      </c>
      <c r="L136" s="122">
        <v>0.43490108695099999</v>
      </c>
      <c r="M136">
        <v>18139.496150489202</v>
      </c>
      <c r="N136">
        <v>25376.901038015199</v>
      </c>
      <c r="O136">
        <v>31193.4035797127</v>
      </c>
      <c r="P136">
        <v>1.4133979999999999</v>
      </c>
      <c r="Q136" s="44">
        <v>9.7979710000000007E-6</v>
      </c>
      <c r="R136">
        <v>0.99975199999999997</v>
      </c>
      <c r="S136">
        <f>ABS(M136)</f>
        <v>18139.496150489202</v>
      </c>
      <c r="T136">
        <f t="shared" ref="T136:U136" si="67">ABS(N136)</f>
        <v>25376.901038015199</v>
      </c>
      <c r="U136">
        <f t="shared" si="67"/>
        <v>31193.4035797127</v>
      </c>
      <c r="W136" s="44">
        <v>-0.39727183691364698</v>
      </c>
      <c r="X136" s="44">
        <v>-0.176957743617114</v>
      </c>
      <c r="Y136">
        <v>15000</v>
      </c>
      <c r="Z136">
        <v>16</v>
      </c>
      <c r="AA136">
        <v>1</v>
      </c>
      <c r="AB136">
        <v>1</v>
      </c>
      <c r="AC136">
        <v>1</v>
      </c>
      <c r="AD136">
        <v>0.01</v>
      </c>
      <c r="AE136">
        <v>16</v>
      </c>
      <c r="AF136">
        <v>0</v>
      </c>
      <c r="AG136">
        <v>8.5</v>
      </c>
      <c r="AH136">
        <v>278.7</v>
      </c>
      <c r="AI136" t="s">
        <v>407</v>
      </c>
      <c r="AJ136">
        <v>8.5</v>
      </c>
      <c r="AK136" t="s">
        <v>405</v>
      </c>
    </row>
    <row r="137" spans="1:37" hidden="1" x14ac:dyDescent="0.3">
      <c r="A137">
        <v>8.5</v>
      </c>
      <c r="B137">
        <v>45</v>
      </c>
      <c r="C137">
        <v>1</v>
      </c>
      <c r="D137">
        <v>0.1</v>
      </c>
      <c r="E137" t="s">
        <v>26</v>
      </c>
      <c r="F137">
        <v>0</v>
      </c>
      <c r="I137" s="121"/>
      <c r="J137" s="2"/>
      <c r="K137" s="2"/>
      <c r="L137" s="122"/>
      <c r="M137">
        <v>3824827.9373234999</v>
      </c>
      <c r="N137">
        <v>-3571287.5590703399</v>
      </c>
      <c r="O137">
        <v>5232915.3996315403</v>
      </c>
      <c r="P137">
        <v>240.233</v>
      </c>
      <c r="Q137" s="44">
        <v>2.369893E-4</v>
      </c>
      <c r="R137">
        <v>0.999807</v>
      </c>
      <c r="W137" s="44">
        <v>-0.39727183691364698</v>
      </c>
      <c r="X137" s="44">
        <v>-0.176957743617114</v>
      </c>
      <c r="Y137">
        <v>9000</v>
      </c>
      <c r="Z137">
        <v>16</v>
      </c>
      <c r="AA137">
        <v>1</v>
      </c>
      <c r="AB137">
        <v>1</v>
      </c>
      <c r="AC137">
        <v>1</v>
      </c>
      <c r="AD137">
        <v>0.01</v>
      </c>
      <c r="AE137">
        <v>16</v>
      </c>
      <c r="AF137">
        <v>0</v>
      </c>
      <c r="AG137">
        <v>8.5</v>
      </c>
      <c r="AH137">
        <v>165.6</v>
      </c>
      <c r="AI137" t="s">
        <v>408</v>
      </c>
      <c r="AJ137">
        <v>8.5</v>
      </c>
      <c r="AK137" t="s">
        <v>405</v>
      </c>
    </row>
    <row r="138" spans="1:37" x14ac:dyDescent="0.3">
      <c r="A138">
        <v>8.75</v>
      </c>
      <c r="B138">
        <v>42</v>
      </c>
      <c r="C138">
        <v>0</v>
      </c>
      <c r="D138">
        <v>0</v>
      </c>
      <c r="E138" t="s">
        <v>18</v>
      </c>
      <c r="G138">
        <f>J138-S138</f>
        <v>-0.27630659441191197</v>
      </c>
      <c r="H138">
        <f>K138+T138</f>
        <v>-0.3605541557725333</v>
      </c>
      <c r="I138" s="121">
        <v>8.75</v>
      </c>
      <c r="J138" s="2">
        <v>0.100318080377</v>
      </c>
      <c r="K138" s="2">
        <v>-0.423172823064</v>
      </c>
      <c r="L138" s="122">
        <v>0.43490108695099999</v>
      </c>
      <c r="M138">
        <v>-0.37662467478891198</v>
      </c>
      <c r="N138">
        <v>6.2618667291466701E-2</v>
      </c>
      <c r="O138">
        <v>0.38179476574884202</v>
      </c>
      <c r="P138">
        <v>3.8827130000000003E-7</v>
      </c>
      <c r="Q138" s="44">
        <v>9.943744E-8</v>
      </c>
      <c r="R138">
        <v>1</v>
      </c>
      <c r="S138">
        <f>ABS(M138)</f>
        <v>0.37662467478891198</v>
      </c>
      <c r="T138">
        <f t="shared" ref="T138:U138" si="68">ABS(N138)</f>
        <v>6.2618667291466701E-2</v>
      </c>
      <c r="U138">
        <f t="shared" si="68"/>
        <v>0.38179476574884202</v>
      </c>
      <c r="W138" s="44">
        <v>0.100318080377098</v>
      </c>
      <c r="X138" s="44">
        <v>-0.423172823064357</v>
      </c>
      <c r="Y138">
        <v>15000</v>
      </c>
      <c r="Z138">
        <v>16</v>
      </c>
      <c r="AA138">
        <v>1</v>
      </c>
      <c r="AB138">
        <v>1</v>
      </c>
      <c r="AC138">
        <v>1</v>
      </c>
      <c r="AD138">
        <v>0.01</v>
      </c>
      <c r="AE138">
        <v>16</v>
      </c>
      <c r="AF138">
        <v>0</v>
      </c>
      <c r="AG138">
        <v>8.75</v>
      </c>
      <c r="AH138">
        <v>278.39999999999998</v>
      </c>
      <c r="AI138" t="s">
        <v>409</v>
      </c>
      <c r="AJ138">
        <v>8.75</v>
      </c>
      <c r="AK138" t="s">
        <v>410</v>
      </c>
    </row>
    <row r="139" spans="1:37" hidden="1" x14ac:dyDescent="0.3">
      <c r="A139">
        <v>8.75</v>
      </c>
      <c r="B139">
        <v>42</v>
      </c>
      <c r="C139">
        <v>1</v>
      </c>
      <c r="D139">
        <v>0.1</v>
      </c>
      <c r="E139" t="s">
        <v>26</v>
      </c>
      <c r="F139">
        <v>0</v>
      </c>
      <c r="I139" s="121"/>
      <c r="J139" s="2"/>
      <c r="K139" s="2"/>
      <c r="L139" s="122"/>
      <c r="M139">
        <v>1453.1534339244199</v>
      </c>
      <c r="N139">
        <v>89.364403872799897</v>
      </c>
      <c r="O139">
        <v>1455.89865691465</v>
      </c>
      <c r="P139">
        <v>7.0516389999999998E-2</v>
      </c>
      <c r="Q139" s="44">
        <v>3.1294789999999998E-4</v>
      </c>
      <c r="R139">
        <v>0.99980999999999998</v>
      </c>
      <c r="W139" s="44">
        <v>0.100318080377098</v>
      </c>
      <c r="X139" s="44">
        <v>-0.423172823064357</v>
      </c>
      <c r="Y139">
        <v>9000</v>
      </c>
      <c r="Z139">
        <v>16</v>
      </c>
      <c r="AA139">
        <v>1</v>
      </c>
      <c r="AB139">
        <v>1</v>
      </c>
      <c r="AC139">
        <v>1</v>
      </c>
      <c r="AD139">
        <v>0.01</v>
      </c>
      <c r="AE139">
        <v>16</v>
      </c>
      <c r="AF139">
        <v>0</v>
      </c>
      <c r="AG139">
        <v>8.75</v>
      </c>
      <c r="AH139">
        <v>166.4</v>
      </c>
      <c r="AI139" t="s">
        <v>411</v>
      </c>
      <c r="AJ139">
        <v>8.75</v>
      </c>
      <c r="AK139" t="s">
        <v>410</v>
      </c>
    </row>
    <row r="140" spans="1:37" hidden="1" x14ac:dyDescent="0.3">
      <c r="A140">
        <v>8.75</v>
      </c>
      <c r="B140">
        <v>45</v>
      </c>
      <c r="C140">
        <v>0</v>
      </c>
      <c r="D140">
        <v>0</v>
      </c>
      <c r="E140" t="s">
        <v>18</v>
      </c>
      <c r="G140">
        <f>J140-S140</f>
        <v>-0.27396335419391699</v>
      </c>
      <c r="H140">
        <f>K140+T140</f>
        <v>-0.36168558239436849</v>
      </c>
      <c r="I140" s="121">
        <v>8.75</v>
      </c>
      <c r="J140" s="2">
        <v>0.100318080377</v>
      </c>
      <c r="K140" s="2">
        <v>-0.423172823064</v>
      </c>
      <c r="L140" s="122">
        <v>0.43490108695099999</v>
      </c>
      <c r="M140">
        <v>0.374281434570917</v>
      </c>
      <c r="N140">
        <v>-6.1487240669631502E-2</v>
      </c>
      <c r="O140">
        <v>0.37929839576463897</v>
      </c>
      <c r="P140">
        <v>2.4387630000000001E-7</v>
      </c>
      <c r="Q140" s="44">
        <v>4.8284910000000003E-8</v>
      </c>
      <c r="R140">
        <v>1</v>
      </c>
      <c r="S140">
        <f>ABS(M140)</f>
        <v>0.374281434570917</v>
      </c>
      <c r="T140">
        <f t="shared" ref="T140:U140" si="69">ABS(N140)</f>
        <v>6.1487240669631502E-2</v>
      </c>
      <c r="U140">
        <f t="shared" si="69"/>
        <v>0.37929839576463897</v>
      </c>
      <c r="W140" s="44">
        <v>0.100318080377098</v>
      </c>
      <c r="X140" s="44">
        <v>-0.423172823064357</v>
      </c>
      <c r="Y140">
        <v>15000</v>
      </c>
      <c r="Z140">
        <v>16</v>
      </c>
      <c r="AA140">
        <v>1</v>
      </c>
      <c r="AB140">
        <v>1</v>
      </c>
      <c r="AC140">
        <v>1</v>
      </c>
      <c r="AD140">
        <v>0.01</v>
      </c>
      <c r="AE140">
        <v>16</v>
      </c>
      <c r="AF140">
        <v>0</v>
      </c>
      <c r="AG140">
        <v>8.75</v>
      </c>
      <c r="AH140">
        <v>278.89999999999998</v>
      </c>
      <c r="AI140" t="s">
        <v>412</v>
      </c>
      <c r="AJ140">
        <v>8.75</v>
      </c>
      <c r="AK140" t="s">
        <v>410</v>
      </c>
    </row>
    <row r="141" spans="1:37" hidden="1" x14ac:dyDescent="0.3">
      <c r="A141">
        <v>8.75</v>
      </c>
      <c r="B141">
        <v>45</v>
      </c>
      <c r="C141">
        <v>1</v>
      </c>
      <c r="D141">
        <v>0.1</v>
      </c>
      <c r="E141" t="s">
        <v>26</v>
      </c>
      <c r="F141">
        <v>0</v>
      </c>
      <c r="I141" s="121"/>
      <c r="J141" s="2"/>
      <c r="K141" s="2"/>
      <c r="L141" s="122"/>
      <c r="M141">
        <v>-17253.860708417</v>
      </c>
      <c r="N141">
        <v>-19943.199497311402</v>
      </c>
      <c r="O141">
        <v>26370.948324529701</v>
      </c>
      <c r="P141">
        <v>1.510494</v>
      </c>
      <c r="Q141" s="44">
        <v>3.6124079999999998E-4</v>
      </c>
      <c r="R141">
        <v>0.99964399999999998</v>
      </c>
      <c r="W141" s="44">
        <v>0.100318080377098</v>
      </c>
      <c r="X141" s="44">
        <v>-0.423172823064357</v>
      </c>
      <c r="Y141">
        <v>9000</v>
      </c>
      <c r="Z141">
        <v>16</v>
      </c>
      <c r="AA141">
        <v>1</v>
      </c>
      <c r="AB141">
        <v>1</v>
      </c>
      <c r="AC141">
        <v>1</v>
      </c>
      <c r="AD141">
        <v>0.01</v>
      </c>
      <c r="AE141">
        <v>16</v>
      </c>
      <c r="AF141">
        <v>0</v>
      </c>
      <c r="AG141">
        <v>8.75</v>
      </c>
      <c r="AH141">
        <v>166.2</v>
      </c>
      <c r="AI141" t="s">
        <v>413</v>
      </c>
      <c r="AJ141">
        <v>8.75</v>
      </c>
      <c r="AK141" t="s">
        <v>410</v>
      </c>
    </row>
    <row r="142" spans="1:37" x14ac:dyDescent="0.3">
      <c r="A142">
        <v>9</v>
      </c>
      <c r="B142">
        <v>42</v>
      </c>
      <c r="C142">
        <v>0</v>
      </c>
      <c r="D142">
        <v>0</v>
      </c>
      <c r="E142" t="s">
        <v>18</v>
      </c>
      <c r="G142">
        <f>J142-S142</f>
        <v>-2.9367554475492801</v>
      </c>
      <c r="H142">
        <f>K142+T142</f>
        <v>0.346508594205718</v>
      </c>
      <c r="I142" s="121">
        <v>9</v>
      </c>
      <c r="J142" s="2">
        <v>0.43327088787000001</v>
      </c>
      <c r="K142" s="2">
        <v>3.7620382176999999E-2</v>
      </c>
      <c r="L142" s="122">
        <v>0.43490108695099999</v>
      </c>
      <c r="M142">
        <v>3.3700263354192801</v>
      </c>
      <c r="N142">
        <v>0.30888821202871802</v>
      </c>
      <c r="O142">
        <v>3.3841526899579701</v>
      </c>
      <c r="P142">
        <v>1.0705720000000001E-3</v>
      </c>
      <c r="Q142" s="44">
        <v>9.7781080000000006E-3</v>
      </c>
      <c r="R142">
        <v>0.99010600000000004</v>
      </c>
      <c r="S142">
        <f>ABS(M142)</f>
        <v>3.3700263354192801</v>
      </c>
      <c r="T142">
        <f t="shared" ref="T142:U142" si="70">ABS(N142)</f>
        <v>0.30888821202871802</v>
      </c>
      <c r="U142">
        <f t="shared" si="70"/>
        <v>3.3841526899579701</v>
      </c>
      <c r="W142" s="44">
        <v>0.43327088787003598</v>
      </c>
      <c r="X142" s="44">
        <v>3.76203821766041E-2</v>
      </c>
      <c r="Y142">
        <v>15000</v>
      </c>
      <c r="Z142">
        <v>16</v>
      </c>
      <c r="AA142">
        <v>1</v>
      </c>
      <c r="AB142">
        <v>1</v>
      </c>
      <c r="AC142">
        <v>1</v>
      </c>
      <c r="AD142">
        <v>0.01</v>
      </c>
      <c r="AE142">
        <v>16</v>
      </c>
      <c r="AF142">
        <v>0</v>
      </c>
      <c r="AG142">
        <v>9</v>
      </c>
      <c r="AH142">
        <v>276.2</v>
      </c>
      <c r="AI142" t="s">
        <v>414</v>
      </c>
      <c r="AJ142">
        <v>9</v>
      </c>
      <c r="AK142" t="s">
        <v>415</v>
      </c>
    </row>
    <row r="143" spans="1:37" hidden="1" x14ac:dyDescent="0.3">
      <c r="A143">
        <v>9</v>
      </c>
      <c r="B143">
        <v>42</v>
      </c>
      <c r="C143">
        <v>1</v>
      </c>
      <c r="D143">
        <v>0.1</v>
      </c>
      <c r="E143" t="s">
        <v>26</v>
      </c>
      <c r="F143">
        <v>0</v>
      </c>
      <c r="I143" s="121"/>
      <c r="J143" s="2"/>
      <c r="K143" s="2"/>
      <c r="L143" s="122"/>
      <c r="M143">
        <v>247.77100841990099</v>
      </c>
      <c r="N143">
        <v>703.27952038234196</v>
      </c>
      <c r="O143">
        <v>745.64908395479995</v>
      </c>
      <c r="P143">
        <v>0.34379539999999997</v>
      </c>
      <c r="Q143" s="44">
        <v>2.010079E-2</v>
      </c>
      <c r="R143">
        <v>0.97986300000000004</v>
      </c>
      <c r="W143" s="44">
        <v>0.43327088787003598</v>
      </c>
      <c r="X143" s="44">
        <v>3.76203821766041E-2</v>
      </c>
      <c r="Y143">
        <v>9000</v>
      </c>
      <c r="Z143">
        <v>16</v>
      </c>
      <c r="AA143">
        <v>1</v>
      </c>
      <c r="AB143">
        <v>1</v>
      </c>
      <c r="AC143">
        <v>1</v>
      </c>
      <c r="AD143">
        <v>0.01</v>
      </c>
      <c r="AE143">
        <v>16</v>
      </c>
      <c r="AF143">
        <v>0</v>
      </c>
      <c r="AG143">
        <v>9</v>
      </c>
      <c r="AH143">
        <v>166.5</v>
      </c>
      <c r="AI143" t="s">
        <v>416</v>
      </c>
      <c r="AJ143">
        <v>9</v>
      </c>
      <c r="AK143" t="s">
        <v>415</v>
      </c>
    </row>
    <row r="144" spans="1:37" hidden="1" x14ac:dyDescent="0.3">
      <c r="A144">
        <v>9</v>
      </c>
      <c r="B144">
        <v>45</v>
      </c>
      <c r="C144">
        <v>0</v>
      </c>
      <c r="D144">
        <v>0</v>
      </c>
      <c r="E144" t="s">
        <v>18</v>
      </c>
      <c r="G144">
        <f>J144-S144</f>
        <v>0.34252692932753342</v>
      </c>
      <c r="H144">
        <f>K144+T144</f>
        <v>0.40190539150132698</v>
      </c>
      <c r="I144" s="121">
        <v>9</v>
      </c>
      <c r="J144" s="2">
        <v>0.43327088787000001</v>
      </c>
      <c r="K144" s="2">
        <v>3.7620382176999999E-2</v>
      </c>
      <c r="L144" s="122">
        <v>0.43490108695099999</v>
      </c>
      <c r="M144">
        <v>9.0743958542466599E-2</v>
      </c>
      <c r="N144">
        <v>0.364285009324327</v>
      </c>
      <c r="O144">
        <v>0.37541714669202603</v>
      </c>
      <c r="P144">
        <v>3.3425779999999999E-7</v>
      </c>
      <c r="Q144" s="44">
        <v>6.5130650000000004E-8</v>
      </c>
      <c r="R144">
        <v>1</v>
      </c>
      <c r="S144">
        <f>ABS(M144)</f>
        <v>9.0743958542466599E-2</v>
      </c>
      <c r="T144">
        <f t="shared" ref="T144:U144" si="71">ABS(N144)</f>
        <v>0.364285009324327</v>
      </c>
      <c r="U144">
        <f t="shared" si="71"/>
        <v>0.37541714669202603</v>
      </c>
      <c r="W144" s="44">
        <v>0.43327088787003598</v>
      </c>
      <c r="X144" s="44">
        <v>3.76203821766041E-2</v>
      </c>
      <c r="Y144">
        <v>15000</v>
      </c>
      <c r="Z144">
        <v>16</v>
      </c>
      <c r="AA144">
        <v>1</v>
      </c>
      <c r="AB144">
        <v>1</v>
      </c>
      <c r="AC144">
        <v>1</v>
      </c>
      <c r="AD144">
        <v>0.01</v>
      </c>
      <c r="AE144">
        <v>16</v>
      </c>
      <c r="AF144">
        <v>0</v>
      </c>
      <c r="AG144">
        <v>9</v>
      </c>
      <c r="AH144">
        <v>277.8</v>
      </c>
      <c r="AI144" t="s">
        <v>417</v>
      </c>
      <c r="AJ144">
        <v>9</v>
      </c>
      <c r="AK144" t="s">
        <v>415</v>
      </c>
    </row>
    <row r="145" spans="1:37" hidden="1" x14ac:dyDescent="0.3">
      <c r="A145">
        <v>9</v>
      </c>
      <c r="B145">
        <v>45</v>
      </c>
      <c r="C145">
        <v>1</v>
      </c>
      <c r="D145">
        <v>0.1</v>
      </c>
      <c r="E145" t="s">
        <v>26</v>
      </c>
      <c r="F145">
        <v>0</v>
      </c>
      <c r="I145" s="121"/>
      <c r="J145" s="2"/>
      <c r="K145" s="2"/>
      <c r="L145" s="122"/>
      <c r="M145">
        <v>115062.38760347699</v>
      </c>
      <c r="N145">
        <v>-456218.236608946</v>
      </c>
      <c r="O145">
        <v>470504.44467145001</v>
      </c>
      <c r="P145">
        <v>26.612179999999999</v>
      </c>
      <c r="Q145" s="44">
        <v>5.5355439999999997E-4</v>
      </c>
      <c r="R145">
        <v>0.99969699999999995</v>
      </c>
      <c r="W145" s="44">
        <v>0.43327088787003598</v>
      </c>
      <c r="X145" s="44">
        <v>3.76203821766041E-2</v>
      </c>
      <c r="Y145">
        <v>9000</v>
      </c>
      <c r="Z145">
        <v>16</v>
      </c>
      <c r="AA145">
        <v>1</v>
      </c>
      <c r="AB145">
        <v>1</v>
      </c>
      <c r="AC145">
        <v>1</v>
      </c>
      <c r="AD145">
        <v>0.01</v>
      </c>
      <c r="AE145">
        <v>16</v>
      </c>
      <c r="AF145">
        <v>0</v>
      </c>
      <c r="AG145">
        <v>9</v>
      </c>
      <c r="AH145">
        <v>166.5</v>
      </c>
      <c r="AI145" t="s">
        <v>418</v>
      </c>
      <c r="AJ145">
        <v>9</v>
      </c>
      <c r="AK145" t="s">
        <v>415</v>
      </c>
    </row>
    <row r="146" spans="1:37" x14ac:dyDescent="0.3">
      <c r="A146">
        <v>9.25</v>
      </c>
      <c r="B146">
        <v>42</v>
      </c>
      <c r="C146">
        <v>0</v>
      </c>
      <c r="D146">
        <v>0</v>
      </c>
      <c r="E146" t="s">
        <v>18</v>
      </c>
      <c r="G146">
        <f>J146-S146</f>
        <v>-80849.485899066654</v>
      </c>
      <c r="H146">
        <f>K146+T146</f>
        <v>54010.566256326558</v>
      </c>
      <c r="I146" s="121">
        <v>9.25</v>
      </c>
      <c r="J146" s="2">
        <v>8.4413320390000005E-3</v>
      </c>
      <c r="K146" s="2">
        <v>0.43481915705800001</v>
      </c>
      <c r="L146" s="122">
        <v>0.43490108695099999</v>
      </c>
      <c r="M146">
        <v>80849.494340398698</v>
      </c>
      <c r="N146">
        <v>-54010.131437169497</v>
      </c>
      <c r="O146">
        <v>97230.319514843097</v>
      </c>
      <c r="P146">
        <v>1.030664</v>
      </c>
      <c r="Q146" s="44">
        <v>1.9760839999999998E-5</v>
      </c>
      <c r="R146">
        <v>0.99999099999999996</v>
      </c>
      <c r="S146">
        <f>ABS(M146)</f>
        <v>80849.494340398698</v>
      </c>
      <c r="T146">
        <f t="shared" ref="T146:U146" si="72">ABS(N146)</f>
        <v>54010.131437169497</v>
      </c>
      <c r="U146">
        <f t="shared" si="72"/>
        <v>97230.319514843097</v>
      </c>
      <c r="W146" s="44">
        <v>8.4413320387401406E-3</v>
      </c>
      <c r="X146" s="44">
        <v>0.434819157057523</v>
      </c>
      <c r="Y146">
        <v>15000</v>
      </c>
      <c r="Z146">
        <v>16</v>
      </c>
      <c r="AA146">
        <v>1</v>
      </c>
      <c r="AB146">
        <v>1</v>
      </c>
      <c r="AC146">
        <v>1</v>
      </c>
      <c r="AD146">
        <v>0.01</v>
      </c>
      <c r="AE146">
        <v>16</v>
      </c>
      <c r="AF146">
        <v>0</v>
      </c>
      <c r="AG146">
        <v>9.25</v>
      </c>
      <c r="AH146">
        <v>277.8</v>
      </c>
      <c r="AI146" t="s">
        <v>419</v>
      </c>
      <c r="AJ146">
        <v>9.25</v>
      </c>
      <c r="AK146" t="s">
        <v>420</v>
      </c>
    </row>
    <row r="147" spans="1:37" hidden="1" x14ac:dyDescent="0.3">
      <c r="A147">
        <v>9.25</v>
      </c>
      <c r="B147">
        <v>42</v>
      </c>
      <c r="C147">
        <v>1</v>
      </c>
      <c r="D147">
        <v>0.1</v>
      </c>
      <c r="E147" t="s">
        <v>26</v>
      </c>
      <c r="F147">
        <v>0</v>
      </c>
      <c r="I147" s="121"/>
      <c r="J147" s="2"/>
      <c r="K147" s="2"/>
      <c r="L147" s="122"/>
      <c r="M147">
        <v>3302.7100527076</v>
      </c>
      <c r="N147">
        <v>-19803.650580448601</v>
      </c>
      <c r="O147">
        <v>20077.162897300899</v>
      </c>
      <c r="P147">
        <v>2.5079739999999999</v>
      </c>
      <c r="Q147" s="44">
        <v>8.9118940000000005E-4</v>
      </c>
      <c r="R147">
        <v>0.99947799999999998</v>
      </c>
      <c r="W147" s="44">
        <v>8.4413320387401406E-3</v>
      </c>
      <c r="X147" s="44">
        <v>0.434819157057523</v>
      </c>
      <c r="Y147">
        <v>9000</v>
      </c>
      <c r="Z147">
        <v>16</v>
      </c>
      <c r="AA147">
        <v>1</v>
      </c>
      <c r="AB147">
        <v>1</v>
      </c>
      <c r="AC147">
        <v>1</v>
      </c>
      <c r="AD147">
        <v>0.01</v>
      </c>
      <c r="AE147">
        <v>16</v>
      </c>
      <c r="AF147">
        <v>0</v>
      </c>
      <c r="AG147">
        <v>9.25</v>
      </c>
      <c r="AH147">
        <v>166.5</v>
      </c>
      <c r="AI147" t="s">
        <v>421</v>
      </c>
      <c r="AJ147">
        <v>9.25</v>
      </c>
      <c r="AK147" t="s">
        <v>420</v>
      </c>
    </row>
    <row r="148" spans="1:37" hidden="1" x14ac:dyDescent="0.3">
      <c r="A148">
        <v>9.25</v>
      </c>
      <c r="B148">
        <v>45</v>
      </c>
      <c r="C148">
        <v>0</v>
      </c>
      <c r="D148">
        <v>0</v>
      </c>
      <c r="E148" t="s">
        <v>18</v>
      </c>
      <c r="G148">
        <f>J148-S148</f>
        <v>-0.35147222535282602</v>
      </c>
      <c r="H148">
        <f>K148+T148</f>
        <v>0.54713691704200096</v>
      </c>
      <c r="I148" s="121">
        <v>9.25</v>
      </c>
      <c r="J148" s="2">
        <v>8.4413320390000005E-3</v>
      </c>
      <c r="K148" s="2">
        <v>0.43481915705800001</v>
      </c>
      <c r="L148" s="122">
        <v>0.43490108695099999</v>
      </c>
      <c r="M148">
        <v>0.35991355739182601</v>
      </c>
      <c r="N148">
        <v>-0.11231775998400099</v>
      </c>
      <c r="O148">
        <v>0.37703189255322</v>
      </c>
      <c r="P148">
        <v>5.921016E-7</v>
      </c>
      <c r="Q148" s="44">
        <v>2.4268440000000003E-7</v>
      </c>
      <c r="R148">
        <v>1</v>
      </c>
      <c r="S148">
        <f>ABS(M148)</f>
        <v>0.35991355739182601</v>
      </c>
      <c r="T148">
        <f t="shared" ref="T148:U148" si="73">ABS(N148)</f>
        <v>0.11231775998400099</v>
      </c>
      <c r="U148">
        <f t="shared" si="73"/>
        <v>0.37703189255322</v>
      </c>
      <c r="W148" s="44">
        <v>8.4413320387401406E-3</v>
      </c>
      <c r="X148" s="44">
        <v>0.434819157057523</v>
      </c>
      <c r="Y148">
        <v>15000</v>
      </c>
      <c r="Z148">
        <v>16</v>
      </c>
      <c r="AA148">
        <v>1</v>
      </c>
      <c r="AB148">
        <v>1</v>
      </c>
      <c r="AC148">
        <v>1</v>
      </c>
      <c r="AD148">
        <v>0.01</v>
      </c>
      <c r="AE148">
        <v>16</v>
      </c>
      <c r="AF148">
        <v>0</v>
      </c>
      <c r="AG148">
        <v>9.25</v>
      </c>
      <c r="AH148">
        <v>278.39999999999998</v>
      </c>
      <c r="AI148" t="s">
        <v>422</v>
      </c>
      <c r="AJ148">
        <v>9.25</v>
      </c>
      <c r="AK148" t="s">
        <v>420</v>
      </c>
    </row>
    <row r="149" spans="1:37" hidden="1" x14ac:dyDescent="0.3">
      <c r="A149">
        <v>9.25</v>
      </c>
      <c r="B149">
        <v>45</v>
      </c>
      <c r="C149">
        <v>1</v>
      </c>
      <c r="D149">
        <v>0.1</v>
      </c>
      <c r="E149" t="s">
        <v>26</v>
      </c>
      <c r="F149">
        <v>0</v>
      </c>
      <c r="I149" s="121"/>
      <c r="J149" s="2"/>
      <c r="K149" s="2"/>
      <c r="L149" s="122"/>
      <c r="M149">
        <v>90.019968670378603</v>
      </c>
      <c r="N149">
        <v>-228.434640382015</v>
      </c>
      <c r="O149">
        <v>245.53203393014999</v>
      </c>
      <c r="P149">
        <v>1.6418550000000001E-2</v>
      </c>
      <c r="Q149" s="44">
        <v>6.1881890000000002E-4</v>
      </c>
      <c r="R149">
        <v>0.99929400000000002</v>
      </c>
      <c r="W149" s="44">
        <v>8.4413320387401406E-3</v>
      </c>
      <c r="X149" s="44">
        <v>0.434819157057523</v>
      </c>
      <c r="Y149">
        <v>9000</v>
      </c>
      <c r="Z149">
        <v>16</v>
      </c>
      <c r="AA149">
        <v>1</v>
      </c>
      <c r="AB149">
        <v>1</v>
      </c>
      <c r="AC149">
        <v>1</v>
      </c>
      <c r="AD149">
        <v>0.01</v>
      </c>
      <c r="AE149">
        <v>16</v>
      </c>
      <c r="AF149">
        <v>0</v>
      </c>
      <c r="AG149">
        <v>9.25</v>
      </c>
      <c r="AH149">
        <v>166.3</v>
      </c>
      <c r="AI149" t="s">
        <v>423</v>
      </c>
      <c r="AJ149">
        <v>9.25</v>
      </c>
      <c r="AK149" t="s">
        <v>420</v>
      </c>
    </row>
    <row r="150" spans="1:37" x14ac:dyDescent="0.3">
      <c r="A150">
        <v>9.5</v>
      </c>
      <c r="B150">
        <v>42</v>
      </c>
      <c r="C150">
        <v>0</v>
      </c>
      <c r="D150">
        <v>0</v>
      </c>
      <c r="E150" t="s">
        <v>18</v>
      </c>
      <c r="G150">
        <f>J150-S150</f>
        <v>-8370.5021816068038</v>
      </c>
      <c r="H150">
        <f>K150+T150</f>
        <v>24291.951595713206</v>
      </c>
      <c r="I150" s="121">
        <v>9.5</v>
      </c>
      <c r="J150" s="2">
        <v>-0.43331975438300002</v>
      </c>
      <c r="K150" s="2">
        <v>3.7053284504999999E-2</v>
      </c>
      <c r="L150" s="122">
        <v>0.43490108695099999</v>
      </c>
      <c r="M150">
        <v>8370.06886185242</v>
      </c>
      <c r="N150">
        <v>24291.914542428702</v>
      </c>
      <c r="O150">
        <v>25693.484872411002</v>
      </c>
      <c r="P150">
        <v>0.25340699999999999</v>
      </c>
      <c r="Q150" s="44">
        <v>5.6203719999999997E-6</v>
      </c>
      <c r="R150">
        <v>0.99999499999999997</v>
      </c>
      <c r="S150">
        <f>ABS(M150)</f>
        <v>8370.06886185242</v>
      </c>
      <c r="T150">
        <f t="shared" ref="T150:U150" si="74">ABS(N150)</f>
        <v>24291.914542428702</v>
      </c>
      <c r="U150">
        <f t="shared" si="74"/>
        <v>25693.484872411002</v>
      </c>
      <c r="W150" s="44">
        <v>-0.43331975438257297</v>
      </c>
      <c r="X150" s="44">
        <v>3.70532845052906E-2</v>
      </c>
      <c r="Y150">
        <v>15000</v>
      </c>
      <c r="Z150">
        <v>16</v>
      </c>
      <c r="AA150">
        <v>1</v>
      </c>
      <c r="AB150">
        <v>1</v>
      </c>
      <c r="AC150">
        <v>1</v>
      </c>
      <c r="AD150">
        <v>0.01</v>
      </c>
      <c r="AE150">
        <v>16</v>
      </c>
      <c r="AF150">
        <v>0</v>
      </c>
      <c r="AG150">
        <v>9.5</v>
      </c>
      <c r="AH150">
        <v>277.7</v>
      </c>
      <c r="AI150" t="s">
        <v>424</v>
      </c>
      <c r="AJ150">
        <v>9.5</v>
      </c>
      <c r="AK150" t="s">
        <v>425</v>
      </c>
    </row>
    <row r="151" spans="1:37" hidden="1" x14ac:dyDescent="0.3">
      <c r="A151">
        <v>9.5</v>
      </c>
      <c r="B151">
        <v>42</v>
      </c>
      <c r="C151">
        <v>1</v>
      </c>
      <c r="D151">
        <v>0.1</v>
      </c>
      <c r="E151" t="s">
        <v>26</v>
      </c>
      <c r="F151">
        <v>0</v>
      </c>
      <c r="I151" s="121"/>
      <c r="J151" s="2"/>
      <c r="K151" s="2"/>
      <c r="L151" s="122"/>
      <c r="M151">
        <v>25560.639766885299</v>
      </c>
      <c r="N151">
        <v>-99165.636835828205</v>
      </c>
      <c r="O151">
        <v>102406.883725401</v>
      </c>
      <c r="P151">
        <v>23.78922</v>
      </c>
      <c r="Q151" s="44">
        <v>4.0711790000000003E-3</v>
      </c>
      <c r="R151">
        <v>0.99536100000000005</v>
      </c>
      <c r="W151" s="44">
        <v>-0.43331975438257297</v>
      </c>
      <c r="X151" s="44">
        <v>3.70532845052906E-2</v>
      </c>
      <c r="Y151">
        <v>9000</v>
      </c>
      <c r="Z151">
        <v>16</v>
      </c>
      <c r="AA151">
        <v>1</v>
      </c>
      <c r="AB151">
        <v>1</v>
      </c>
      <c r="AC151">
        <v>1</v>
      </c>
      <c r="AD151">
        <v>0.01</v>
      </c>
      <c r="AE151">
        <v>16</v>
      </c>
      <c r="AF151">
        <v>0</v>
      </c>
      <c r="AG151">
        <v>9.5</v>
      </c>
      <c r="AH151">
        <v>168.2</v>
      </c>
      <c r="AI151" t="s">
        <v>426</v>
      </c>
      <c r="AJ151">
        <v>9.5</v>
      </c>
      <c r="AK151" t="s">
        <v>425</v>
      </c>
    </row>
    <row r="152" spans="1:37" hidden="1" x14ac:dyDescent="0.3">
      <c r="A152">
        <v>9.5</v>
      </c>
      <c r="B152">
        <v>45</v>
      </c>
      <c r="C152">
        <v>0</v>
      </c>
      <c r="D152">
        <v>0</v>
      </c>
      <c r="E152" t="s">
        <v>18</v>
      </c>
      <c r="G152">
        <f>J152-S152</f>
        <v>-3566.3432343269028</v>
      </c>
      <c r="H152">
        <f>K152+T152</f>
        <v>151.20724467105899</v>
      </c>
      <c r="I152" s="121">
        <v>9.5</v>
      </c>
      <c r="J152" s="2">
        <v>-0.43331975438300002</v>
      </c>
      <c r="K152" s="2">
        <v>3.7053284504999999E-2</v>
      </c>
      <c r="L152" s="122">
        <v>0.43490108695099999</v>
      </c>
      <c r="M152">
        <v>-3565.9099145725199</v>
      </c>
      <c r="N152">
        <v>-151.170191386554</v>
      </c>
      <c r="O152">
        <v>3569.1127672869102</v>
      </c>
      <c r="P152">
        <v>3.7439670000000001E-2</v>
      </c>
      <c r="Q152" s="44">
        <v>6.0971259999999999E-6</v>
      </c>
      <c r="R152">
        <v>0.99996099999999999</v>
      </c>
      <c r="S152">
        <f>ABS(M152)</f>
        <v>3565.9099145725199</v>
      </c>
      <c r="T152">
        <f t="shared" ref="T152:U152" si="75">ABS(N152)</f>
        <v>151.170191386554</v>
      </c>
      <c r="U152">
        <f t="shared" si="75"/>
        <v>3569.1127672869102</v>
      </c>
      <c r="W152" s="44">
        <v>-0.43331975438257297</v>
      </c>
      <c r="X152" s="44">
        <v>3.70532845052906E-2</v>
      </c>
      <c r="Y152">
        <v>15000</v>
      </c>
      <c r="Z152">
        <v>16</v>
      </c>
      <c r="AA152">
        <v>1</v>
      </c>
      <c r="AB152">
        <v>1</v>
      </c>
      <c r="AC152">
        <v>1</v>
      </c>
      <c r="AD152">
        <v>0.01</v>
      </c>
      <c r="AE152">
        <v>16</v>
      </c>
      <c r="AF152">
        <v>0</v>
      </c>
      <c r="AG152">
        <v>9.5</v>
      </c>
      <c r="AH152">
        <v>277.89999999999998</v>
      </c>
      <c r="AI152" t="s">
        <v>427</v>
      </c>
      <c r="AJ152">
        <v>9.5</v>
      </c>
      <c r="AK152" t="s">
        <v>425</v>
      </c>
    </row>
    <row r="153" spans="1:37" hidden="1" x14ac:dyDescent="0.3">
      <c r="A153">
        <v>9.5</v>
      </c>
      <c r="B153">
        <v>45</v>
      </c>
      <c r="C153">
        <v>1</v>
      </c>
      <c r="D153">
        <v>0.1</v>
      </c>
      <c r="E153" t="s">
        <v>26</v>
      </c>
      <c r="F153">
        <v>0</v>
      </c>
      <c r="I153" s="121"/>
      <c r="J153" s="2"/>
      <c r="K153" s="2"/>
      <c r="L153" s="122"/>
      <c r="M153">
        <v>-1636354.8647262901</v>
      </c>
      <c r="N153">
        <v>987896.93838850001</v>
      </c>
      <c r="O153">
        <v>1911438.6216122101</v>
      </c>
      <c r="P153">
        <v>69.764939999999996</v>
      </c>
      <c r="Q153" s="44">
        <v>1.5257779999999999E-4</v>
      </c>
      <c r="R153">
        <v>0.99986399999999998</v>
      </c>
      <c r="W153" s="44">
        <v>-0.43331975438257297</v>
      </c>
      <c r="X153" s="44">
        <v>3.70532845052906E-2</v>
      </c>
      <c r="Y153">
        <v>9000</v>
      </c>
      <c r="Z153">
        <v>16</v>
      </c>
      <c r="AA153">
        <v>1</v>
      </c>
      <c r="AB153">
        <v>1</v>
      </c>
      <c r="AC153">
        <v>1</v>
      </c>
      <c r="AD153">
        <v>0.01</v>
      </c>
      <c r="AE153">
        <v>16</v>
      </c>
      <c r="AF153">
        <v>0</v>
      </c>
      <c r="AG153">
        <v>9.5</v>
      </c>
      <c r="AH153">
        <v>166.6</v>
      </c>
      <c r="AI153" t="s">
        <v>428</v>
      </c>
      <c r="AJ153">
        <v>9.5</v>
      </c>
      <c r="AK153" t="s">
        <v>425</v>
      </c>
    </row>
    <row r="154" spans="1:37" x14ac:dyDescent="0.3">
      <c r="A154">
        <v>9.75</v>
      </c>
      <c r="B154">
        <v>42</v>
      </c>
      <c r="C154">
        <v>0</v>
      </c>
      <c r="D154">
        <v>0</v>
      </c>
      <c r="E154" t="s">
        <v>18</v>
      </c>
      <c r="G154">
        <f>J154-S154</f>
        <v>-4.8217115732639954E-2</v>
      </c>
      <c r="H154">
        <f>K154+T154</f>
        <v>-0.43220841803021903</v>
      </c>
      <c r="I154" s="121">
        <v>9.75</v>
      </c>
      <c r="J154" s="2">
        <v>-4.8202492850000001E-2</v>
      </c>
      <c r="K154" s="2">
        <v>-0.4322215579</v>
      </c>
      <c r="L154" s="122">
        <v>0.43490108695099999</v>
      </c>
      <c r="M154">
        <v>-1.4622882639953899E-5</v>
      </c>
      <c r="N154">
        <v>1.3139869780980199E-5</v>
      </c>
      <c r="O154">
        <v>1.9659218564403398E-5</v>
      </c>
      <c r="P154">
        <v>1.0101000000000001E-9</v>
      </c>
      <c r="Q154" s="44">
        <v>9.6684949999999997E-5</v>
      </c>
      <c r="R154">
        <v>0.99986399999999998</v>
      </c>
      <c r="S154">
        <f>ABS(M154)</f>
        <v>1.4622882639953899E-5</v>
      </c>
      <c r="T154">
        <f t="shared" ref="T154:U154" si="76">ABS(N154)</f>
        <v>1.3139869780980199E-5</v>
      </c>
      <c r="U154">
        <f t="shared" si="76"/>
        <v>1.9659218564403398E-5</v>
      </c>
      <c r="W154" s="44">
        <v>-4.8202492850108601E-2</v>
      </c>
      <c r="X154" s="44">
        <v>-0.43222155790038802</v>
      </c>
      <c r="Y154">
        <v>15000</v>
      </c>
      <c r="Z154">
        <v>16</v>
      </c>
      <c r="AA154">
        <v>1</v>
      </c>
      <c r="AB154">
        <v>1</v>
      </c>
      <c r="AC154">
        <v>1</v>
      </c>
      <c r="AD154">
        <v>0.01</v>
      </c>
      <c r="AE154">
        <v>16</v>
      </c>
      <c r="AF154">
        <v>0</v>
      </c>
      <c r="AG154">
        <v>9.75</v>
      </c>
      <c r="AH154">
        <v>278.2</v>
      </c>
      <c r="AI154" t="s">
        <v>429</v>
      </c>
      <c r="AJ154">
        <v>9.75</v>
      </c>
      <c r="AK154" t="s">
        <v>430</v>
      </c>
    </row>
    <row r="155" spans="1:37" hidden="1" x14ac:dyDescent="0.3">
      <c r="A155">
        <v>9.75</v>
      </c>
      <c r="B155">
        <v>42</v>
      </c>
      <c r="C155">
        <v>1</v>
      </c>
      <c r="D155">
        <v>0.1</v>
      </c>
      <c r="E155" t="s">
        <v>26</v>
      </c>
      <c r="F155">
        <v>0</v>
      </c>
      <c r="I155" s="121"/>
      <c r="J155" s="2"/>
      <c r="K155" s="2"/>
      <c r="L155" s="122"/>
      <c r="M155">
        <v>-7.5933406927129003E-5</v>
      </c>
      <c r="N155">
        <v>1.07621622933765E-4</v>
      </c>
      <c r="O155">
        <v>1.3171293030852499E-4</v>
      </c>
      <c r="P155">
        <v>8.8556189999999993E-9</v>
      </c>
      <c r="Q155" s="44">
        <v>3.1499160000000002E-4</v>
      </c>
      <c r="R155">
        <v>0.99962499999999999</v>
      </c>
      <c r="W155" s="44">
        <v>-4.8202492850108601E-2</v>
      </c>
      <c r="X155" s="44">
        <v>-0.43222155790038802</v>
      </c>
      <c r="Y155">
        <v>9000</v>
      </c>
      <c r="Z155">
        <v>16</v>
      </c>
      <c r="AA155">
        <v>1</v>
      </c>
      <c r="AB155">
        <v>1</v>
      </c>
      <c r="AC155">
        <v>1</v>
      </c>
      <c r="AD155">
        <v>0.01</v>
      </c>
      <c r="AE155">
        <v>16</v>
      </c>
      <c r="AF155">
        <v>0</v>
      </c>
      <c r="AG155">
        <v>9.75</v>
      </c>
      <c r="AH155">
        <v>166.9</v>
      </c>
      <c r="AI155" t="s">
        <v>431</v>
      </c>
      <c r="AJ155">
        <v>9.75</v>
      </c>
      <c r="AK155" t="s">
        <v>430</v>
      </c>
    </row>
    <row r="156" spans="1:37" ht="15" hidden="1" thickBot="1" x14ac:dyDescent="0.35">
      <c r="A156">
        <v>9.75</v>
      </c>
      <c r="B156">
        <v>45</v>
      </c>
      <c r="C156">
        <v>0</v>
      </c>
      <c r="D156">
        <v>0</v>
      </c>
      <c r="E156" t="s">
        <v>18</v>
      </c>
      <c r="G156">
        <f>J156-S156</f>
        <v>-8.6459779856343594E-2</v>
      </c>
      <c r="H156">
        <f>K156+T156</f>
        <v>-0.42254257668097994</v>
      </c>
      <c r="I156" s="123">
        <v>9.75</v>
      </c>
      <c r="J156" s="124">
        <v>-4.8202492850000001E-2</v>
      </c>
      <c r="K156" s="124">
        <v>-0.4322215579</v>
      </c>
      <c r="L156" s="125">
        <v>0.43490108695099999</v>
      </c>
      <c r="M156">
        <v>3.82572870063436E-2</v>
      </c>
      <c r="N156">
        <v>9.6789812190200501E-3</v>
      </c>
      <c r="O156">
        <v>3.9462674599219497E-2</v>
      </c>
      <c r="P156">
        <v>8.9372260000000005E-7</v>
      </c>
      <c r="Q156" s="44">
        <v>4.8402280000000001E-5</v>
      </c>
      <c r="R156">
        <v>0.99994300000000003</v>
      </c>
      <c r="S156">
        <f>ABS(M156)</f>
        <v>3.82572870063436E-2</v>
      </c>
      <c r="T156">
        <f t="shared" ref="T156:U156" si="77">ABS(N156)</f>
        <v>9.6789812190200501E-3</v>
      </c>
      <c r="U156">
        <f t="shared" si="77"/>
        <v>3.9462674599219497E-2</v>
      </c>
      <c r="W156" s="44">
        <v>-4.8202492850108601E-2</v>
      </c>
      <c r="X156" s="44">
        <v>-0.43222155790038802</v>
      </c>
      <c r="Y156">
        <v>15000</v>
      </c>
      <c r="Z156">
        <v>16</v>
      </c>
      <c r="AA156">
        <v>1</v>
      </c>
      <c r="AB156">
        <v>1</v>
      </c>
      <c r="AC156">
        <v>1</v>
      </c>
      <c r="AD156">
        <v>0.01</v>
      </c>
      <c r="AE156">
        <v>16</v>
      </c>
      <c r="AF156">
        <v>0</v>
      </c>
      <c r="AG156">
        <v>9.75</v>
      </c>
      <c r="AH156">
        <v>276.2</v>
      </c>
      <c r="AI156" t="s">
        <v>432</v>
      </c>
      <c r="AJ156">
        <v>9.75</v>
      </c>
      <c r="AK156" t="s">
        <v>430</v>
      </c>
    </row>
    <row r="157" spans="1:37" hidden="1" x14ac:dyDescent="0.3">
      <c r="A157">
        <v>9.75</v>
      </c>
      <c r="B157">
        <v>45</v>
      </c>
      <c r="C157">
        <v>1</v>
      </c>
      <c r="D157">
        <v>0.1</v>
      </c>
      <c r="E157" t="s">
        <v>26</v>
      </c>
      <c r="F157">
        <v>0</v>
      </c>
      <c r="M157">
        <v>5.7544273390945004E-4</v>
      </c>
      <c r="N157">
        <v>-7.1189846247664301E-4</v>
      </c>
      <c r="O157">
        <v>9.1538721909680898E-4</v>
      </c>
      <c r="P157">
        <v>2.8497929999999999E-8</v>
      </c>
      <c r="Q157" s="44">
        <v>9.0945990000000006E-5</v>
      </c>
      <c r="R157">
        <v>0.99992000000000003</v>
      </c>
      <c r="W157" s="44">
        <v>-4.8202492850108601E-2</v>
      </c>
      <c r="X157" s="44">
        <v>-0.43222155790038802</v>
      </c>
      <c r="Y157">
        <v>9000</v>
      </c>
      <c r="Z157">
        <v>16</v>
      </c>
      <c r="AA157">
        <v>1</v>
      </c>
      <c r="AB157">
        <v>1</v>
      </c>
      <c r="AC157">
        <v>1</v>
      </c>
      <c r="AD157">
        <v>0.01</v>
      </c>
      <c r="AE157">
        <v>16</v>
      </c>
      <c r="AF157">
        <v>0</v>
      </c>
      <c r="AG157">
        <v>9.75</v>
      </c>
      <c r="AH157">
        <v>169.1</v>
      </c>
      <c r="AI157" t="s">
        <v>433</v>
      </c>
      <c r="AJ157">
        <v>9.75</v>
      </c>
      <c r="AK157" t="s">
        <v>430</v>
      </c>
    </row>
    <row r="161" spans="6:6" x14ac:dyDescent="0.3">
      <c r="F161" t="s">
        <v>434</v>
      </c>
    </row>
  </sheetData>
  <autoFilter ref="A1:AK157" xr:uid="{C2E589AE-B68F-40A6-BA76-FB1AE22F7C8B}">
    <filterColumn colId="1">
      <filters>
        <filter val="42"/>
      </filters>
    </filterColumn>
    <filterColumn colId="2">
      <filters>
        <filter val="0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2A279-A364-4EB9-959E-360BD31A3014}">
  <dimension ref="A1:BA22"/>
  <sheetViews>
    <sheetView topLeftCell="E1" workbookViewId="0">
      <selection activeCell="I3" sqref="I3:I20"/>
    </sheetView>
  </sheetViews>
  <sheetFormatPr defaultRowHeight="14.4" x14ac:dyDescent="0.3"/>
  <cols>
    <col min="22" max="22" width="12.6640625" bestFit="1" customWidth="1"/>
    <col min="31" max="32" width="12.6640625" bestFit="1" customWidth="1"/>
    <col min="33" max="36" width="12.6640625" customWidth="1"/>
    <col min="61" max="61" width="12" bestFit="1" customWidth="1"/>
  </cols>
  <sheetData>
    <row r="1" spans="1:53" x14ac:dyDescent="0.3">
      <c r="G1" t="s">
        <v>185</v>
      </c>
      <c r="J1" s="99" t="s">
        <v>182</v>
      </c>
      <c r="K1" s="99" t="s">
        <v>228</v>
      </c>
      <c r="L1" s="99"/>
      <c r="M1" s="105"/>
      <c r="N1" s="106"/>
      <c r="O1" s="106"/>
      <c r="P1" s="107"/>
      <c r="Q1" s="108" t="s">
        <v>83</v>
      </c>
      <c r="R1" s="4"/>
      <c r="S1" s="13"/>
      <c r="T1" s="13"/>
      <c r="U1" s="13"/>
      <c r="V1" s="13"/>
      <c r="W1" s="13"/>
      <c r="X1" s="2"/>
      <c r="Y1" s="2" t="s">
        <v>225</v>
      </c>
      <c r="Z1" s="2"/>
      <c r="AA1" t="s">
        <v>227</v>
      </c>
      <c r="AC1" s="104" t="s">
        <v>224</v>
      </c>
      <c r="AD1" s="104"/>
      <c r="AG1" s="118" t="s">
        <v>233</v>
      </c>
      <c r="AH1" s="119"/>
      <c r="AI1" s="119" t="s">
        <v>234</v>
      </c>
      <c r="AJ1" s="120"/>
    </row>
    <row r="2" spans="1:53" x14ac:dyDescent="0.3">
      <c r="A2" t="s">
        <v>3</v>
      </c>
      <c r="B2" t="s">
        <v>0</v>
      </c>
      <c r="C2" t="s">
        <v>3</v>
      </c>
      <c r="D2" t="s">
        <v>91</v>
      </c>
      <c r="E2" t="s">
        <v>0</v>
      </c>
      <c r="F2" t="s">
        <v>92</v>
      </c>
      <c r="I2" s="99" t="s">
        <v>28</v>
      </c>
      <c r="J2" s="99" t="s">
        <v>44</v>
      </c>
      <c r="K2" s="99" t="s">
        <v>45</v>
      </c>
      <c r="L2" s="99" t="s">
        <v>30</v>
      </c>
      <c r="M2" s="109" t="s">
        <v>94</v>
      </c>
      <c r="N2" s="110" t="s">
        <v>95</v>
      </c>
      <c r="O2" s="110" t="s">
        <v>30</v>
      </c>
      <c r="P2" s="4" t="s">
        <v>75</v>
      </c>
      <c r="Q2" s="111" t="s">
        <v>62</v>
      </c>
      <c r="R2" s="4"/>
      <c r="S2" s="13" t="s">
        <v>75</v>
      </c>
      <c r="T2" s="13" t="s">
        <v>229</v>
      </c>
      <c r="U2" s="13"/>
      <c r="V2" s="13"/>
      <c r="W2" s="13"/>
      <c r="X2" s="2" t="s">
        <v>28</v>
      </c>
      <c r="Y2" s="2" t="s">
        <v>222</v>
      </c>
      <c r="Z2" s="2" t="s">
        <v>223</v>
      </c>
      <c r="AA2" s="4"/>
      <c r="AB2" s="4"/>
      <c r="AC2" s="104" t="s">
        <v>222</v>
      </c>
      <c r="AD2" s="104" t="s">
        <v>223</v>
      </c>
      <c r="AG2" s="121" t="s">
        <v>231</v>
      </c>
      <c r="AH2" s="2" t="s">
        <v>232</v>
      </c>
      <c r="AI2" s="2"/>
      <c r="AJ2" s="122"/>
      <c r="AK2" s="4"/>
      <c r="AL2" t="s">
        <v>8</v>
      </c>
      <c r="AM2" t="s">
        <v>9</v>
      </c>
      <c r="AN2" t="s">
        <v>10</v>
      </c>
      <c r="AO2" t="s">
        <v>16</v>
      </c>
      <c r="AP2" t="s">
        <v>17</v>
      </c>
      <c r="AQ2" t="s">
        <v>96</v>
      </c>
      <c r="AR2" t="s">
        <v>18</v>
      </c>
      <c r="AS2" t="s">
        <v>19</v>
      </c>
      <c r="AT2" t="s">
        <v>20</v>
      </c>
      <c r="AU2" t="s">
        <v>21</v>
      </c>
      <c r="AV2" t="s">
        <v>22</v>
      </c>
      <c r="AW2" t="s">
        <v>23</v>
      </c>
      <c r="AX2" t="s">
        <v>1</v>
      </c>
      <c r="AY2" t="s">
        <v>2</v>
      </c>
      <c r="AZ2" t="s">
        <v>25</v>
      </c>
      <c r="BA2" t="s">
        <v>97</v>
      </c>
    </row>
    <row r="3" spans="1:53" x14ac:dyDescent="0.3">
      <c r="A3">
        <v>45</v>
      </c>
      <c r="B3">
        <v>0</v>
      </c>
      <c r="C3">
        <v>45</v>
      </c>
      <c r="D3">
        <v>0</v>
      </c>
      <c r="E3">
        <v>0</v>
      </c>
      <c r="F3" t="s">
        <v>18</v>
      </c>
      <c r="G3">
        <f>J3-M3</f>
        <v>2.9164510595403037E-4</v>
      </c>
      <c r="H3">
        <f>K3-N3</f>
        <v>1.0139897489097605E-4</v>
      </c>
      <c r="I3" s="99">
        <v>0</v>
      </c>
      <c r="J3" s="99">
        <v>0.30752200000000002</v>
      </c>
      <c r="K3" s="99">
        <v>-0.30752200000000002</v>
      </c>
      <c r="L3" s="99">
        <v>0.43490099999999998</v>
      </c>
      <c r="M3" s="109">
        <v>0.30723035489404599</v>
      </c>
      <c r="N3" s="110">
        <v>-0.30762339897489099</v>
      </c>
      <c r="O3" s="110">
        <v>0.434767347629955</v>
      </c>
      <c r="P3" s="4">
        <f>M3*-1</f>
        <v>-0.30723035489404599</v>
      </c>
      <c r="Q3" s="111">
        <f t="shared" ref="Q3:Q20" si="0">N3*-1</f>
        <v>0.30762339897489099</v>
      </c>
      <c r="R3" s="4"/>
      <c r="S3" s="13">
        <f t="shared" ref="S3:S19" si="1">P3+Y3</f>
        <v>2.9115283411501602E-4</v>
      </c>
      <c r="T3" s="13">
        <f t="shared" ref="T3:T19" si="2">Q3+Z3</f>
        <v>1.0189124672999039E-4</v>
      </c>
      <c r="U3" s="13">
        <f>P3+Q3</f>
        <v>3.9304408084500642E-4</v>
      </c>
      <c r="V3" s="13">
        <f t="shared" ref="V3:V19" si="3">P4-P3</f>
        <v>-2.7209470222999688E-5</v>
      </c>
      <c r="W3" s="13">
        <f t="shared" ref="W3:W19" si="4">Q4-Q3</f>
        <v>-2.1476925727015317E-5</v>
      </c>
      <c r="X3" s="2">
        <v>0</v>
      </c>
      <c r="Y3" s="2">
        <v>0.307521507728161</v>
      </c>
      <c r="Z3" s="2">
        <v>-0.307521507728161</v>
      </c>
      <c r="AA3" s="4">
        <f t="shared" ref="AA3:AA19" si="5">Y3-AC3</f>
        <v>0</v>
      </c>
      <c r="AB3" s="4">
        <f t="shared" ref="AB3:AB19" si="6">Z3-AD3</f>
        <v>0</v>
      </c>
      <c r="AC3" s="104">
        <v>0.307521507728161</v>
      </c>
      <c r="AD3" s="104">
        <v>-0.307521507728161</v>
      </c>
      <c r="AE3">
        <f t="shared" ref="AE3:AE19" si="7">AC3+K3</f>
        <v>-4.9227183901434657E-7</v>
      </c>
      <c r="AF3">
        <f t="shared" ref="AF3:AF19" si="8">AD3+J3</f>
        <v>4.9227183901434657E-7</v>
      </c>
      <c r="AG3" s="121">
        <v>0.30752200000000002</v>
      </c>
      <c r="AH3" s="2">
        <v>-0.30752200000000002</v>
      </c>
      <c r="AI3" s="2">
        <f t="shared" ref="AI3:AI19" si="9">Z3+AG3</f>
        <v>4.9227183901434657E-7</v>
      </c>
      <c r="AJ3" s="122">
        <f t="shared" ref="AJ3:AJ19" si="10">Y3+AH3</f>
        <v>-4.9227183901434657E-7</v>
      </c>
      <c r="AK3" s="4"/>
      <c r="AL3">
        <v>2.6007479999999999E-9</v>
      </c>
      <c r="AM3" s="44">
        <v>4.34639E-12</v>
      </c>
      <c r="AN3">
        <v>1</v>
      </c>
      <c r="AO3">
        <v>0.307521507728162</v>
      </c>
      <c r="AP3">
        <v>-0.307521507728162</v>
      </c>
      <c r="AQ3">
        <v>15000</v>
      </c>
      <c r="AR3">
        <v>16</v>
      </c>
      <c r="AS3">
        <v>1</v>
      </c>
      <c r="AT3">
        <v>1</v>
      </c>
      <c r="AU3">
        <v>1</v>
      </c>
      <c r="AV3">
        <v>0.01</v>
      </c>
      <c r="AW3">
        <v>16</v>
      </c>
      <c r="AX3">
        <v>0</v>
      </c>
      <c r="AY3">
        <v>0</v>
      </c>
      <c r="AZ3">
        <v>1411.9</v>
      </c>
      <c r="BA3" t="s">
        <v>162</v>
      </c>
    </row>
    <row r="4" spans="1:53" x14ac:dyDescent="0.3">
      <c r="A4">
        <v>45</v>
      </c>
      <c r="B4">
        <v>0.01</v>
      </c>
      <c r="C4">
        <v>45</v>
      </c>
      <c r="D4">
        <v>1</v>
      </c>
      <c r="E4">
        <v>0.01</v>
      </c>
      <c r="F4" t="s">
        <v>26</v>
      </c>
      <c r="G4">
        <f t="shared" ref="G4:G20" si="11">J4-M4</f>
        <v>1.7443563573099619E-4</v>
      </c>
      <c r="H4">
        <f t="shared" ref="H4:H20" si="12">K4-N4</f>
        <v>-9.0779508360450123E-6</v>
      </c>
      <c r="I4" s="99">
        <v>0.01</v>
      </c>
      <c r="J4" s="99">
        <v>0.30743199999999998</v>
      </c>
      <c r="K4" s="99">
        <v>-0.30761100000000002</v>
      </c>
      <c r="L4" s="99">
        <v>0.43490099999999998</v>
      </c>
      <c r="M4" s="109">
        <v>0.30725756436426899</v>
      </c>
      <c r="N4" s="110">
        <v>-0.30760192204916398</v>
      </c>
      <c r="O4" s="110">
        <v>0.434771380506356</v>
      </c>
      <c r="P4" s="4">
        <f t="shared" ref="P4:P20" si="13">M4*-1</f>
        <v>-0.30725756436426899</v>
      </c>
      <c r="Q4" s="111">
        <f t="shared" si="0"/>
        <v>0.30760192204916398</v>
      </c>
      <c r="R4" s="4"/>
      <c r="S4" s="13">
        <f t="shared" si="1"/>
        <v>3.5340625183399865E-4</v>
      </c>
      <c r="T4" s="13">
        <f t="shared" si="2"/>
        <v>1.7002751187999987E-4</v>
      </c>
      <c r="U4" s="13">
        <f t="shared" ref="U4:U20" si="14">P4+Q4</f>
        <v>3.4435768489499141E-4</v>
      </c>
      <c r="V4" s="13">
        <f t="shared" si="3"/>
        <v>-3.5630384056001274E-4</v>
      </c>
      <c r="W4" s="13">
        <f t="shared" si="4"/>
        <v>-3.5512362948997289E-4</v>
      </c>
      <c r="X4" s="2">
        <v>0.01</v>
      </c>
      <c r="Y4" s="2">
        <v>0.30761097061610299</v>
      </c>
      <c r="Z4" s="2">
        <v>-0.30743189453728398</v>
      </c>
      <c r="AA4" s="4">
        <f t="shared" si="5"/>
        <v>-7.5151467993084253E-8</v>
      </c>
      <c r="AB4" s="4">
        <f t="shared" si="6"/>
        <v>7.5151468048595405E-8</v>
      </c>
      <c r="AC4" s="104">
        <v>0.30761104576757098</v>
      </c>
      <c r="AD4" s="104">
        <v>-0.30743196968875203</v>
      </c>
      <c r="AE4">
        <f t="shared" si="7"/>
        <v>4.576757095531292E-8</v>
      </c>
      <c r="AF4">
        <f t="shared" si="8"/>
        <v>3.0311247956049669E-8</v>
      </c>
      <c r="AG4" s="121">
        <v>0.30743199999999998</v>
      </c>
      <c r="AH4" s="2">
        <v>-0.30761100000000002</v>
      </c>
      <c r="AI4" s="2">
        <f t="shared" si="9"/>
        <v>1.0546271600464507E-7</v>
      </c>
      <c r="AJ4" s="122">
        <f t="shared" si="10"/>
        <v>-2.9383897037771334E-8</v>
      </c>
      <c r="AK4" s="4"/>
      <c r="AL4">
        <v>4.7580950000000001E-7</v>
      </c>
      <c r="AM4">
        <v>1.1734569999999999E-7</v>
      </c>
      <c r="AN4">
        <v>1</v>
      </c>
      <c r="AO4">
        <v>0.307521507728162</v>
      </c>
      <c r="AP4">
        <v>-0.307521507728162</v>
      </c>
      <c r="AQ4">
        <v>6000</v>
      </c>
      <c r="AR4">
        <v>16</v>
      </c>
      <c r="AS4">
        <v>1</v>
      </c>
      <c r="AT4">
        <v>1</v>
      </c>
      <c r="AU4">
        <v>1</v>
      </c>
      <c r="AV4">
        <v>0.01</v>
      </c>
      <c r="AW4">
        <v>16</v>
      </c>
      <c r="AX4">
        <v>0</v>
      </c>
      <c r="AY4">
        <v>0</v>
      </c>
      <c r="AZ4">
        <v>567.20000000000005</v>
      </c>
      <c r="BA4" t="s">
        <v>163</v>
      </c>
    </row>
    <row r="5" spans="1:53" x14ac:dyDescent="0.3">
      <c r="A5">
        <v>45</v>
      </c>
      <c r="B5">
        <v>0.05</v>
      </c>
      <c r="C5">
        <v>45</v>
      </c>
      <c r="D5">
        <v>2</v>
      </c>
      <c r="E5">
        <v>0.05</v>
      </c>
      <c r="F5" t="s">
        <v>26</v>
      </c>
      <c r="G5">
        <f t="shared" si="11"/>
        <v>-5.3986820482898601E-4</v>
      </c>
      <c r="H5">
        <f t="shared" si="12"/>
        <v>-7.2220158032598736E-4</v>
      </c>
      <c r="I5" s="99">
        <v>0.05</v>
      </c>
      <c r="J5" s="99">
        <v>0.30707400000000001</v>
      </c>
      <c r="K5" s="99">
        <v>-0.30796899999999999</v>
      </c>
      <c r="L5" s="99">
        <v>0.43490200000000001</v>
      </c>
      <c r="M5" s="109">
        <v>0.307613868204829</v>
      </c>
      <c r="N5" s="110">
        <v>-0.30724679841967401</v>
      </c>
      <c r="O5" s="110">
        <v>0.43477222433255602</v>
      </c>
      <c r="P5" s="4">
        <f t="shared" si="13"/>
        <v>-0.307613868204829</v>
      </c>
      <c r="Q5" s="111">
        <f t="shared" si="0"/>
        <v>0.30724679841967401</v>
      </c>
      <c r="R5" s="4"/>
      <c r="S5" s="13">
        <f t="shared" si="1"/>
        <v>3.5345093367200597E-4</v>
      </c>
      <c r="T5" s="13">
        <f t="shared" si="2"/>
        <v>1.7485967526897905E-4</v>
      </c>
      <c r="U5" s="13">
        <f t="shared" si="14"/>
        <v>-3.6706978515499422E-4</v>
      </c>
      <c r="V5" s="13">
        <f t="shared" si="3"/>
        <v>-4.3155441248399207E-4</v>
      </c>
      <c r="W5" s="13">
        <f t="shared" si="4"/>
        <v>-4.4492256301598143E-4</v>
      </c>
      <c r="X5" s="2">
        <v>0.05</v>
      </c>
      <c r="Y5" s="2">
        <v>0.30796731913850101</v>
      </c>
      <c r="Z5" s="2">
        <v>-0.30707193874440503</v>
      </c>
      <c r="AA5" s="4">
        <f t="shared" si="5"/>
        <v>-1.8787867079872456E-6</v>
      </c>
      <c r="AB5" s="4">
        <f t="shared" si="6"/>
        <v>1.8787867089864463E-6</v>
      </c>
      <c r="AC5" s="104">
        <v>0.30796919792520899</v>
      </c>
      <c r="AD5" s="104">
        <v>-0.30707381753111401</v>
      </c>
      <c r="AE5">
        <f t="shared" si="7"/>
        <v>1.979252090000827E-7</v>
      </c>
      <c r="AF5">
        <f t="shared" si="8"/>
        <v>1.8246888600081945E-7</v>
      </c>
      <c r="AG5" s="121">
        <v>0.30707200000000001</v>
      </c>
      <c r="AH5" s="2">
        <v>-0.30796699999999999</v>
      </c>
      <c r="AI5" s="2">
        <f t="shared" si="9"/>
        <v>6.125559498526556E-8</v>
      </c>
      <c r="AJ5" s="122">
        <f t="shared" si="10"/>
        <v>3.1913850101483732E-7</v>
      </c>
      <c r="AK5" s="4"/>
      <c r="AL5">
        <v>2.3407860000000001E-6</v>
      </c>
      <c r="AM5">
        <v>2.820847E-6</v>
      </c>
      <c r="AN5">
        <v>0.99999700000000002</v>
      </c>
      <c r="AO5">
        <v>0.307521507728162</v>
      </c>
      <c r="AP5">
        <v>-0.307521507728162</v>
      </c>
      <c r="AQ5">
        <v>6000</v>
      </c>
      <c r="AR5">
        <v>16</v>
      </c>
      <c r="AS5">
        <v>1</v>
      </c>
      <c r="AT5">
        <v>1</v>
      </c>
      <c r="AU5">
        <v>1</v>
      </c>
      <c r="AV5">
        <v>0.01</v>
      </c>
      <c r="AW5">
        <v>16</v>
      </c>
      <c r="AX5">
        <v>0</v>
      </c>
      <c r="AY5">
        <v>0</v>
      </c>
      <c r="AZ5">
        <v>550.4</v>
      </c>
      <c r="BA5" t="s">
        <v>164</v>
      </c>
    </row>
    <row r="6" spans="1:53" x14ac:dyDescent="0.3">
      <c r="A6">
        <v>45</v>
      </c>
      <c r="B6">
        <v>0.1</v>
      </c>
      <c r="C6">
        <v>45</v>
      </c>
      <c r="D6">
        <v>3</v>
      </c>
      <c r="E6">
        <v>0.1</v>
      </c>
      <c r="F6" t="s">
        <v>26</v>
      </c>
      <c r="G6">
        <f t="shared" si="11"/>
        <v>-1.419422617312982E-3</v>
      </c>
      <c r="H6">
        <f t="shared" si="12"/>
        <v>-1.6151241433419727E-3</v>
      </c>
      <c r="I6" s="99">
        <v>0.1</v>
      </c>
      <c r="J6" s="99">
        <v>0.30662600000000001</v>
      </c>
      <c r="K6" s="99">
        <v>-0.308417</v>
      </c>
      <c r="L6" s="99">
        <v>0.43490299999999998</v>
      </c>
      <c r="M6" s="109">
        <v>0.30804542261731299</v>
      </c>
      <c r="N6" s="110">
        <v>-0.30680187585665802</v>
      </c>
      <c r="O6" s="110">
        <v>0.434763583369908</v>
      </c>
      <c r="P6" s="4">
        <f t="shared" si="13"/>
        <v>-0.30804542261731299</v>
      </c>
      <c r="Q6" s="111">
        <f t="shared" si="0"/>
        <v>0.30680187585665802</v>
      </c>
      <c r="R6" s="4"/>
      <c r="S6" s="13">
        <f t="shared" si="1"/>
        <v>3.6395035810998788E-4</v>
      </c>
      <c r="T6" s="13">
        <f t="shared" si="2"/>
        <v>1.8326366942600369E-4</v>
      </c>
      <c r="U6" s="13">
        <f t="shared" si="14"/>
        <v>-1.2435467606549677E-3</v>
      </c>
      <c r="V6" s="13">
        <f t="shared" si="3"/>
        <v>-4.8601714840601495E-4</v>
      </c>
      <c r="W6" s="13">
        <f t="shared" si="4"/>
        <v>-4.8576919837201027E-4</v>
      </c>
      <c r="X6" s="2">
        <v>0.1</v>
      </c>
      <c r="Y6" s="2">
        <v>0.30840937297542298</v>
      </c>
      <c r="Z6" s="2">
        <v>-0.30661861218723202</v>
      </c>
      <c r="AA6" s="4">
        <f t="shared" si="5"/>
        <v>-7.5151468340028948E-6</v>
      </c>
      <c r="AB6" s="4">
        <f t="shared" si="6"/>
        <v>7.5151468340028948E-6</v>
      </c>
      <c r="AC6" s="104">
        <v>0.30841688812225698</v>
      </c>
      <c r="AD6" s="104">
        <v>-0.30662612733406602</v>
      </c>
      <c r="AE6">
        <f t="shared" si="7"/>
        <v>-1.1187774301424369E-7</v>
      </c>
      <c r="AF6">
        <f t="shared" si="8"/>
        <v>-1.2733406601350694E-7</v>
      </c>
      <c r="AG6" s="121">
        <v>0.30661899999999997</v>
      </c>
      <c r="AH6" s="2">
        <v>-0.30840899999999999</v>
      </c>
      <c r="AI6" s="2">
        <f t="shared" si="9"/>
        <v>3.8781276795463171E-7</v>
      </c>
      <c r="AJ6" s="122">
        <f t="shared" si="10"/>
        <v>3.7297542299086217E-7</v>
      </c>
      <c r="AK6" s="4"/>
      <c r="AL6">
        <v>4.5493819999999999E-6</v>
      </c>
      <c r="AM6">
        <v>1.072965E-5</v>
      </c>
      <c r="AN6">
        <v>0.99998900000000002</v>
      </c>
      <c r="AO6">
        <v>0.307521507728162</v>
      </c>
      <c r="AP6">
        <v>-0.307521507728162</v>
      </c>
      <c r="AQ6">
        <v>6000</v>
      </c>
      <c r="AR6">
        <v>16</v>
      </c>
      <c r="AS6">
        <v>1</v>
      </c>
      <c r="AT6">
        <v>1</v>
      </c>
      <c r="AU6">
        <v>1</v>
      </c>
      <c r="AV6">
        <v>0.01</v>
      </c>
      <c r="AW6">
        <v>16</v>
      </c>
      <c r="AX6">
        <v>0</v>
      </c>
      <c r="AY6">
        <v>0</v>
      </c>
      <c r="AZ6">
        <v>554.1</v>
      </c>
      <c r="BA6" t="s">
        <v>165</v>
      </c>
    </row>
    <row r="7" spans="1:53" x14ac:dyDescent="0.3">
      <c r="A7">
        <v>45</v>
      </c>
      <c r="B7">
        <v>0.15</v>
      </c>
      <c r="C7">
        <v>45</v>
      </c>
      <c r="D7">
        <v>4</v>
      </c>
      <c r="E7">
        <v>0.15</v>
      </c>
      <c r="F7" t="s">
        <v>26</v>
      </c>
      <c r="G7">
        <f t="shared" si="11"/>
        <v>-2.3534397657190009E-3</v>
      </c>
      <c r="H7">
        <f t="shared" si="12"/>
        <v>-2.548893341713987E-3</v>
      </c>
      <c r="I7" s="99">
        <v>0.15</v>
      </c>
      <c r="J7" s="99">
        <v>0.30617800000000001</v>
      </c>
      <c r="K7" s="99">
        <v>-0.308865</v>
      </c>
      <c r="L7" s="99">
        <v>0.43490499999999999</v>
      </c>
      <c r="M7" s="109">
        <v>0.30853143976571901</v>
      </c>
      <c r="N7" s="110">
        <v>-0.30631610665828601</v>
      </c>
      <c r="O7" s="110">
        <v>0.434765691519235</v>
      </c>
      <c r="P7" s="4">
        <f t="shared" si="13"/>
        <v>-0.30853143976571901</v>
      </c>
      <c r="Q7" s="111">
        <f t="shared" si="0"/>
        <v>0.30631610665828601</v>
      </c>
      <c r="R7" s="4"/>
      <c r="S7" s="13">
        <f t="shared" si="1"/>
        <v>3.1622947320897321E-4</v>
      </c>
      <c r="T7" s="13">
        <f t="shared" si="2"/>
        <v>1.545786016430295E-4</v>
      </c>
      <c r="U7" s="13">
        <f t="shared" si="14"/>
        <v>-2.2153331074329929E-3</v>
      </c>
      <c r="V7" s="13">
        <f t="shared" si="3"/>
        <v>-5.2055918358701048E-4</v>
      </c>
      <c r="W7" s="13">
        <f t="shared" si="4"/>
        <v>-5.3905206953003271E-4</v>
      </c>
      <c r="X7" s="2">
        <v>0.15</v>
      </c>
      <c r="Y7" s="2">
        <v>0.30884766923892798</v>
      </c>
      <c r="Z7" s="2">
        <v>-0.30616152805664298</v>
      </c>
      <c r="AA7" s="4">
        <f t="shared" si="5"/>
        <v>-1.6909080375993035E-5</v>
      </c>
      <c r="AB7" s="4">
        <f t="shared" si="6"/>
        <v>1.6909080375993035E-5</v>
      </c>
      <c r="AC7" s="104">
        <v>0.30886457831930397</v>
      </c>
      <c r="AD7" s="104">
        <v>-0.30617843713701898</v>
      </c>
      <c r="AE7">
        <f t="shared" si="7"/>
        <v>-4.2168069602777081E-7</v>
      </c>
      <c r="AF7">
        <f t="shared" si="8"/>
        <v>-4.3713701897152291E-7</v>
      </c>
      <c r="AG7" s="121">
        <v>0.30616199999999999</v>
      </c>
      <c r="AH7" s="2">
        <v>-0.30884800000000001</v>
      </c>
      <c r="AI7" s="2">
        <f t="shared" si="9"/>
        <v>4.7194335700551093E-7</v>
      </c>
      <c r="AJ7" s="122">
        <f t="shared" si="10"/>
        <v>-3.3076107203156013E-7</v>
      </c>
      <c r="AK7" s="4"/>
      <c r="AL7">
        <v>6.6038049999999997E-6</v>
      </c>
      <c r="AM7">
        <v>2.3132159999999999E-5</v>
      </c>
      <c r="AN7">
        <v>0.99997800000000003</v>
      </c>
      <c r="AO7">
        <v>0.307521507728162</v>
      </c>
      <c r="AP7">
        <v>-0.307521507728162</v>
      </c>
      <c r="AQ7">
        <v>6000</v>
      </c>
      <c r="AR7">
        <v>16</v>
      </c>
      <c r="AS7">
        <v>1</v>
      </c>
      <c r="AT7">
        <v>1</v>
      </c>
      <c r="AU7">
        <v>1</v>
      </c>
      <c r="AV7">
        <v>0.01</v>
      </c>
      <c r="AW7">
        <v>16</v>
      </c>
      <c r="AX7">
        <v>0</v>
      </c>
      <c r="AY7">
        <v>0</v>
      </c>
      <c r="AZ7">
        <v>555.79999999999995</v>
      </c>
      <c r="BA7" t="s">
        <v>166</v>
      </c>
    </row>
    <row r="8" spans="1:53" x14ac:dyDescent="0.3">
      <c r="A8">
        <v>45</v>
      </c>
      <c r="B8">
        <v>0.2</v>
      </c>
      <c r="C8">
        <v>45</v>
      </c>
      <c r="D8">
        <v>5</v>
      </c>
      <c r="E8">
        <v>0.2</v>
      </c>
      <c r="F8" t="s">
        <v>26</v>
      </c>
      <c r="G8">
        <f t="shared" si="11"/>
        <v>-3.3209989493060421E-3</v>
      </c>
      <c r="H8">
        <f t="shared" si="12"/>
        <v>-3.5349454112439949E-3</v>
      </c>
      <c r="I8" s="99">
        <v>0.2</v>
      </c>
      <c r="J8" s="99">
        <v>0.30573099999999998</v>
      </c>
      <c r="K8" s="99">
        <v>-0.30931199999999998</v>
      </c>
      <c r="L8" s="99">
        <v>0.43490800000000002</v>
      </c>
      <c r="M8" s="109">
        <v>0.30905199894930602</v>
      </c>
      <c r="N8" s="110">
        <v>-0.30577705458875598</v>
      </c>
      <c r="O8" s="110">
        <v>0.43475596047384701</v>
      </c>
      <c r="P8" s="4">
        <f t="shared" si="13"/>
        <v>-0.30905199894930602</v>
      </c>
      <c r="Q8" s="111">
        <f t="shared" si="0"/>
        <v>0.30577705458875598</v>
      </c>
      <c r="R8" s="4"/>
      <c r="S8" s="13">
        <f t="shared" si="1"/>
        <v>2.3020897970998933E-4</v>
      </c>
      <c r="T8" s="13">
        <f t="shared" si="2"/>
        <v>7.6368236120005761E-5</v>
      </c>
      <c r="U8" s="13">
        <f t="shared" si="14"/>
        <v>-3.2749443605500361E-3</v>
      </c>
      <c r="V8" s="13">
        <f t="shared" si="3"/>
        <v>-2.4302762402689804E-3</v>
      </c>
      <c r="W8" s="13">
        <f t="shared" si="4"/>
        <v>-1.7273099484699794E-3</v>
      </c>
      <c r="X8" s="2">
        <v>0.2</v>
      </c>
      <c r="Y8" s="2">
        <v>0.30928220792901601</v>
      </c>
      <c r="Z8" s="2">
        <v>-0.30570068635263598</v>
      </c>
      <c r="AA8" s="4">
        <f t="shared" si="5"/>
        <v>-3.0060587336011579E-5</v>
      </c>
      <c r="AB8" s="4">
        <f t="shared" si="6"/>
        <v>3.0060587335012379E-5</v>
      </c>
      <c r="AC8" s="104">
        <v>0.30931226851635202</v>
      </c>
      <c r="AD8" s="104">
        <v>-0.30573074693997099</v>
      </c>
      <c r="AE8">
        <f t="shared" si="7"/>
        <v>2.6851635204216961E-7</v>
      </c>
      <c r="AF8">
        <f t="shared" si="8"/>
        <v>2.5306002898739521E-7</v>
      </c>
      <c r="AG8" s="121">
        <v>0.305701</v>
      </c>
      <c r="AH8" s="2">
        <v>-0.309282</v>
      </c>
      <c r="AI8" s="2">
        <f t="shared" si="9"/>
        <v>3.1364736402528237E-7</v>
      </c>
      <c r="AJ8" s="122">
        <f t="shared" si="10"/>
        <v>2.0792901600508173E-7</v>
      </c>
      <c r="AK8" s="4"/>
      <c r="AL8">
        <v>8.4921729999999992E-6</v>
      </c>
      <c r="AM8">
        <v>3.8932030000000001E-5</v>
      </c>
      <c r="AN8">
        <v>0.99996300000000005</v>
      </c>
      <c r="AO8">
        <v>0.307521507728162</v>
      </c>
      <c r="AP8">
        <v>-0.307521507728162</v>
      </c>
      <c r="AQ8">
        <v>6000</v>
      </c>
      <c r="AR8">
        <v>16</v>
      </c>
      <c r="AS8">
        <v>1</v>
      </c>
      <c r="AT8">
        <v>1</v>
      </c>
      <c r="AU8">
        <v>1</v>
      </c>
      <c r="AV8">
        <v>0.01</v>
      </c>
      <c r="AW8">
        <v>16</v>
      </c>
      <c r="AX8">
        <v>0</v>
      </c>
      <c r="AY8">
        <v>0</v>
      </c>
      <c r="AZ8">
        <v>560.5</v>
      </c>
      <c r="BA8" t="s">
        <v>167</v>
      </c>
    </row>
    <row r="9" spans="1:53" x14ac:dyDescent="0.3">
      <c r="A9">
        <v>45</v>
      </c>
      <c r="B9">
        <v>0.3</v>
      </c>
      <c r="C9">
        <v>45</v>
      </c>
      <c r="D9">
        <v>6</v>
      </c>
      <c r="E9">
        <v>0.3</v>
      </c>
      <c r="F9" t="s">
        <v>26</v>
      </c>
      <c r="G9">
        <f t="shared" si="11"/>
        <v>-6.6472751895749749E-3</v>
      </c>
      <c r="H9">
        <f t="shared" si="12"/>
        <v>-6.1582553597139822E-3</v>
      </c>
      <c r="I9" s="99">
        <v>0.3</v>
      </c>
      <c r="J9" s="99">
        <v>0.30483500000000002</v>
      </c>
      <c r="K9" s="99">
        <v>-0.31020799999999998</v>
      </c>
      <c r="L9" s="99">
        <v>0.43491800000000003</v>
      </c>
      <c r="M9" s="109">
        <v>0.311482275189575</v>
      </c>
      <c r="N9" s="110">
        <v>-0.304049744640286</v>
      </c>
      <c r="O9" s="110">
        <v>0.43527859466449498</v>
      </c>
      <c r="P9" s="4">
        <f t="shared" si="13"/>
        <v>-0.311482275189575</v>
      </c>
      <c r="Q9" s="111">
        <f t="shared" si="0"/>
        <v>0.304049744640286</v>
      </c>
      <c r="R9" s="4"/>
      <c r="S9" s="13">
        <f t="shared" si="1"/>
        <v>-1.3422626006319716E-3</v>
      </c>
      <c r="T9" s="13">
        <f t="shared" si="2"/>
        <v>-7.1798558408597835E-4</v>
      </c>
      <c r="U9" s="13">
        <f t="shared" si="14"/>
        <v>-7.4325305492889959E-3</v>
      </c>
      <c r="V9" s="13">
        <f t="shared" si="3"/>
        <v>-1.4933600950284287E-6</v>
      </c>
      <c r="W9" s="13">
        <f t="shared" si="4"/>
        <v>-3.7891501679199191E-4</v>
      </c>
      <c r="X9" s="2">
        <v>0.3</v>
      </c>
      <c r="Y9" s="2">
        <v>0.31014001258894303</v>
      </c>
      <c r="Z9" s="2">
        <v>-0.30476773022437198</v>
      </c>
      <c r="AA9" s="4">
        <f t="shared" si="5"/>
        <v>-6.7636321503972141E-5</v>
      </c>
      <c r="AB9" s="4">
        <f t="shared" si="6"/>
        <v>6.7636321504027652E-5</v>
      </c>
      <c r="AC9" s="104">
        <v>0.310207648910447</v>
      </c>
      <c r="AD9" s="104">
        <v>-0.30483536654587601</v>
      </c>
      <c r="AE9">
        <f t="shared" si="7"/>
        <v>-3.5108955298568389E-7</v>
      </c>
      <c r="AF9">
        <f t="shared" si="8"/>
        <v>-3.6654587598494714E-7</v>
      </c>
      <c r="AG9" s="121">
        <v>0.30476799999999998</v>
      </c>
      <c r="AH9" s="2">
        <v>-0.31014000000000003</v>
      </c>
      <c r="AI9" s="2">
        <f t="shared" si="9"/>
        <v>2.6977562800345467E-7</v>
      </c>
      <c r="AJ9" s="122">
        <f t="shared" si="10"/>
        <v>1.2588942999158803E-8</v>
      </c>
      <c r="AK9" s="4"/>
      <c r="AL9">
        <v>1.207952E-5</v>
      </c>
      <c r="AM9">
        <v>7.8785119999999994E-5</v>
      </c>
      <c r="AN9">
        <v>0.99992700000000001</v>
      </c>
      <c r="AO9">
        <v>0.307521507728162</v>
      </c>
      <c r="AP9">
        <v>-0.307521507728162</v>
      </c>
      <c r="AQ9">
        <v>6000</v>
      </c>
      <c r="AR9">
        <v>16</v>
      </c>
      <c r="AS9">
        <v>1</v>
      </c>
      <c r="AT9">
        <v>1</v>
      </c>
      <c r="AU9">
        <v>1</v>
      </c>
      <c r="AV9">
        <v>0.01</v>
      </c>
      <c r="AW9">
        <v>16</v>
      </c>
      <c r="AX9">
        <v>0</v>
      </c>
      <c r="AY9">
        <v>0</v>
      </c>
      <c r="AZ9">
        <v>558.9</v>
      </c>
      <c r="BA9" t="s">
        <v>168</v>
      </c>
    </row>
    <row r="10" spans="1:53" x14ac:dyDescent="0.3">
      <c r="A10">
        <v>45</v>
      </c>
      <c r="B10">
        <v>0.4</v>
      </c>
      <c r="C10">
        <v>45</v>
      </c>
      <c r="D10">
        <v>7</v>
      </c>
      <c r="E10">
        <v>0.4</v>
      </c>
      <c r="F10" t="s">
        <v>26</v>
      </c>
      <c r="G10">
        <f t="shared" si="11"/>
        <v>-7.543768549670038E-3</v>
      </c>
      <c r="H10">
        <f t="shared" si="12"/>
        <v>-7.4321703765060088E-3</v>
      </c>
      <c r="I10" s="99">
        <v>0.4</v>
      </c>
      <c r="J10" s="99">
        <v>0.30393999999999999</v>
      </c>
      <c r="K10" s="99">
        <v>-0.31110300000000002</v>
      </c>
      <c r="L10" s="99">
        <v>0.43493100000000001</v>
      </c>
      <c r="M10" s="109">
        <v>0.31148376854967003</v>
      </c>
      <c r="N10" s="110">
        <v>-0.30367082962349401</v>
      </c>
      <c r="O10" s="110">
        <v>0.43501506966325398</v>
      </c>
      <c r="P10" s="4">
        <f t="shared" si="13"/>
        <v>-0.31148376854967003</v>
      </c>
      <c r="Q10" s="111">
        <f t="shared" si="0"/>
        <v>0.30367082962349401</v>
      </c>
      <c r="R10" s="4"/>
      <c r="S10" s="13">
        <f t="shared" si="1"/>
        <v>-5.00981594469041E-4</v>
      </c>
      <c r="T10" s="13">
        <f t="shared" si="2"/>
        <v>-1.4891417894696835E-4</v>
      </c>
      <c r="U10" s="13">
        <f t="shared" si="14"/>
        <v>-7.8129389261760163E-3</v>
      </c>
      <c r="V10" s="13">
        <f t="shared" si="3"/>
        <v>-2.2388361785696809E-4</v>
      </c>
      <c r="W10" s="13">
        <f t="shared" si="4"/>
        <v>-6.7436133632603479E-4</v>
      </c>
      <c r="X10" s="2">
        <v>0.4</v>
      </c>
      <c r="Y10" s="2">
        <v>0.31098278695520098</v>
      </c>
      <c r="Z10" s="2">
        <v>-0.30381974380244098</v>
      </c>
      <c r="AA10" s="4">
        <f t="shared" si="5"/>
        <v>-1.202423493409932E-4</v>
      </c>
      <c r="AB10" s="4">
        <f t="shared" si="6"/>
        <v>1.2024234934004951E-4</v>
      </c>
      <c r="AC10" s="104">
        <v>0.31110302930454198</v>
      </c>
      <c r="AD10" s="104">
        <v>-0.30393998615178103</v>
      </c>
      <c r="AE10">
        <f t="shared" si="7"/>
        <v>2.9304541959707109E-8</v>
      </c>
      <c r="AF10">
        <f t="shared" si="8"/>
        <v>1.3848218960443859E-8</v>
      </c>
      <c r="AG10" s="121">
        <v>0.30381999999999998</v>
      </c>
      <c r="AH10" s="2">
        <v>-0.31098300000000001</v>
      </c>
      <c r="AI10" s="2">
        <f t="shared" si="9"/>
        <v>2.5619755900097019E-7</v>
      </c>
      <c r="AJ10" s="122">
        <f t="shared" si="10"/>
        <v>-2.1304479902450879E-7</v>
      </c>
      <c r="AK10" s="4"/>
      <c r="AL10">
        <v>1.546696E-5</v>
      </c>
      <c r="AM10">
        <v>1.2694989999999999E-4</v>
      </c>
      <c r="AN10">
        <v>0.99987999999999999</v>
      </c>
      <c r="AO10">
        <v>0.307521507728162</v>
      </c>
      <c r="AP10">
        <v>-0.307521507728162</v>
      </c>
      <c r="AQ10">
        <v>6000</v>
      </c>
      <c r="AR10">
        <v>16</v>
      </c>
      <c r="AS10">
        <v>1</v>
      </c>
      <c r="AT10">
        <v>1</v>
      </c>
      <c r="AU10">
        <v>1</v>
      </c>
      <c r="AV10">
        <v>0.01</v>
      </c>
      <c r="AW10">
        <v>16</v>
      </c>
      <c r="AX10">
        <v>0</v>
      </c>
      <c r="AY10">
        <v>0</v>
      </c>
      <c r="AZ10">
        <v>552.9</v>
      </c>
      <c r="BA10" t="s">
        <v>169</v>
      </c>
    </row>
    <row r="11" spans="1:53" x14ac:dyDescent="0.3">
      <c r="A11">
        <v>45</v>
      </c>
      <c r="B11">
        <v>0.5</v>
      </c>
      <c r="C11">
        <v>45</v>
      </c>
      <c r="D11">
        <v>8</v>
      </c>
      <c r="E11">
        <v>0.5</v>
      </c>
      <c r="F11" t="s">
        <v>26</v>
      </c>
      <c r="G11">
        <f t="shared" si="11"/>
        <v>-8.6626521675269852E-3</v>
      </c>
      <c r="H11">
        <f t="shared" si="12"/>
        <v>-9.0015317128320227E-3</v>
      </c>
      <c r="I11" s="99">
        <v>0.5</v>
      </c>
      <c r="J11" s="99">
        <v>0.30304500000000001</v>
      </c>
      <c r="K11" s="99">
        <v>-0.311998</v>
      </c>
      <c r="L11" s="99">
        <v>0.43494699999999997</v>
      </c>
      <c r="M11" s="109">
        <v>0.31170765216752699</v>
      </c>
      <c r="N11" s="110">
        <v>-0.30299646828716797</v>
      </c>
      <c r="O11" s="110">
        <v>0.43470509568475202</v>
      </c>
      <c r="P11" s="4">
        <f t="shared" si="13"/>
        <v>-0.31170765216752699</v>
      </c>
      <c r="Q11" s="111">
        <f t="shared" si="0"/>
        <v>0.30299646828716797</v>
      </c>
      <c r="R11" s="4"/>
      <c r="S11" s="13">
        <f t="shared" si="1"/>
        <v>1.0287886026499882E-4</v>
      </c>
      <c r="T11" s="13">
        <f t="shared" si="2"/>
        <v>1.3974120032694826E-4</v>
      </c>
      <c r="U11" s="13">
        <f t="shared" si="14"/>
        <v>-8.7111838803590191E-3</v>
      </c>
      <c r="V11" s="13">
        <f t="shared" si="3"/>
        <v>-5.6912007982901081E-4</v>
      </c>
      <c r="W11" s="13">
        <f t="shared" si="4"/>
        <v>-8.8359419385497517E-4</v>
      </c>
      <c r="X11" s="2">
        <v>0.5</v>
      </c>
      <c r="Y11" s="2">
        <v>0.31181053102779199</v>
      </c>
      <c r="Z11" s="2">
        <v>-0.30285672708684103</v>
      </c>
      <c r="AA11" s="4">
        <f t="shared" si="5"/>
        <v>-1.8787867084502086E-4</v>
      </c>
      <c r="AB11" s="4">
        <f t="shared" si="6"/>
        <v>1.8787867084496535E-4</v>
      </c>
      <c r="AC11" s="104">
        <v>0.31199840969863701</v>
      </c>
      <c r="AD11" s="104">
        <v>-0.30304460575768599</v>
      </c>
      <c r="AE11">
        <f t="shared" si="7"/>
        <v>4.0969863701612041E-7</v>
      </c>
      <c r="AF11">
        <f t="shared" si="8"/>
        <v>3.9424231401685716E-7</v>
      </c>
      <c r="AG11" s="121">
        <v>0.30285699999999999</v>
      </c>
      <c r="AH11" s="2">
        <v>-0.311811</v>
      </c>
      <c r="AI11" s="2">
        <f t="shared" si="9"/>
        <v>2.7291315896071922E-7</v>
      </c>
      <c r="AJ11" s="122">
        <f t="shared" si="10"/>
        <v>-4.6897220801200845E-7</v>
      </c>
      <c r="AK11" s="4"/>
      <c r="AL11">
        <v>1.879642E-5</v>
      </c>
      <c r="AM11">
        <v>1.845793E-4</v>
      </c>
      <c r="AN11">
        <v>0.99982300000000002</v>
      </c>
      <c r="AO11">
        <v>0.307521507728162</v>
      </c>
      <c r="AP11">
        <v>-0.307521507728162</v>
      </c>
      <c r="AQ11">
        <v>6000</v>
      </c>
      <c r="AR11">
        <v>16</v>
      </c>
      <c r="AS11">
        <v>1</v>
      </c>
      <c r="AT11">
        <v>1</v>
      </c>
      <c r="AU11">
        <v>1</v>
      </c>
      <c r="AV11">
        <v>0.01</v>
      </c>
      <c r="AW11">
        <v>16</v>
      </c>
      <c r="AX11">
        <v>0</v>
      </c>
      <c r="AY11">
        <v>0</v>
      </c>
      <c r="AZ11">
        <v>551.6</v>
      </c>
      <c r="BA11" t="s">
        <v>170</v>
      </c>
    </row>
    <row r="12" spans="1:53" x14ac:dyDescent="0.3">
      <c r="A12">
        <v>45</v>
      </c>
      <c r="B12">
        <v>0.6</v>
      </c>
      <c r="C12">
        <v>45</v>
      </c>
      <c r="D12">
        <v>9</v>
      </c>
      <c r="E12">
        <v>0.6</v>
      </c>
      <c r="F12" t="s">
        <v>26</v>
      </c>
      <c r="G12">
        <f t="shared" si="11"/>
        <v>-1.0127772247356004E-2</v>
      </c>
      <c r="H12">
        <f t="shared" si="12"/>
        <v>-1.0781125906687006E-2</v>
      </c>
      <c r="I12" s="99">
        <v>0.6</v>
      </c>
      <c r="J12" s="99">
        <v>0.302149</v>
      </c>
      <c r="K12" s="99">
        <v>-0.31289400000000001</v>
      </c>
      <c r="L12" s="99">
        <v>0.43496699999999999</v>
      </c>
      <c r="M12" s="109">
        <v>0.312276772247356</v>
      </c>
      <c r="N12" s="110">
        <v>-0.302112874093313</v>
      </c>
      <c r="O12" s="110">
        <v>0.43449852839583802</v>
      </c>
      <c r="P12" s="4">
        <f t="shared" si="13"/>
        <v>-0.312276772247356</v>
      </c>
      <c r="Q12" s="111">
        <f t="shared" si="0"/>
        <v>0.302112874093313</v>
      </c>
      <c r="R12" s="4"/>
      <c r="S12" s="13">
        <f t="shared" si="1"/>
        <v>3.4647255935998933E-4</v>
      </c>
      <c r="T12" s="13">
        <f t="shared" si="2"/>
        <v>2.3419401573798737E-4</v>
      </c>
      <c r="U12" s="13">
        <f t="shared" si="14"/>
        <v>-1.0163898154043005E-2</v>
      </c>
      <c r="V12" s="13">
        <f t="shared" si="3"/>
        <v>-1.5185785845679978E-3</v>
      </c>
      <c r="W12" s="13">
        <f t="shared" si="4"/>
        <v>-1.9481396480349744E-3</v>
      </c>
      <c r="X12" s="2">
        <v>0.6</v>
      </c>
      <c r="Y12" s="2">
        <v>0.31262324480671599</v>
      </c>
      <c r="Z12" s="2">
        <v>-0.30187868007757501</v>
      </c>
      <c r="AA12" s="4">
        <f t="shared" si="5"/>
        <v>-2.7054528601599959E-4</v>
      </c>
      <c r="AB12" s="4">
        <f t="shared" si="6"/>
        <v>2.7054528601599959E-4</v>
      </c>
      <c r="AC12" s="104">
        <v>0.31289379009273199</v>
      </c>
      <c r="AD12" s="104">
        <v>-0.30214922536359101</v>
      </c>
      <c r="AE12">
        <f t="shared" si="7"/>
        <v>-2.0990726801173309E-7</v>
      </c>
      <c r="AF12">
        <f t="shared" si="8"/>
        <v>-2.2536359101099634E-7</v>
      </c>
      <c r="AG12" s="121">
        <v>0.30187900000000001</v>
      </c>
      <c r="AH12" s="2">
        <v>-0.31262299999999998</v>
      </c>
      <c r="AI12" s="2">
        <f t="shared" si="9"/>
        <v>3.1992242499612189E-7</v>
      </c>
      <c r="AJ12" s="122">
        <f t="shared" si="10"/>
        <v>2.4480671600990433E-7</v>
      </c>
      <c r="AK12" s="4"/>
      <c r="AL12">
        <v>2.2139919999999999E-5</v>
      </c>
      <c r="AM12">
        <v>2.5545400000000001E-4</v>
      </c>
      <c r="AN12">
        <v>0.99975499999999995</v>
      </c>
      <c r="AO12">
        <v>0.307521507728162</v>
      </c>
      <c r="AP12">
        <v>-0.307521507728162</v>
      </c>
      <c r="AQ12">
        <v>6000</v>
      </c>
      <c r="AR12">
        <v>16</v>
      </c>
      <c r="AS12">
        <v>1</v>
      </c>
      <c r="AT12">
        <v>1</v>
      </c>
      <c r="AU12">
        <v>1</v>
      </c>
      <c r="AV12">
        <v>0.01</v>
      </c>
      <c r="AW12">
        <v>16</v>
      </c>
      <c r="AX12">
        <v>0</v>
      </c>
      <c r="AY12">
        <v>0</v>
      </c>
      <c r="AZ12">
        <v>551.5</v>
      </c>
      <c r="BA12" t="s">
        <v>171</v>
      </c>
    </row>
    <row r="13" spans="1:53" x14ac:dyDescent="0.3">
      <c r="A13">
        <v>45</v>
      </c>
      <c r="B13">
        <v>0.8</v>
      </c>
      <c r="C13">
        <v>45</v>
      </c>
      <c r="D13">
        <v>10</v>
      </c>
      <c r="E13">
        <v>0.8</v>
      </c>
      <c r="F13" t="s">
        <v>26</v>
      </c>
      <c r="G13">
        <f t="shared" si="11"/>
        <v>-1.3437350831923989E-2</v>
      </c>
      <c r="H13">
        <f t="shared" si="12"/>
        <v>-1.4520265554721967E-2</v>
      </c>
      <c r="I13" s="99">
        <v>0.8</v>
      </c>
      <c r="J13" s="99">
        <v>0.30035800000000001</v>
      </c>
      <c r="K13" s="99">
        <v>-0.31468499999999999</v>
      </c>
      <c r="L13" s="99">
        <v>0.43501899999999999</v>
      </c>
      <c r="M13" s="109">
        <v>0.313795350831924</v>
      </c>
      <c r="N13" s="110">
        <v>-0.30016473444527803</v>
      </c>
      <c r="O13" s="110">
        <v>0.43424231715521999</v>
      </c>
      <c r="P13" s="4">
        <f t="shared" si="13"/>
        <v>-0.313795350831924</v>
      </c>
      <c r="Q13" s="111">
        <f t="shared" si="0"/>
        <v>0.30016473444527803</v>
      </c>
      <c r="R13" s="4"/>
      <c r="S13" s="13">
        <f t="shared" si="1"/>
        <v>4.0823065163597683E-4</v>
      </c>
      <c r="T13" s="13">
        <f t="shared" si="2"/>
        <v>2.8723926723900339E-4</v>
      </c>
      <c r="U13" s="13">
        <f t="shared" si="14"/>
        <v>-1.3630616386645977E-2</v>
      </c>
      <c r="V13" s="13">
        <f t="shared" si="3"/>
        <v>-1.4808410830949859E-3</v>
      </c>
      <c r="W13" s="13">
        <f t="shared" si="4"/>
        <v>-1.9938054465170052E-3</v>
      </c>
      <c r="X13" s="2">
        <v>0.8</v>
      </c>
      <c r="Y13" s="2">
        <v>0.31420358148355998</v>
      </c>
      <c r="Z13" s="2">
        <v>-0.29987749517803902</v>
      </c>
      <c r="AA13" s="4">
        <f t="shared" si="5"/>
        <v>-4.8096939736202993E-4</v>
      </c>
      <c r="AB13" s="4">
        <f t="shared" si="6"/>
        <v>4.8096939736197442E-4</v>
      </c>
      <c r="AC13" s="104">
        <v>0.31468455088092201</v>
      </c>
      <c r="AD13" s="104">
        <v>-0.300358464575401</v>
      </c>
      <c r="AE13">
        <f t="shared" si="7"/>
        <v>-4.491190779831733E-7</v>
      </c>
      <c r="AF13">
        <f t="shared" si="8"/>
        <v>-4.6457540098243655E-7</v>
      </c>
      <c r="AG13" s="121">
        <v>0.299877</v>
      </c>
      <c r="AH13" s="2">
        <v>-0.31420399999999998</v>
      </c>
      <c r="AI13" s="2">
        <f t="shared" si="9"/>
        <v>-4.9517803901721891E-7</v>
      </c>
      <c r="AJ13" s="122">
        <f t="shared" si="10"/>
        <v>-4.1851644000390209E-7</v>
      </c>
      <c r="AK13" s="4"/>
      <c r="AL13">
        <v>2.8975129999999998E-5</v>
      </c>
      <c r="AM13">
        <v>4.4176000000000003E-4</v>
      </c>
      <c r="AN13">
        <v>0.999579</v>
      </c>
      <c r="AO13">
        <v>0.307521507728162</v>
      </c>
      <c r="AP13">
        <v>-0.307521507728162</v>
      </c>
      <c r="AQ13">
        <v>6000</v>
      </c>
      <c r="AR13">
        <v>16</v>
      </c>
      <c r="AS13">
        <v>1</v>
      </c>
      <c r="AT13">
        <v>1</v>
      </c>
      <c r="AU13">
        <v>1</v>
      </c>
      <c r="AV13">
        <v>0.01</v>
      </c>
      <c r="AW13">
        <v>16</v>
      </c>
      <c r="AX13">
        <v>0</v>
      </c>
      <c r="AY13">
        <v>0</v>
      </c>
      <c r="AZ13">
        <v>547.9</v>
      </c>
      <c r="BA13" t="s">
        <v>172</v>
      </c>
    </row>
    <row r="14" spans="1:53" x14ac:dyDescent="0.3">
      <c r="A14">
        <v>45</v>
      </c>
      <c r="B14">
        <v>1</v>
      </c>
      <c r="C14">
        <v>45</v>
      </c>
      <c r="D14">
        <v>11</v>
      </c>
      <c r="E14">
        <v>1</v>
      </c>
      <c r="F14" t="s">
        <v>26</v>
      </c>
      <c r="G14">
        <f t="shared" si="11"/>
        <v>-1.6708191915018988E-2</v>
      </c>
      <c r="H14">
        <f t="shared" si="12"/>
        <v>-1.8304071001238986E-2</v>
      </c>
      <c r="I14" s="99">
        <v>1</v>
      </c>
      <c r="J14" s="99">
        <v>0.298568</v>
      </c>
      <c r="K14" s="99">
        <v>-0.31647500000000001</v>
      </c>
      <c r="L14" s="99">
        <v>0.435085</v>
      </c>
      <c r="M14" s="109">
        <v>0.31527619191501899</v>
      </c>
      <c r="N14" s="110">
        <v>-0.29817092899876102</v>
      </c>
      <c r="O14" s="110">
        <v>0.43394121731914398</v>
      </c>
      <c r="P14" s="4">
        <f t="shared" si="13"/>
        <v>-0.31527619191501899</v>
      </c>
      <c r="Q14" s="111">
        <f t="shared" si="0"/>
        <v>0.29817092899876102</v>
      </c>
      <c r="R14" s="4"/>
      <c r="S14" s="13">
        <f t="shared" si="1"/>
        <v>4.4760507071500699E-4</v>
      </c>
      <c r="T14" s="13">
        <f t="shared" si="2"/>
        <v>3.5473989492901259E-4</v>
      </c>
      <c r="U14" s="13">
        <f t="shared" si="14"/>
        <v>-1.7105262916257968E-2</v>
      </c>
      <c r="V14" s="13">
        <f t="shared" si="3"/>
        <v>-3.3976292971100164E-3</v>
      </c>
      <c r="W14" s="13">
        <f t="shared" si="4"/>
        <v>-5.0749535757100284E-3</v>
      </c>
      <c r="X14" s="2">
        <v>1</v>
      </c>
      <c r="Y14" s="2">
        <v>0.315723796985734</v>
      </c>
      <c r="Z14" s="2">
        <v>-0.29781618910383201</v>
      </c>
      <c r="AA14" s="4">
        <f t="shared" si="5"/>
        <v>-7.5151468337802951E-4</v>
      </c>
      <c r="AB14" s="4">
        <f t="shared" si="6"/>
        <v>7.515146833789732E-4</v>
      </c>
      <c r="AC14" s="104">
        <v>0.31647531166911202</v>
      </c>
      <c r="AD14" s="104">
        <v>-0.29856770378721098</v>
      </c>
      <c r="AE14">
        <f t="shared" si="7"/>
        <v>3.1166911201863101E-7</v>
      </c>
      <c r="AF14">
        <f t="shared" si="8"/>
        <v>2.9621278901936776E-7</v>
      </c>
      <c r="AG14" s="121">
        <v>0.29781600000000003</v>
      </c>
      <c r="AH14" s="2">
        <v>-0.315724</v>
      </c>
      <c r="AI14" s="2">
        <f t="shared" si="9"/>
        <v>-1.8910383198234015E-7</v>
      </c>
      <c r="AJ14" s="122">
        <f t="shared" si="10"/>
        <v>-2.0301426600921602E-7</v>
      </c>
      <c r="AK14" s="4"/>
      <c r="AL14">
        <v>3.5637879999999998E-5</v>
      </c>
      <c r="AM14">
        <v>6.7495779999999996E-4</v>
      </c>
      <c r="AN14">
        <v>0.999359</v>
      </c>
      <c r="AO14">
        <v>0.307521507728162</v>
      </c>
      <c r="AP14">
        <v>-0.307521507728162</v>
      </c>
      <c r="AQ14">
        <v>6000</v>
      </c>
      <c r="AR14">
        <v>16</v>
      </c>
      <c r="AS14">
        <v>1</v>
      </c>
      <c r="AT14">
        <v>1</v>
      </c>
      <c r="AU14">
        <v>1</v>
      </c>
      <c r="AV14">
        <v>0.01</v>
      </c>
      <c r="AW14">
        <v>16</v>
      </c>
      <c r="AX14">
        <v>0</v>
      </c>
      <c r="AY14">
        <v>0</v>
      </c>
      <c r="AZ14">
        <v>548.70000000000005</v>
      </c>
      <c r="BA14" t="s">
        <v>173</v>
      </c>
    </row>
    <row r="15" spans="1:53" x14ac:dyDescent="0.3">
      <c r="A15">
        <v>45</v>
      </c>
      <c r="B15">
        <v>1.5</v>
      </c>
      <c r="C15">
        <v>45</v>
      </c>
      <c r="D15">
        <v>12</v>
      </c>
      <c r="E15">
        <v>1.5</v>
      </c>
      <c r="F15" t="s">
        <v>26</v>
      </c>
      <c r="G15">
        <f t="shared" si="11"/>
        <v>-2.4582821212129013E-2</v>
      </c>
      <c r="H15">
        <f t="shared" si="12"/>
        <v>-2.7856024576949023E-2</v>
      </c>
      <c r="I15" s="99">
        <v>1.5</v>
      </c>
      <c r="J15" s="99">
        <v>0.29409099999999999</v>
      </c>
      <c r="K15" s="99">
        <v>-0.32095200000000002</v>
      </c>
      <c r="L15" s="99">
        <v>0.43531599999999998</v>
      </c>
      <c r="M15" s="109">
        <v>0.318673821212129</v>
      </c>
      <c r="N15" s="110">
        <v>-0.29309597542305099</v>
      </c>
      <c r="O15" s="110">
        <v>0.43296449639102003</v>
      </c>
      <c r="P15" s="4">
        <f t="shared" si="13"/>
        <v>-0.318673821212129</v>
      </c>
      <c r="Q15" s="111">
        <f t="shared" si="0"/>
        <v>0.29309597542305099</v>
      </c>
      <c r="R15" s="4"/>
      <c r="S15" s="13">
        <f t="shared" si="1"/>
        <v>5.8748438985700702E-4</v>
      </c>
      <c r="T15" s="13">
        <f t="shared" si="2"/>
        <v>6.9608164391699034E-4</v>
      </c>
      <c r="U15" s="13">
        <f t="shared" si="14"/>
        <v>-2.5577845789078013E-2</v>
      </c>
      <c r="V15" s="13">
        <f t="shared" si="3"/>
        <v>-2.9534597093019976E-3</v>
      </c>
      <c r="W15" s="13">
        <f t="shared" si="4"/>
        <v>-5.1489141570559838E-3</v>
      </c>
      <c r="X15" s="2">
        <v>1.5</v>
      </c>
      <c r="Y15" s="2">
        <v>0.31926130560198601</v>
      </c>
      <c r="Z15" s="2">
        <v>-0.292399893779134</v>
      </c>
      <c r="AA15" s="4">
        <f t="shared" si="5"/>
        <v>-1.6909080376019681E-3</v>
      </c>
      <c r="AB15" s="4">
        <f t="shared" si="6"/>
        <v>1.6909080376010244E-3</v>
      </c>
      <c r="AC15" s="104">
        <v>0.32095221363958798</v>
      </c>
      <c r="AD15" s="104">
        <v>-0.29409080181673503</v>
      </c>
      <c r="AE15">
        <f t="shared" si="7"/>
        <v>2.1363958796483118E-7</v>
      </c>
      <c r="AF15">
        <f t="shared" si="8"/>
        <v>1.9818326496556793E-7</v>
      </c>
      <c r="AG15" s="121">
        <v>0.29239999999999999</v>
      </c>
      <c r="AH15" s="2">
        <v>-0.31926100000000002</v>
      </c>
      <c r="AI15" s="2">
        <f t="shared" si="9"/>
        <v>1.0622086599187952E-7</v>
      </c>
      <c r="AJ15" s="122">
        <f t="shared" si="10"/>
        <v>3.0560198599483002E-7</v>
      </c>
      <c r="AK15" s="4"/>
      <c r="AL15">
        <v>5.0974119999999998E-5</v>
      </c>
      <c r="AM15">
        <v>1.408767E-3</v>
      </c>
      <c r="AN15">
        <v>0.99867300000000003</v>
      </c>
      <c r="AO15">
        <v>0.307521507728162</v>
      </c>
      <c r="AP15">
        <v>-0.307521507728162</v>
      </c>
      <c r="AQ15">
        <v>6000</v>
      </c>
      <c r="AR15">
        <v>16</v>
      </c>
      <c r="AS15">
        <v>1</v>
      </c>
      <c r="AT15">
        <v>1</v>
      </c>
      <c r="AU15">
        <v>1</v>
      </c>
      <c r="AV15">
        <v>0.01</v>
      </c>
      <c r="AW15">
        <v>16</v>
      </c>
      <c r="AX15">
        <v>0</v>
      </c>
      <c r="AY15">
        <v>0</v>
      </c>
      <c r="AZ15">
        <v>544.1</v>
      </c>
      <c r="BA15" t="s">
        <v>174</v>
      </c>
    </row>
    <row r="16" spans="1:53" x14ac:dyDescent="0.3">
      <c r="A16">
        <v>45</v>
      </c>
      <c r="B16">
        <v>2</v>
      </c>
      <c r="C16">
        <v>45</v>
      </c>
      <c r="D16">
        <v>13</v>
      </c>
      <c r="E16">
        <v>2</v>
      </c>
      <c r="F16" t="s">
        <v>26</v>
      </c>
      <c r="G16">
        <f t="shared" si="11"/>
        <v>-3.201328092143102E-2</v>
      </c>
      <c r="H16">
        <f t="shared" si="12"/>
        <v>-3.7481938734005016E-2</v>
      </c>
      <c r="I16" s="99">
        <v>2</v>
      </c>
      <c r="J16" s="99">
        <v>0.28961399999999998</v>
      </c>
      <c r="K16" s="99">
        <v>-0.32542900000000002</v>
      </c>
      <c r="L16" s="99">
        <v>0.43563800000000003</v>
      </c>
      <c r="M16" s="109">
        <v>0.321627280921431</v>
      </c>
      <c r="N16" s="110">
        <v>-0.28794706126599501</v>
      </c>
      <c r="O16" s="110">
        <v>0.43169157731491098</v>
      </c>
      <c r="P16" s="4">
        <f t="shared" si="13"/>
        <v>-0.321627280921431</v>
      </c>
      <c r="Q16" s="111">
        <f t="shared" si="0"/>
        <v>0.28794706126599501</v>
      </c>
      <c r="R16" s="4"/>
      <c r="S16" s="13">
        <f t="shared" si="1"/>
        <v>7.9577595511798327E-4</v>
      </c>
      <c r="T16" s="13">
        <f t="shared" si="2"/>
        <v>1.3392201532489989E-3</v>
      </c>
      <c r="U16" s="13">
        <f t="shared" si="14"/>
        <v>-3.3680219655435994E-2</v>
      </c>
      <c r="V16" s="13">
        <f t="shared" si="3"/>
        <v>-4.7358205242060136E-3</v>
      </c>
      <c r="W16" s="13">
        <f t="shared" si="4"/>
        <v>-1.0296176205490004E-2</v>
      </c>
      <c r="X16" s="2">
        <v>2</v>
      </c>
      <c r="Y16" s="2">
        <v>0.32242305687654899</v>
      </c>
      <c r="Z16" s="2">
        <v>-0.28660784111274601</v>
      </c>
      <c r="AA16" s="4">
        <f t="shared" si="5"/>
        <v>-3.0060587335140054E-3</v>
      </c>
      <c r="AB16" s="4">
        <f t="shared" si="6"/>
        <v>3.0060587335140054E-3</v>
      </c>
      <c r="AC16" s="104">
        <v>0.32542911561006299</v>
      </c>
      <c r="AD16" s="104">
        <v>-0.28961389984626001</v>
      </c>
      <c r="AE16">
        <f t="shared" si="7"/>
        <v>1.1561006296734178E-7</v>
      </c>
      <c r="AF16">
        <f t="shared" si="8"/>
        <v>1.0015373996807853E-7</v>
      </c>
      <c r="AG16" s="121">
        <v>0.28660799999999997</v>
      </c>
      <c r="AH16" s="2">
        <v>-0.32242300000000002</v>
      </c>
      <c r="AI16" s="2">
        <f t="shared" si="9"/>
        <v>1.588872539648456E-7</v>
      </c>
      <c r="AJ16" s="122">
        <f t="shared" si="10"/>
        <v>5.6876548970574703E-8</v>
      </c>
      <c r="AK16" s="4"/>
      <c r="AL16">
        <v>6.4640619999999994E-5</v>
      </c>
      <c r="AM16">
        <v>2.3084960000000002E-3</v>
      </c>
      <c r="AN16">
        <v>0.99783999999999995</v>
      </c>
      <c r="AO16">
        <v>0.307521507728162</v>
      </c>
      <c r="AP16">
        <v>-0.307521507728162</v>
      </c>
      <c r="AQ16">
        <v>6000</v>
      </c>
      <c r="AR16">
        <v>16</v>
      </c>
      <c r="AS16">
        <v>1</v>
      </c>
      <c r="AT16">
        <v>1</v>
      </c>
      <c r="AU16">
        <v>1</v>
      </c>
      <c r="AV16">
        <v>0.01</v>
      </c>
      <c r="AW16">
        <v>16</v>
      </c>
      <c r="AX16">
        <v>0</v>
      </c>
      <c r="AY16">
        <v>0</v>
      </c>
      <c r="AZ16">
        <v>561.79999999999995</v>
      </c>
      <c r="BA16" t="s">
        <v>175</v>
      </c>
    </row>
    <row r="17" spans="1:53" x14ac:dyDescent="0.3">
      <c r="A17">
        <v>45</v>
      </c>
      <c r="B17">
        <v>3</v>
      </c>
      <c r="C17">
        <v>45</v>
      </c>
      <c r="D17">
        <v>14</v>
      </c>
      <c r="E17">
        <v>3</v>
      </c>
      <c r="F17" t="s">
        <v>26</v>
      </c>
      <c r="G17">
        <f t="shared" si="11"/>
        <v>-4.5703101445636996E-2</v>
      </c>
      <c r="H17">
        <f t="shared" si="12"/>
        <v>-5.6732114939494982E-2</v>
      </c>
      <c r="I17" s="99">
        <v>3</v>
      </c>
      <c r="J17" s="99">
        <v>0.28066000000000002</v>
      </c>
      <c r="K17" s="99">
        <v>-0.33438299999999999</v>
      </c>
      <c r="L17" s="99">
        <v>0.43655699999999997</v>
      </c>
      <c r="M17" s="109">
        <v>0.32636310144563702</v>
      </c>
      <c r="N17" s="110">
        <v>-0.277650885060505</v>
      </c>
      <c r="O17" s="110">
        <v>0.42848907566015898</v>
      </c>
      <c r="P17" s="4">
        <f t="shared" si="13"/>
        <v>-0.32636310144563702</v>
      </c>
      <c r="Q17" s="111">
        <f t="shared" si="0"/>
        <v>0.277650885060505</v>
      </c>
      <c r="R17" s="4"/>
      <c r="S17" s="13">
        <f t="shared" si="1"/>
        <v>1.2561859549699572E-3</v>
      </c>
      <c r="T17" s="13">
        <f t="shared" si="2"/>
        <v>3.7544213056019959E-3</v>
      </c>
      <c r="U17" s="13">
        <f t="shared" si="14"/>
        <v>-4.8712216385132012E-2</v>
      </c>
      <c r="V17" s="13">
        <f t="shared" si="3"/>
        <v>-3.4435726073939743E-3</v>
      </c>
      <c r="W17" s="13">
        <f t="shared" si="4"/>
        <v>-1.0019172782843977E-2</v>
      </c>
      <c r="X17" s="2">
        <v>3</v>
      </c>
      <c r="Y17" s="2">
        <v>0.32761928740060697</v>
      </c>
      <c r="Z17" s="2">
        <v>-0.27389646375490301</v>
      </c>
      <c r="AA17" s="4">
        <f t="shared" si="5"/>
        <v>-6.7636321504070396E-3</v>
      </c>
      <c r="AB17" s="4">
        <f t="shared" si="6"/>
        <v>6.7636321504059849E-3</v>
      </c>
      <c r="AC17" s="104">
        <v>0.33438291955101401</v>
      </c>
      <c r="AD17" s="104">
        <v>-0.28066009590530899</v>
      </c>
      <c r="AE17">
        <f t="shared" si="7"/>
        <v>-8.0448985972925158E-8</v>
      </c>
      <c r="AF17">
        <f t="shared" si="8"/>
        <v>-9.5905308972188408E-8</v>
      </c>
      <c r="AG17" s="121">
        <v>0.27389599999999997</v>
      </c>
      <c r="AH17" s="2">
        <v>-0.32761899999999999</v>
      </c>
      <c r="AI17" s="2">
        <f t="shared" si="9"/>
        <v>-4.6375490303507405E-7</v>
      </c>
      <c r="AJ17" s="122">
        <f t="shared" si="10"/>
        <v>2.8740060697973746E-7</v>
      </c>
      <c r="AK17" s="4"/>
      <c r="AL17">
        <v>8.7929200000000005E-5</v>
      </c>
      <c r="AM17">
        <v>4.4126790000000001E-3</v>
      </c>
      <c r="AN17">
        <v>0.99593399999999999</v>
      </c>
      <c r="AO17">
        <v>0.307521507728162</v>
      </c>
      <c r="AP17">
        <v>-0.307521507728162</v>
      </c>
      <c r="AQ17">
        <v>6000</v>
      </c>
      <c r="AR17">
        <v>16</v>
      </c>
      <c r="AS17">
        <v>1</v>
      </c>
      <c r="AT17">
        <v>1</v>
      </c>
      <c r="AU17">
        <v>1</v>
      </c>
      <c r="AV17">
        <v>0.01</v>
      </c>
      <c r="AW17">
        <v>16</v>
      </c>
      <c r="AX17">
        <v>0</v>
      </c>
      <c r="AY17">
        <v>0</v>
      </c>
      <c r="AZ17">
        <v>556.1</v>
      </c>
      <c r="BA17" t="s">
        <v>176</v>
      </c>
    </row>
    <row r="18" spans="1:53" x14ac:dyDescent="0.3">
      <c r="A18">
        <v>45</v>
      </c>
      <c r="B18">
        <v>4</v>
      </c>
      <c r="C18">
        <v>45</v>
      </c>
      <c r="D18">
        <v>15</v>
      </c>
      <c r="E18">
        <v>4</v>
      </c>
      <c r="F18" t="s">
        <v>26</v>
      </c>
      <c r="G18">
        <f t="shared" si="11"/>
        <v>-5.8100674053030987E-2</v>
      </c>
      <c r="H18">
        <f t="shared" si="12"/>
        <v>-7.5705287722338976E-2</v>
      </c>
      <c r="I18" s="99">
        <v>4</v>
      </c>
      <c r="J18" s="99">
        <v>0.271706</v>
      </c>
      <c r="K18" s="99">
        <v>-0.343337</v>
      </c>
      <c r="L18" s="99">
        <v>0.43784099999999998</v>
      </c>
      <c r="M18" s="109">
        <v>0.32980667405303099</v>
      </c>
      <c r="N18" s="110">
        <v>-0.26763171227766103</v>
      </c>
      <c r="O18" s="110">
        <v>0.424734241222196</v>
      </c>
      <c r="P18" s="4">
        <f t="shared" si="13"/>
        <v>-0.32980667405303099</v>
      </c>
      <c r="Q18" s="111">
        <f t="shared" si="0"/>
        <v>0.26763171227766103</v>
      </c>
      <c r="R18" s="4"/>
      <c r="S18" s="13">
        <f t="shared" si="1"/>
        <v>1.5058145048780225E-3</v>
      </c>
      <c r="T18" s="13">
        <f t="shared" si="2"/>
        <v>7.9496552473590221E-3</v>
      </c>
      <c r="U18" s="13">
        <f t="shared" si="14"/>
        <v>-6.2174961775369963E-2</v>
      </c>
      <c r="V18" s="13">
        <f t="shared" si="3"/>
        <v>-4.0766387477160215E-3</v>
      </c>
      <c r="W18" s="13">
        <f t="shared" si="4"/>
        <v>-1.8679811775106026E-2</v>
      </c>
      <c r="X18" s="2">
        <v>4</v>
      </c>
      <c r="Y18" s="2">
        <v>0.33131248855790901</v>
      </c>
      <c r="Z18" s="2">
        <v>-0.259682057030302</v>
      </c>
      <c r="AA18" s="4">
        <f t="shared" si="5"/>
        <v>-1.2024234934055966E-2</v>
      </c>
      <c r="AB18" s="4">
        <f t="shared" si="6"/>
        <v>1.2024234934056022E-2</v>
      </c>
      <c r="AC18" s="104">
        <v>0.34333672349196498</v>
      </c>
      <c r="AD18" s="104">
        <v>-0.27170629196435803</v>
      </c>
      <c r="AE18">
        <f t="shared" si="7"/>
        <v>-2.7650803502421439E-7</v>
      </c>
      <c r="AF18">
        <f t="shared" si="8"/>
        <v>-2.9196435802347764E-7</v>
      </c>
      <c r="AG18" s="121">
        <v>0.25968200000000002</v>
      </c>
      <c r="AH18" s="2">
        <v>-0.331312</v>
      </c>
      <c r="AI18" s="2">
        <f t="shared" si="9"/>
        <v>-5.7030301980898201E-8</v>
      </c>
      <c r="AJ18" s="122">
        <f t="shared" si="10"/>
        <v>4.8855790901747298E-7</v>
      </c>
      <c r="AK18" s="4"/>
      <c r="AL18">
        <v>1.069419E-4</v>
      </c>
      <c r="AM18">
        <v>6.6337660000000001E-3</v>
      </c>
      <c r="AN18">
        <v>0.99389099999999997</v>
      </c>
      <c r="AO18">
        <v>0.307521507728162</v>
      </c>
      <c r="AP18">
        <v>-0.307521507728162</v>
      </c>
      <c r="AQ18">
        <v>6000</v>
      </c>
      <c r="AR18">
        <v>16</v>
      </c>
      <c r="AS18">
        <v>1</v>
      </c>
      <c r="AT18">
        <v>1</v>
      </c>
      <c r="AU18">
        <v>1</v>
      </c>
      <c r="AV18">
        <v>0.01</v>
      </c>
      <c r="AW18">
        <v>16</v>
      </c>
      <c r="AX18">
        <v>0</v>
      </c>
      <c r="AY18">
        <v>0</v>
      </c>
      <c r="AZ18">
        <v>559.5</v>
      </c>
      <c r="BA18" t="s">
        <v>177</v>
      </c>
    </row>
    <row r="19" spans="1:53" ht="15" thickBot="1" x14ac:dyDescent="0.35">
      <c r="A19">
        <v>45</v>
      </c>
      <c r="B19">
        <v>6</v>
      </c>
      <c r="C19">
        <v>45</v>
      </c>
      <c r="D19">
        <v>16</v>
      </c>
      <c r="E19">
        <v>6</v>
      </c>
      <c r="F19" t="s">
        <v>26</v>
      </c>
      <c r="G19">
        <f t="shared" si="11"/>
        <v>-8.0084312800747015E-2</v>
      </c>
      <c r="H19">
        <f t="shared" si="12"/>
        <v>-0.11229209949744501</v>
      </c>
      <c r="I19" s="99">
        <v>6</v>
      </c>
      <c r="J19" s="99">
        <v>0.253799</v>
      </c>
      <c r="K19" s="99">
        <v>-0.36124400000000001</v>
      </c>
      <c r="L19" s="99">
        <v>0.44148799999999999</v>
      </c>
      <c r="M19" s="109">
        <v>0.33388331280074701</v>
      </c>
      <c r="N19" s="110">
        <v>-0.248951900502555</v>
      </c>
      <c r="O19" s="110">
        <v>0.41647942966085999</v>
      </c>
      <c r="P19" s="4">
        <f t="shared" si="13"/>
        <v>-0.33388331280074701</v>
      </c>
      <c r="Q19" s="111">
        <f t="shared" si="0"/>
        <v>0.248951900502555</v>
      </c>
      <c r="R19" s="4"/>
      <c r="S19" s="13">
        <f t="shared" si="1"/>
        <v>3.0648997149296253E-4</v>
      </c>
      <c r="T19" s="13">
        <f t="shared" si="2"/>
        <v>2.2207745021724012E-2</v>
      </c>
      <c r="U19" s="13">
        <f t="shared" si="14"/>
        <v>-8.4931412298192011E-2</v>
      </c>
      <c r="V19" s="13">
        <f t="shared" si="3"/>
        <v>-1.5711579208669835E-3</v>
      </c>
      <c r="W19" s="13">
        <f t="shared" si="4"/>
        <v>-1.6768716266177014E-2</v>
      </c>
      <c r="X19" s="2">
        <v>6</v>
      </c>
      <c r="Y19" s="2">
        <v>0.33418980277223997</v>
      </c>
      <c r="Z19" s="2">
        <v>-0.22674415548083099</v>
      </c>
      <c r="AA19" s="4">
        <f t="shared" si="5"/>
        <v>-2.7054528601626049E-2</v>
      </c>
      <c r="AB19" s="4">
        <f t="shared" si="6"/>
        <v>2.7054528601625993E-2</v>
      </c>
      <c r="AC19" s="104">
        <v>0.36124433137386602</v>
      </c>
      <c r="AD19" s="104">
        <v>-0.25379868408245698</v>
      </c>
      <c r="AE19">
        <f t="shared" si="7"/>
        <v>3.3137386601378438E-7</v>
      </c>
      <c r="AF19">
        <f t="shared" si="8"/>
        <v>3.1591754301452113E-7</v>
      </c>
      <c r="AG19" s="121">
        <v>0.226744</v>
      </c>
      <c r="AH19" s="2">
        <v>-0.33418999999999999</v>
      </c>
      <c r="AI19" s="2">
        <f t="shared" si="9"/>
        <v>-1.5548083098781973E-7</v>
      </c>
      <c r="AJ19" s="122">
        <f t="shared" si="10"/>
        <v>-1.9722776001263043E-7</v>
      </c>
      <c r="AK19" s="4"/>
      <c r="AL19">
        <v>1.359419E-4</v>
      </c>
      <c r="AM19">
        <v>1.1131240000000001E-2</v>
      </c>
      <c r="AN19">
        <v>0.989761</v>
      </c>
      <c r="AO19">
        <v>0.307521507728162</v>
      </c>
      <c r="AP19">
        <v>-0.307521507728162</v>
      </c>
      <c r="AQ19">
        <v>6000</v>
      </c>
      <c r="AR19">
        <v>16</v>
      </c>
      <c r="AS19">
        <v>1</v>
      </c>
      <c r="AT19">
        <v>1</v>
      </c>
      <c r="AU19">
        <v>1</v>
      </c>
      <c r="AV19">
        <v>0.01</v>
      </c>
      <c r="AW19">
        <v>16</v>
      </c>
      <c r="AX19">
        <v>0</v>
      </c>
      <c r="AY19">
        <v>0</v>
      </c>
      <c r="AZ19">
        <v>553.79999999999995</v>
      </c>
      <c r="BA19" t="s">
        <v>178</v>
      </c>
    </row>
    <row r="20" spans="1:53" ht="15" thickBot="1" x14ac:dyDescent="0.35">
      <c r="A20">
        <v>45</v>
      </c>
      <c r="B20">
        <v>8</v>
      </c>
      <c r="C20">
        <v>45</v>
      </c>
      <c r="D20">
        <v>17</v>
      </c>
      <c r="E20">
        <v>8</v>
      </c>
      <c r="F20" t="s">
        <v>26</v>
      </c>
      <c r="G20">
        <f t="shared" si="11"/>
        <v>-9.9563470721614006E-2</v>
      </c>
      <c r="H20">
        <f t="shared" si="12"/>
        <v>-0.146968815763622</v>
      </c>
      <c r="I20" s="100">
        <v>8</v>
      </c>
      <c r="J20" s="100">
        <v>0.23589099999999999</v>
      </c>
      <c r="K20" s="116">
        <v>-0.37915199999999999</v>
      </c>
      <c r="L20" s="100">
        <v>0.44654300000000002</v>
      </c>
      <c r="M20" s="112">
        <v>0.335454470721614</v>
      </c>
      <c r="N20" s="113">
        <v>-0.23218318423637799</v>
      </c>
      <c r="O20" s="113">
        <v>0.40796903432645798</v>
      </c>
      <c r="P20" s="115">
        <f t="shared" si="13"/>
        <v>-0.335454470721614</v>
      </c>
      <c r="Q20" s="114">
        <f t="shared" si="0"/>
        <v>0.23218318423637799</v>
      </c>
      <c r="R20" s="4"/>
      <c r="S20" s="13">
        <f>P20+Y20</f>
        <v>-4.3994712020700155E-3</v>
      </c>
      <c r="T20" s="13">
        <f>Q20+Z20</f>
        <v>4.4389047772046997E-2</v>
      </c>
      <c r="U20" s="13">
        <f t="shared" si="14"/>
        <v>-0.10327128648523601</v>
      </c>
      <c r="V20" s="13"/>
      <c r="W20" s="13"/>
      <c r="X20" s="2">
        <v>8</v>
      </c>
      <c r="Y20" s="117">
        <v>0.33105499951954398</v>
      </c>
      <c r="Z20" s="2">
        <v>-0.18779413646433099</v>
      </c>
      <c r="AA20" s="4">
        <f>Y20-AC20</f>
        <v>-4.8096939736224031E-2</v>
      </c>
      <c r="AB20" s="4">
        <f>Z20-AD20</f>
        <v>4.8096939736224004E-2</v>
      </c>
      <c r="AC20" s="104">
        <v>0.37915193925576801</v>
      </c>
      <c r="AD20" s="104">
        <v>-0.23589107620055499</v>
      </c>
      <c r="AE20">
        <f>AC20+K20</f>
        <v>-6.074423197777179E-8</v>
      </c>
      <c r="AF20">
        <f>AD20+J20</f>
        <v>-7.6200555004790615E-8</v>
      </c>
      <c r="AG20" s="123">
        <v>0.18779399999999999</v>
      </c>
      <c r="AH20" s="124">
        <v>-0.33105499999999999</v>
      </c>
      <c r="AI20" s="124">
        <f>Z20+AG20</f>
        <v>-1.3646433100200639E-7</v>
      </c>
      <c r="AJ20" s="125">
        <f>Y20+AH20</f>
        <v>-4.8045600831159163E-10</v>
      </c>
      <c r="AK20" s="4"/>
      <c r="AL20">
        <v>1.5679760000000001E-4</v>
      </c>
      <c r="AM20">
        <v>1.504773E-2</v>
      </c>
      <c r="AN20">
        <v>0.98582099999999995</v>
      </c>
      <c r="AO20">
        <v>0.307521507728162</v>
      </c>
      <c r="AP20">
        <v>-0.307521507728162</v>
      </c>
      <c r="AQ20">
        <v>6000</v>
      </c>
      <c r="AR20">
        <v>16</v>
      </c>
      <c r="AS20">
        <v>1</v>
      </c>
      <c r="AT20">
        <v>1</v>
      </c>
      <c r="AU20">
        <v>1</v>
      </c>
      <c r="AV20">
        <v>0.01</v>
      </c>
      <c r="AW20">
        <v>16</v>
      </c>
      <c r="AX20">
        <v>0</v>
      </c>
      <c r="AY20">
        <v>0</v>
      </c>
      <c r="AZ20">
        <v>561</v>
      </c>
      <c r="BA20" t="s">
        <v>179</v>
      </c>
    </row>
    <row r="21" spans="1:53" x14ac:dyDescent="0.3">
      <c r="P21" s="4" t="s">
        <v>184</v>
      </c>
      <c r="Q21" s="4" t="s">
        <v>183</v>
      </c>
      <c r="R21" s="4"/>
      <c r="Y21" t="s">
        <v>226</v>
      </c>
      <c r="AM21" s="44"/>
    </row>
    <row r="22" spans="1:53" x14ac:dyDescent="0.3">
      <c r="Y22" t="s">
        <v>230</v>
      </c>
    </row>
  </sheetData>
  <sortState xmlns:xlrd2="http://schemas.microsoft.com/office/spreadsheetml/2017/richdata2" ref="A3:BA38">
    <sortCondition ref="A3:A38"/>
  </sortState>
  <hyperlinks>
    <hyperlink ref="J1" r:id="rId1" xr:uid="{1BB8FC35-7E8B-4834-A8DE-DDD7211270B0}"/>
    <hyperlink ref="AG1" r:id="rId2" xr:uid="{3E0B9AF2-A6B5-4531-8B79-8511A06101AB}"/>
  </hyperlinks>
  <pageMargins left="0.7" right="0.7" top="0.75" bottom="0.75" header="0.3" footer="0.3"/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64603-AFC4-4A61-84F6-94933A4631BF}">
  <dimension ref="A1:Y55"/>
  <sheetViews>
    <sheetView topLeftCell="A13" workbookViewId="0">
      <selection activeCell="F21" sqref="F21"/>
    </sheetView>
  </sheetViews>
  <sheetFormatPr defaultRowHeight="14.4" x14ac:dyDescent="0.3"/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>
        <v>-0.30732963288147902</v>
      </c>
      <c r="H2">
        <v>0.30750060973969401</v>
      </c>
      <c r="I2">
        <v>0.434750650646262</v>
      </c>
      <c r="J2">
        <v>2.7128070000000001E-9</v>
      </c>
      <c r="K2" s="44">
        <v>4.4167639999999997E-12</v>
      </c>
      <c r="L2">
        <v>1</v>
      </c>
      <c r="M2">
        <v>0.307521507728162</v>
      </c>
      <c r="N2">
        <v>-0.307521507728162</v>
      </c>
      <c r="O2">
        <v>15000</v>
      </c>
      <c r="P2">
        <v>16</v>
      </c>
      <c r="Q2">
        <v>1</v>
      </c>
      <c r="R2">
        <v>1</v>
      </c>
      <c r="S2">
        <v>1</v>
      </c>
      <c r="T2">
        <v>0.01</v>
      </c>
      <c r="U2">
        <v>16</v>
      </c>
      <c r="V2">
        <v>0</v>
      </c>
      <c r="W2">
        <v>0</v>
      </c>
      <c r="X2">
        <v>1570.7</v>
      </c>
      <c r="Y2" t="s">
        <v>186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>
        <v>0.30723035489404599</v>
      </c>
      <c r="H3">
        <v>-0.30762339897489099</v>
      </c>
      <c r="I3">
        <v>0.434767347629955</v>
      </c>
      <c r="J3">
        <v>2.6007479999999999E-9</v>
      </c>
      <c r="K3" s="44">
        <v>4.34639E-12</v>
      </c>
      <c r="L3">
        <v>1</v>
      </c>
      <c r="M3">
        <v>0.307521507728162</v>
      </c>
      <c r="N3">
        <v>-0.307521507728162</v>
      </c>
      <c r="O3">
        <v>15000</v>
      </c>
      <c r="P3">
        <v>16</v>
      </c>
      <c r="Q3">
        <v>1</v>
      </c>
      <c r="R3">
        <v>1</v>
      </c>
      <c r="S3">
        <v>1</v>
      </c>
      <c r="T3">
        <v>0.01</v>
      </c>
      <c r="U3">
        <v>16</v>
      </c>
      <c r="V3">
        <v>0</v>
      </c>
      <c r="W3">
        <v>0</v>
      </c>
      <c r="X3">
        <v>1411.9</v>
      </c>
      <c r="Y3" t="s">
        <v>162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>
        <v>-0.30731818103818498</v>
      </c>
      <c r="H4">
        <v>0.30753324403498</v>
      </c>
      <c r="I4">
        <v>0.434765638687439</v>
      </c>
      <c r="J4">
        <v>2.7239189999999999E-9</v>
      </c>
      <c r="K4" s="44">
        <v>5.54819E-12</v>
      </c>
      <c r="L4">
        <v>1</v>
      </c>
      <c r="M4">
        <v>0.307521507728162</v>
      </c>
      <c r="N4">
        <v>-0.307521507728162</v>
      </c>
      <c r="O4">
        <v>15000</v>
      </c>
      <c r="P4">
        <v>16</v>
      </c>
      <c r="Q4">
        <v>1</v>
      </c>
      <c r="R4">
        <v>1</v>
      </c>
      <c r="S4">
        <v>1</v>
      </c>
      <c r="T4">
        <v>0.01</v>
      </c>
      <c r="U4">
        <v>16</v>
      </c>
      <c r="V4">
        <v>0</v>
      </c>
      <c r="W4">
        <v>0</v>
      </c>
      <c r="X4">
        <v>1417.3</v>
      </c>
      <c r="Y4" t="s">
        <v>187</v>
      </c>
    </row>
    <row r="5" spans="1:25" x14ac:dyDescent="0.3">
      <c r="A5">
        <v>0.01</v>
      </c>
      <c r="B5">
        <v>42</v>
      </c>
      <c r="C5">
        <v>1</v>
      </c>
      <c r="D5">
        <v>0.01</v>
      </c>
      <c r="E5" t="s">
        <v>26</v>
      </c>
      <c r="F5">
        <v>0</v>
      </c>
      <c r="G5">
        <v>-0.30726456193257101</v>
      </c>
      <c r="H5">
        <v>0.30758862596563002</v>
      </c>
      <c r="I5">
        <v>0.43476691898422898</v>
      </c>
      <c r="J5">
        <v>5.4614789999999996E-7</v>
      </c>
      <c r="K5">
        <v>1.4617250000000001E-7</v>
      </c>
      <c r="L5">
        <v>1</v>
      </c>
      <c r="M5">
        <v>0.307521507728162</v>
      </c>
      <c r="N5">
        <v>-0.307521507728162</v>
      </c>
      <c r="O5">
        <v>6000</v>
      </c>
      <c r="P5">
        <v>16</v>
      </c>
      <c r="Q5">
        <v>1</v>
      </c>
      <c r="R5">
        <v>1</v>
      </c>
      <c r="S5">
        <v>1</v>
      </c>
      <c r="T5">
        <v>0.01</v>
      </c>
      <c r="U5">
        <v>16</v>
      </c>
      <c r="V5">
        <v>0</v>
      </c>
      <c r="W5">
        <v>0</v>
      </c>
      <c r="X5">
        <v>578.1</v>
      </c>
      <c r="Y5" t="s">
        <v>188</v>
      </c>
    </row>
    <row r="6" spans="1:25" x14ac:dyDescent="0.3">
      <c r="A6">
        <v>0.01</v>
      </c>
      <c r="B6">
        <v>45</v>
      </c>
      <c r="C6">
        <v>1</v>
      </c>
      <c r="D6">
        <v>0.01</v>
      </c>
      <c r="E6" t="s">
        <v>26</v>
      </c>
      <c r="F6">
        <v>0</v>
      </c>
      <c r="G6">
        <v>0.30725756436426899</v>
      </c>
      <c r="H6">
        <v>-0.30760192204916398</v>
      </c>
      <c r="I6">
        <v>0.434771380506356</v>
      </c>
      <c r="J6">
        <v>4.7580950000000001E-7</v>
      </c>
      <c r="K6">
        <v>1.1734569999999999E-7</v>
      </c>
      <c r="L6">
        <v>1</v>
      </c>
      <c r="M6">
        <v>0.307521507728162</v>
      </c>
      <c r="N6">
        <v>-0.307521507728162</v>
      </c>
      <c r="O6">
        <v>6000</v>
      </c>
      <c r="P6">
        <v>16</v>
      </c>
      <c r="Q6">
        <v>1</v>
      </c>
      <c r="R6">
        <v>1</v>
      </c>
      <c r="S6">
        <v>1</v>
      </c>
      <c r="T6">
        <v>0.01</v>
      </c>
      <c r="U6">
        <v>16</v>
      </c>
      <c r="V6">
        <v>0</v>
      </c>
      <c r="W6">
        <v>0</v>
      </c>
      <c r="X6">
        <v>567.20000000000005</v>
      </c>
      <c r="Y6" t="s">
        <v>163</v>
      </c>
    </row>
    <row r="7" spans="1:25" x14ac:dyDescent="0.3">
      <c r="A7">
        <v>0.01</v>
      </c>
      <c r="B7">
        <v>99</v>
      </c>
      <c r="C7">
        <v>1</v>
      </c>
      <c r="D7">
        <v>0.01</v>
      </c>
      <c r="E7" t="s">
        <v>26</v>
      </c>
      <c r="F7">
        <v>0</v>
      </c>
      <c r="G7">
        <v>-0.30727653113770698</v>
      </c>
      <c r="H7">
        <v>0.30757809964626098</v>
      </c>
      <c r="I7">
        <v>0.43476793116561302</v>
      </c>
      <c r="J7">
        <v>5.0928990000000004E-7</v>
      </c>
      <c r="K7">
        <v>1.042802E-7</v>
      </c>
      <c r="L7">
        <v>1</v>
      </c>
      <c r="M7">
        <v>0.307521507728162</v>
      </c>
      <c r="N7">
        <v>-0.307521507728162</v>
      </c>
      <c r="O7">
        <v>6000</v>
      </c>
      <c r="P7">
        <v>16</v>
      </c>
      <c r="Q7">
        <v>1</v>
      </c>
      <c r="R7">
        <v>1</v>
      </c>
      <c r="S7">
        <v>1</v>
      </c>
      <c r="T7">
        <v>0.01</v>
      </c>
      <c r="U7">
        <v>16</v>
      </c>
      <c r="V7">
        <v>0</v>
      </c>
      <c r="W7">
        <v>0</v>
      </c>
      <c r="X7">
        <v>562.70000000000005</v>
      </c>
      <c r="Y7" t="s">
        <v>189</v>
      </c>
    </row>
    <row r="8" spans="1:25" x14ac:dyDescent="0.3">
      <c r="A8">
        <v>0.05</v>
      </c>
      <c r="B8">
        <v>42</v>
      </c>
      <c r="C8">
        <v>2</v>
      </c>
      <c r="D8">
        <v>0.05</v>
      </c>
      <c r="E8" t="s">
        <v>26</v>
      </c>
      <c r="F8">
        <v>0.01</v>
      </c>
      <c r="G8">
        <v>-0.307603905900873</v>
      </c>
      <c r="H8">
        <v>0.30721766184384902</v>
      </c>
      <c r="I8">
        <v>0.43474458556061901</v>
      </c>
      <c r="J8">
        <v>2.6871730000000002E-6</v>
      </c>
      <c r="K8">
        <v>3.5698199999999998E-6</v>
      </c>
      <c r="L8">
        <v>0.999996</v>
      </c>
      <c r="M8">
        <v>0.307521507728162</v>
      </c>
      <c r="N8">
        <v>-0.307521507728162</v>
      </c>
      <c r="O8">
        <v>6000</v>
      </c>
      <c r="P8">
        <v>16</v>
      </c>
      <c r="Q8">
        <v>1</v>
      </c>
      <c r="R8">
        <v>1</v>
      </c>
      <c r="S8">
        <v>1</v>
      </c>
      <c r="T8">
        <v>0.01</v>
      </c>
      <c r="U8">
        <v>16</v>
      </c>
      <c r="V8">
        <v>0</v>
      </c>
      <c r="W8">
        <v>0</v>
      </c>
      <c r="X8">
        <v>568.5</v>
      </c>
      <c r="Y8" t="s">
        <v>190</v>
      </c>
    </row>
    <row r="9" spans="1:25" x14ac:dyDescent="0.3">
      <c r="A9">
        <v>0.05</v>
      </c>
      <c r="B9">
        <v>45</v>
      </c>
      <c r="C9">
        <v>2</v>
      </c>
      <c r="D9">
        <v>0.05</v>
      </c>
      <c r="E9" t="s">
        <v>26</v>
      </c>
      <c r="F9">
        <v>0.01</v>
      </c>
      <c r="G9">
        <v>0.307613868204829</v>
      </c>
      <c r="H9">
        <v>-0.30724679841967401</v>
      </c>
      <c r="I9">
        <v>0.43477222433255602</v>
      </c>
      <c r="J9">
        <v>2.3407860000000001E-6</v>
      </c>
      <c r="K9">
        <v>2.820847E-6</v>
      </c>
      <c r="L9">
        <v>0.99999700000000002</v>
      </c>
      <c r="M9">
        <v>0.307521507728162</v>
      </c>
      <c r="N9">
        <v>-0.307521507728162</v>
      </c>
      <c r="O9">
        <v>6000</v>
      </c>
      <c r="P9">
        <v>16</v>
      </c>
      <c r="Q9">
        <v>1</v>
      </c>
      <c r="R9">
        <v>1</v>
      </c>
      <c r="S9">
        <v>1</v>
      </c>
      <c r="T9">
        <v>0.01</v>
      </c>
      <c r="U9">
        <v>16</v>
      </c>
      <c r="V9">
        <v>0</v>
      </c>
      <c r="W9">
        <v>0</v>
      </c>
      <c r="X9">
        <v>550.4</v>
      </c>
      <c r="Y9" t="s">
        <v>164</v>
      </c>
    </row>
    <row r="10" spans="1:25" x14ac:dyDescent="0.3">
      <c r="A10">
        <v>0.05</v>
      </c>
      <c r="B10">
        <v>99</v>
      </c>
      <c r="C10">
        <v>2</v>
      </c>
      <c r="D10">
        <v>0.05</v>
      </c>
      <c r="E10" t="s">
        <v>26</v>
      </c>
      <c r="F10">
        <v>0.01</v>
      </c>
      <c r="G10">
        <v>-0.30764897440289701</v>
      </c>
      <c r="H10">
        <v>0.30718072373448602</v>
      </c>
      <c r="I10">
        <v>0.43475037491093299</v>
      </c>
      <c r="J10">
        <v>2.5218120000000001E-6</v>
      </c>
      <c r="K10">
        <v>2.5133320000000002E-6</v>
      </c>
      <c r="L10">
        <v>0.99999700000000002</v>
      </c>
      <c r="M10">
        <v>0.307521507728162</v>
      </c>
      <c r="N10">
        <v>-0.307521507728162</v>
      </c>
      <c r="O10">
        <v>6000</v>
      </c>
      <c r="P10">
        <v>16</v>
      </c>
      <c r="Q10">
        <v>1</v>
      </c>
      <c r="R10">
        <v>1</v>
      </c>
      <c r="S10">
        <v>1</v>
      </c>
      <c r="T10">
        <v>0.01</v>
      </c>
      <c r="U10">
        <v>16</v>
      </c>
      <c r="V10">
        <v>0</v>
      </c>
      <c r="W10">
        <v>0</v>
      </c>
      <c r="X10">
        <v>569.1</v>
      </c>
      <c r="Y10" t="s">
        <v>191</v>
      </c>
    </row>
    <row r="11" spans="1:25" x14ac:dyDescent="0.3">
      <c r="A11">
        <v>0.1</v>
      </c>
      <c r="B11">
        <v>42</v>
      </c>
      <c r="C11">
        <v>3</v>
      </c>
      <c r="D11">
        <v>0.1</v>
      </c>
      <c r="E11" t="s">
        <v>26</v>
      </c>
      <c r="F11">
        <v>0.05</v>
      </c>
      <c r="G11">
        <v>-0.308043982399967</v>
      </c>
      <c r="H11">
        <v>0.30675175978378499</v>
      </c>
      <c r="I11">
        <v>0.43472719862378101</v>
      </c>
      <c r="J11">
        <v>5.0827219999999998E-6</v>
      </c>
      <c r="K11">
        <v>1.329482E-5</v>
      </c>
      <c r="L11">
        <v>0.99998699999999996</v>
      </c>
      <c r="M11">
        <v>0.307521507728162</v>
      </c>
      <c r="N11">
        <v>-0.307521507728162</v>
      </c>
      <c r="O11">
        <v>6000</v>
      </c>
      <c r="P11">
        <v>16</v>
      </c>
      <c r="Q11">
        <v>1</v>
      </c>
      <c r="R11">
        <v>1</v>
      </c>
      <c r="S11">
        <v>1</v>
      </c>
      <c r="T11">
        <v>0.01</v>
      </c>
      <c r="U11">
        <v>16</v>
      </c>
      <c r="V11">
        <v>0</v>
      </c>
      <c r="W11">
        <v>0</v>
      </c>
      <c r="X11">
        <v>573.6</v>
      </c>
      <c r="Y11" t="s">
        <v>192</v>
      </c>
    </row>
    <row r="12" spans="1:25" x14ac:dyDescent="0.3">
      <c r="A12">
        <v>0.1</v>
      </c>
      <c r="B12">
        <v>45</v>
      </c>
      <c r="C12">
        <v>3</v>
      </c>
      <c r="D12">
        <v>0.1</v>
      </c>
      <c r="E12" t="s">
        <v>26</v>
      </c>
      <c r="F12">
        <v>0.05</v>
      </c>
      <c r="G12">
        <v>0.30804542261731299</v>
      </c>
      <c r="H12">
        <v>-0.30680187585665802</v>
      </c>
      <c r="I12">
        <v>0.434763583369908</v>
      </c>
      <c r="J12">
        <v>4.5493819999999999E-6</v>
      </c>
      <c r="K12">
        <v>1.072965E-5</v>
      </c>
      <c r="L12">
        <v>0.99998900000000002</v>
      </c>
      <c r="M12">
        <v>0.307521507728162</v>
      </c>
      <c r="N12">
        <v>-0.307521507728162</v>
      </c>
      <c r="O12">
        <v>6000</v>
      </c>
      <c r="P12">
        <v>16</v>
      </c>
      <c r="Q12">
        <v>1</v>
      </c>
      <c r="R12">
        <v>1</v>
      </c>
      <c r="S12">
        <v>1</v>
      </c>
      <c r="T12">
        <v>0.01</v>
      </c>
      <c r="U12">
        <v>16</v>
      </c>
      <c r="V12">
        <v>0</v>
      </c>
      <c r="W12">
        <v>0</v>
      </c>
      <c r="X12">
        <v>554.1</v>
      </c>
      <c r="Y12" t="s">
        <v>165</v>
      </c>
    </row>
    <row r="13" spans="1:25" x14ac:dyDescent="0.3">
      <c r="A13">
        <v>0.1</v>
      </c>
      <c r="B13">
        <v>99</v>
      </c>
      <c r="C13">
        <v>3</v>
      </c>
      <c r="D13">
        <v>0.1</v>
      </c>
      <c r="E13" t="s">
        <v>26</v>
      </c>
      <c r="F13">
        <v>0.05</v>
      </c>
      <c r="G13">
        <v>-0.308064479726044</v>
      </c>
      <c r="H13">
        <v>0.30677147663504201</v>
      </c>
      <c r="I13">
        <v>0.43475563543871698</v>
      </c>
      <c r="J13">
        <v>4.8958770000000004E-6</v>
      </c>
      <c r="K13">
        <v>9.3784199999999996E-6</v>
      </c>
      <c r="L13">
        <v>0.99998799999999999</v>
      </c>
      <c r="M13">
        <v>0.307521507728162</v>
      </c>
      <c r="N13">
        <v>-0.307521507728162</v>
      </c>
      <c r="O13">
        <v>6000</v>
      </c>
      <c r="P13">
        <v>16</v>
      </c>
      <c r="Q13">
        <v>1</v>
      </c>
      <c r="R13">
        <v>1</v>
      </c>
      <c r="S13">
        <v>1</v>
      </c>
      <c r="T13">
        <v>0.01</v>
      </c>
      <c r="U13">
        <v>16</v>
      </c>
      <c r="V13">
        <v>0</v>
      </c>
      <c r="W13">
        <v>0</v>
      </c>
      <c r="X13">
        <v>562.79999999999995</v>
      </c>
      <c r="Y13" t="s">
        <v>193</v>
      </c>
    </row>
    <row r="14" spans="1:25" x14ac:dyDescent="0.3">
      <c r="A14">
        <v>0.15</v>
      </c>
      <c r="B14">
        <v>42</v>
      </c>
      <c r="C14">
        <v>4</v>
      </c>
      <c r="D14">
        <v>0.15</v>
      </c>
      <c r="E14" t="s">
        <v>26</v>
      </c>
      <c r="F14">
        <v>0.1</v>
      </c>
      <c r="G14">
        <v>-0.30853682468949301</v>
      </c>
      <c r="H14">
        <v>0.30628668354918198</v>
      </c>
      <c r="I14">
        <v>0.434748783447443</v>
      </c>
      <c r="J14">
        <v>7.1844150000000004E-6</v>
      </c>
      <c r="K14">
        <v>2.7887149999999999E-5</v>
      </c>
      <c r="L14">
        <v>0.99997400000000003</v>
      </c>
      <c r="M14">
        <v>0.307521507728162</v>
      </c>
      <c r="N14">
        <v>-0.307521507728162</v>
      </c>
      <c r="O14">
        <v>6000</v>
      </c>
      <c r="P14">
        <v>16</v>
      </c>
      <c r="Q14">
        <v>1</v>
      </c>
      <c r="R14">
        <v>1</v>
      </c>
      <c r="S14">
        <v>1</v>
      </c>
      <c r="T14">
        <v>0.01</v>
      </c>
      <c r="U14">
        <v>16</v>
      </c>
      <c r="V14">
        <v>0</v>
      </c>
      <c r="W14">
        <v>0</v>
      </c>
      <c r="X14">
        <v>567.20000000000005</v>
      </c>
      <c r="Y14" t="s">
        <v>194</v>
      </c>
    </row>
    <row r="15" spans="1:25" x14ac:dyDescent="0.3">
      <c r="A15">
        <v>0.15</v>
      </c>
      <c r="B15">
        <v>45</v>
      </c>
      <c r="C15">
        <v>4</v>
      </c>
      <c r="D15">
        <v>0.15</v>
      </c>
      <c r="E15" t="s">
        <v>26</v>
      </c>
      <c r="F15">
        <v>0.1</v>
      </c>
      <c r="G15">
        <v>0.30853143976571901</v>
      </c>
      <c r="H15">
        <v>-0.30631610665828601</v>
      </c>
      <c r="I15">
        <v>0.434765691519235</v>
      </c>
      <c r="J15">
        <v>6.6038049999999997E-6</v>
      </c>
      <c r="K15">
        <v>2.3132159999999999E-5</v>
      </c>
      <c r="L15">
        <v>0.99997800000000003</v>
      </c>
      <c r="M15">
        <v>0.307521507728162</v>
      </c>
      <c r="N15">
        <v>-0.307521507728162</v>
      </c>
      <c r="O15">
        <v>6000</v>
      </c>
      <c r="P15">
        <v>16</v>
      </c>
      <c r="Q15">
        <v>1</v>
      </c>
      <c r="R15">
        <v>1</v>
      </c>
      <c r="S15">
        <v>1</v>
      </c>
      <c r="T15">
        <v>0.01</v>
      </c>
      <c r="U15">
        <v>16</v>
      </c>
      <c r="V15">
        <v>0</v>
      </c>
      <c r="W15">
        <v>0</v>
      </c>
      <c r="X15">
        <v>555.79999999999995</v>
      </c>
      <c r="Y15" t="s">
        <v>166</v>
      </c>
    </row>
    <row r="16" spans="1:25" x14ac:dyDescent="0.3">
      <c r="A16">
        <v>0.15</v>
      </c>
      <c r="B16">
        <v>99</v>
      </c>
      <c r="C16">
        <v>4</v>
      </c>
      <c r="D16">
        <v>0.15</v>
      </c>
      <c r="E16" t="s">
        <v>26</v>
      </c>
      <c r="F16">
        <v>0.1</v>
      </c>
      <c r="G16">
        <v>-0.308519028099634</v>
      </c>
      <c r="H16">
        <v>0.30631790150828297</v>
      </c>
      <c r="I16">
        <v>0.43475814826634501</v>
      </c>
      <c r="J16">
        <v>7.0555740000000004E-6</v>
      </c>
      <c r="K16">
        <v>1.9455080000000001E-5</v>
      </c>
      <c r="L16">
        <v>0.99997400000000003</v>
      </c>
      <c r="M16">
        <v>0.307521507728162</v>
      </c>
      <c r="N16">
        <v>-0.307521507728162</v>
      </c>
      <c r="O16">
        <v>6000</v>
      </c>
      <c r="P16">
        <v>16</v>
      </c>
      <c r="Q16">
        <v>1</v>
      </c>
      <c r="R16">
        <v>1</v>
      </c>
      <c r="S16">
        <v>1</v>
      </c>
      <c r="T16">
        <v>0.01</v>
      </c>
      <c r="U16">
        <v>16</v>
      </c>
      <c r="V16">
        <v>0</v>
      </c>
      <c r="W16">
        <v>0</v>
      </c>
      <c r="X16">
        <v>556.1</v>
      </c>
      <c r="Y16" t="s">
        <v>195</v>
      </c>
    </row>
    <row r="17" spans="1:25" x14ac:dyDescent="0.3">
      <c r="A17">
        <v>0.2</v>
      </c>
      <c r="B17">
        <v>42</v>
      </c>
      <c r="C17">
        <v>5</v>
      </c>
      <c r="D17">
        <v>0.2</v>
      </c>
      <c r="E17" t="s">
        <v>26</v>
      </c>
      <c r="F17">
        <v>0.15</v>
      </c>
      <c r="G17">
        <v>-0.30987871187746302</v>
      </c>
      <c r="H17">
        <v>0.30527547101952701</v>
      </c>
      <c r="I17">
        <v>0.43499187266089201</v>
      </c>
      <c r="J17">
        <v>9.1139820000000002E-6</v>
      </c>
      <c r="K17">
        <v>4.5958680000000003E-5</v>
      </c>
      <c r="L17">
        <v>0.99995800000000001</v>
      </c>
      <c r="M17">
        <v>0.307521507728162</v>
      </c>
      <c r="N17">
        <v>-0.307521507728162</v>
      </c>
      <c r="O17">
        <v>6000</v>
      </c>
      <c r="P17">
        <v>16</v>
      </c>
      <c r="Q17">
        <v>1</v>
      </c>
      <c r="R17">
        <v>1</v>
      </c>
      <c r="S17">
        <v>1</v>
      </c>
      <c r="T17">
        <v>0.01</v>
      </c>
      <c r="U17">
        <v>16</v>
      </c>
      <c r="V17">
        <v>0</v>
      </c>
      <c r="W17">
        <v>0</v>
      </c>
      <c r="X17">
        <v>562.6</v>
      </c>
      <c r="Y17" t="s">
        <v>196</v>
      </c>
    </row>
    <row r="18" spans="1:25" x14ac:dyDescent="0.3">
      <c r="A18">
        <v>0.2</v>
      </c>
      <c r="B18">
        <v>45</v>
      </c>
      <c r="C18">
        <v>5</v>
      </c>
      <c r="D18">
        <v>0.2</v>
      </c>
      <c r="E18" t="s">
        <v>26</v>
      </c>
      <c r="F18">
        <v>0.15</v>
      </c>
      <c r="G18">
        <v>0.30905199894930602</v>
      </c>
      <c r="H18">
        <v>-0.30577705458875598</v>
      </c>
      <c r="I18">
        <v>0.43475596047384701</v>
      </c>
      <c r="J18">
        <v>8.4921729999999992E-6</v>
      </c>
      <c r="K18">
        <v>3.8932030000000001E-5</v>
      </c>
      <c r="L18">
        <v>0.99996300000000005</v>
      </c>
      <c r="M18">
        <v>0.307521507728162</v>
      </c>
      <c r="N18">
        <v>-0.307521507728162</v>
      </c>
      <c r="O18">
        <v>6000</v>
      </c>
      <c r="P18">
        <v>16</v>
      </c>
      <c r="Q18">
        <v>1</v>
      </c>
      <c r="R18">
        <v>1</v>
      </c>
      <c r="S18">
        <v>1</v>
      </c>
      <c r="T18">
        <v>0.01</v>
      </c>
      <c r="U18">
        <v>16</v>
      </c>
      <c r="V18">
        <v>0</v>
      </c>
      <c r="W18">
        <v>0</v>
      </c>
      <c r="X18">
        <v>560.5</v>
      </c>
      <c r="Y18" t="s">
        <v>167</v>
      </c>
    </row>
    <row r="19" spans="1:25" ht="15" thickBot="1" x14ac:dyDescent="0.35">
      <c r="A19">
        <v>0.2</v>
      </c>
      <c r="B19">
        <v>99</v>
      </c>
      <c r="C19">
        <v>5</v>
      </c>
      <c r="D19">
        <v>0.2</v>
      </c>
      <c r="E19" t="s">
        <v>26</v>
      </c>
      <c r="F19">
        <v>0.15</v>
      </c>
      <c r="G19">
        <v>-0.308986425452068</v>
      </c>
      <c r="H19">
        <v>0.30584027669236302</v>
      </c>
      <c r="I19">
        <v>0.43475382224991099</v>
      </c>
      <c r="J19">
        <v>9.0493059999999997E-6</v>
      </c>
      <c r="K19">
        <v>3.2130450000000003E-5</v>
      </c>
      <c r="L19">
        <v>0.99995800000000001</v>
      </c>
      <c r="M19">
        <v>0.307521507728162</v>
      </c>
      <c r="N19">
        <v>-0.307521507728162</v>
      </c>
      <c r="O19">
        <v>6000</v>
      </c>
      <c r="P19">
        <v>16</v>
      </c>
      <c r="Q19">
        <v>1</v>
      </c>
      <c r="R19">
        <v>1</v>
      </c>
      <c r="S19">
        <v>1</v>
      </c>
      <c r="T19">
        <v>0.01</v>
      </c>
      <c r="U19">
        <v>16</v>
      </c>
      <c r="V19">
        <v>0</v>
      </c>
      <c r="W19">
        <v>0</v>
      </c>
      <c r="X19">
        <v>566.1</v>
      </c>
      <c r="Y19" t="s">
        <v>197</v>
      </c>
    </row>
    <row r="20" spans="1:25" x14ac:dyDescent="0.3">
      <c r="A20">
        <v>0.3</v>
      </c>
      <c r="B20">
        <v>42</v>
      </c>
      <c r="C20">
        <v>6</v>
      </c>
      <c r="D20">
        <v>0.3</v>
      </c>
      <c r="E20" t="s">
        <v>26</v>
      </c>
      <c r="F20">
        <v>0.2</v>
      </c>
      <c r="G20">
        <v>-0.31480960917216899</v>
      </c>
      <c r="H20" s="101">
        <v>0.30246528656044502</v>
      </c>
      <c r="I20">
        <v>0.436566535136657</v>
      </c>
      <c r="J20">
        <v>1.2807289999999999E-5</v>
      </c>
      <c r="K20">
        <v>9.1839569999999999E-5</v>
      </c>
      <c r="L20">
        <v>0.99991799999999997</v>
      </c>
      <c r="M20">
        <v>0.307521507728162</v>
      </c>
      <c r="N20">
        <v>-0.307521507728162</v>
      </c>
      <c r="O20">
        <v>6000</v>
      </c>
      <c r="P20">
        <v>16</v>
      </c>
      <c r="Q20">
        <v>1</v>
      </c>
      <c r="R20">
        <v>1</v>
      </c>
      <c r="S20">
        <v>1</v>
      </c>
      <c r="T20">
        <v>0.01</v>
      </c>
      <c r="U20">
        <v>16</v>
      </c>
      <c r="V20">
        <v>0</v>
      </c>
      <c r="W20">
        <v>0</v>
      </c>
      <c r="X20">
        <v>561</v>
      </c>
      <c r="Y20" t="s">
        <v>198</v>
      </c>
    </row>
    <row r="21" spans="1:25" x14ac:dyDescent="0.3">
      <c r="A21">
        <v>0.3</v>
      </c>
      <c r="B21">
        <v>45</v>
      </c>
      <c r="C21">
        <v>6</v>
      </c>
      <c r="D21">
        <v>0.3</v>
      </c>
      <c r="E21" t="s">
        <v>26</v>
      </c>
      <c r="F21" s="102">
        <v>0.30496306385530098</v>
      </c>
      <c r="G21">
        <v>0.311482275189575</v>
      </c>
      <c r="H21" s="102">
        <v>-0.304049744640286</v>
      </c>
      <c r="I21">
        <v>0.43527859466449498</v>
      </c>
      <c r="J21">
        <v>1.207952E-5</v>
      </c>
      <c r="K21">
        <v>7.8785119999999994E-5</v>
      </c>
      <c r="L21">
        <v>0.99992700000000001</v>
      </c>
      <c r="M21">
        <v>0.307521507728162</v>
      </c>
      <c r="N21">
        <v>-0.307521507728162</v>
      </c>
      <c r="O21">
        <v>6000</v>
      </c>
      <c r="P21">
        <v>16</v>
      </c>
      <c r="Q21">
        <v>1</v>
      </c>
      <c r="R21">
        <v>1</v>
      </c>
      <c r="S21">
        <v>1</v>
      </c>
      <c r="T21">
        <v>0.01</v>
      </c>
      <c r="U21">
        <v>16</v>
      </c>
      <c r="V21">
        <v>0</v>
      </c>
      <c r="W21">
        <v>0</v>
      </c>
      <c r="X21">
        <v>558.9</v>
      </c>
      <c r="Y21" t="s">
        <v>168</v>
      </c>
    </row>
    <row r="22" spans="1:25" ht="15" thickBot="1" x14ac:dyDescent="0.35">
      <c r="A22">
        <v>0.3</v>
      </c>
      <c r="B22">
        <v>99</v>
      </c>
      <c r="C22">
        <v>6</v>
      </c>
      <c r="D22">
        <v>0.3</v>
      </c>
      <c r="E22" t="s">
        <v>26</v>
      </c>
      <c r="F22">
        <v>0.2</v>
      </c>
      <c r="G22">
        <v>-0.31125535298231899</v>
      </c>
      <c r="H22" s="103">
        <v>0.30428897048444098</v>
      </c>
      <c r="I22">
        <v>0.43528343905854</v>
      </c>
      <c r="J22">
        <v>1.2942779999999999E-5</v>
      </c>
      <c r="K22">
        <v>6.5068259999999999E-5</v>
      </c>
      <c r="L22">
        <v>0.999915</v>
      </c>
      <c r="M22">
        <v>0.307521507728162</v>
      </c>
      <c r="N22">
        <v>-0.307521507728162</v>
      </c>
      <c r="O22">
        <v>6000</v>
      </c>
      <c r="P22">
        <v>16</v>
      </c>
      <c r="Q22">
        <v>1</v>
      </c>
      <c r="R22">
        <v>1</v>
      </c>
      <c r="S22">
        <v>1</v>
      </c>
      <c r="T22">
        <v>0.01</v>
      </c>
      <c r="U22">
        <v>16</v>
      </c>
      <c r="V22">
        <v>0</v>
      </c>
      <c r="W22">
        <v>0</v>
      </c>
      <c r="X22">
        <v>565.79999999999995</v>
      </c>
      <c r="Y22" t="s">
        <v>199</v>
      </c>
    </row>
    <row r="23" spans="1:25" x14ac:dyDescent="0.3">
      <c r="A23">
        <v>0.4</v>
      </c>
      <c r="B23">
        <v>42</v>
      </c>
      <c r="C23">
        <v>7</v>
      </c>
      <c r="D23">
        <v>0.4</v>
      </c>
      <c r="E23" t="s">
        <v>26</v>
      </c>
      <c r="F23">
        <v>0.3</v>
      </c>
      <c r="G23">
        <v>-0.31575936891066297</v>
      </c>
      <c r="H23">
        <v>0.30207430753862502</v>
      </c>
      <c r="I23">
        <v>0.43698154003321499</v>
      </c>
      <c r="J23">
        <v>1.610893E-5</v>
      </c>
      <c r="K23">
        <v>1.480172E-4</v>
      </c>
      <c r="L23">
        <v>0.99987000000000004</v>
      </c>
      <c r="M23">
        <v>0.307521507728162</v>
      </c>
      <c r="N23">
        <v>-0.307521507728162</v>
      </c>
      <c r="O23">
        <v>6000</v>
      </c>
      <c r="P23">
        <v>16</v>
      </c>
      <c r="Q23">
        <v>1</v>
      </c>
      <c r="R23">
        <v>1</v>
      </c>
      <c r="S23">
        <v>1</v>
      </c>
      <c r="T23">
        <v>0.01</v>
      </c>
      <c r="U23">
        <v>16</v>
      </c>
      <c r="V23">
        <v>0</v>
      </c>
      <c r="W23">
        <v>0</v>
      </c>
      <c r="X23">
        <v>554.5</v>
      </c>
      <c r="Y23" t="s">
        <v>200</v>
      </c>
    </row>
    <row r="24" spans="1:25" x14ac:dyDescent="0.3">
      <c r="A24">
        <v>0.4</v>
      </c>
      <c r="B24">
        <v>45</v>
      </c>
      <c r="C24">
        <v>7</v>
      </c>
      <c r="D24">
        <v>0.4</v>
      </c>
      <c r="E24" t="s">
        <v>26</v>
      </c>
      <c r="F24">
        <v>0.3</v>
      </c>
      <c r="G24">
        <v>0.31148376854967003</v>
      </c>
      <c r="H24">
        <v>-0.30367082962349401</v>
      </c>
      <c r="I24">
        <v>0.43501506966325398</v>
      </c>
      <c r="J24">
        <v>1.546696E-5</v>
      </c>
      <c r="K24">
        <v>1.2694989999999999E-4</v>
      </c>
      <c r="L24">
        <v>0.99987999999999999</v>
      </c>
      <c r="M24">
        <v>0.307521507728162</v>
      </c>
      <c r="N24">
        <v>-0.307521507728162</v>
      </c>
      <c r="O24">
        <v>6000</v>
      </c>
      <c r="P24">
        <v>16</v>
      </c>
      <c r="Q24">
        <v>1</v>
      </c>
      <c r="R24">
        <v>1</v>
      </c>
      <c r="S24">
        <v>1</v>
      </c>
      <c r="T24">
        <v>0.01</v>
      </c>
      <c r="U24">
        <v>16</v>
      </c>
      <c r="V24">
        <v>0</v>
      </c>
      <c r="W24">
        <v>0</v>
      </c>
      <c r="X24">
        <v>552.9</v>
      </c>
      <c r="Y24" t="s">
        <v>169</v>
      </c>
    </row>
    <row r="25" spans="1:25" x14ac:dyDescent="0.3">
      <c r="A25">
        <v>0.4</v>
      </c>
      <c r="B25">
        <v>99</v>
      </c>
      <c r="C25">
        <v>7</v>
      </c>
      <c r="D25">
        <v>0.4</v>
      </c>
      <c r="E25" t="s">
        <v>26</v>
      </c>
      <c r="F25">
        <v>0.3</v>
      </c>
      <c r="G25">
        <v>-0.31160146956745899</v>
      </c>
      <c r="H25">
        <v>0.30379536869866702</v>
      </c>
      <c r="I25">
        <v>0.43518628411217097</v>
      </c>
      <c r="J25">
        <v>1.6521569999999999E-5</v>
      </c>
      <c r="K25">
        <v>1.0386030000000001E-4</v>
      </c>
      <c r="L25">
        <v>0.99986200000000003</v>
      </c>
      <c r="M25">
        <v>0.307521507728162</v>
      </c>
      <c r="N25">
        <v>-0.307521507728162</v>
      </c>
      <c r="O25">
        <v>6000</v>
      </c>
      <c r="P25">
        <v>16</v>
      </c>
      <c r="Q25">
        <v>1</v>
      </c>
      <c r="R25">
        <v>1</v>
      </c>
      <c r="S25">
        <v>1</v>
      </c>
      <c r="T25">
        <v>0.01</v>
      </c>
      <c r="U25">
        <v>16</v>
      </c>
      <c r="V25">
        <v>0</v>
      </c>
      <c r="W25">
        <v>0</v>
      </c>
      <c r="X25">
        <v>554.70000000000005</v>
      </c>
      <c r="Y25" t="s">
        <v>201</v>
      </c>
    </row>
    <row r="26" spans="1:25" x14ac:dyDescent="0.3">
      <c r="A26">
        <v>0.5</v>
      </c>
      <c r="B26">
        <v>42</v>
      </c>
      <c r="C26">
        <v>8</v>
      </c>
      <c r="D26">
        <v>0.5</v>
      </c>
      <c r="E26" t="s">
        <v>26</v>
      </c>
      <c r="F26">
        <v>0.4</v>
      </c>
      <c r="G26">
        <v>-0.31402232451387602</v>
      </c>
      <c r="H26">
        <v>0.30238622145897398</v>
      </c>
      <c r="I26">
        <v>0.43594431665217798</v>
      </c>
      <c r="J26">
        <v>1.9245369999999998E-5</v>
      </c>
      <c r="K26">
        <v>2.145061E-4</v>
      </c>
      <c r="L26">
        <v>0.99981299999999995</v>
      </c>
      <c r="M26">
        <v>0.307521507728162</v>
      </c>
      <c r="N26">
        <v>-0.307521507728162</v>
      </c>
      <c r="O26">
        <v>6000</v>
      </c>
      <c r="P26">
        <v>16</v>
      </c>
      <c r="Q26">
        <v>1</v>
      </c>
      <c r="R26">
        <v>1</v>
      </c>
      <c r="S26">
        <v>1</v>
      </c>
      <c r="T26">
        <v>0.01</v>
      </c>
      <c r="U26">
        <v>16</v>
      </c>
      <c r="V26">
        <v>0</v>
      </c>
      <c r="W26">
        <v>0</v>
      </c>
      <c r="X26">
        <v>558.6</v>
      </c>
      <c r="Y26" t="s">
        <v>202</v>
      </c>
    </row>
    <row r="27" spans="1:25" x14ac:dyDescent="0.3">
      <c r="A27">
        <v>0.5</v>
      </c>
      <c r="B27">
        <v>45</v>
      </c>
      <c r="C27">
        <v>8</v>
      </c>
      <c r="D27">
        <v>0.5</v>
      </c>
      <c r="E27" t="s">
        <v>26</v>
      </c>
      <c r="F27">
        <v>0.4</v>
      </c>
      <c r="G27">
        <v>0.31170765216752699</v>
      </c>
      <c r="H27">
        <v>-0.30299646828716797</v>
      </c>
      <c r="I27">
        <v>0.43470509568475202</v>
      </c>
      <c r="J27">
        <v>1.879642E-5</v>
      </c>
      <c r="K27">
        <v>1.845793E-4</v>
      </c>
      <c r="L27">
        <v>0.99982300000000002</v>
      </c>
      <c r="M27">
        <v>0.307521507728162</v>
      </c>
      <c r="N27">
        <v>-0.307521507728162</v>
      </c>
      <c r="O27">
        <v>6000</v>
      </c>
      <c r="P27">
        <v>16</v>
      </c>
      <c r="Q27">
        <v>1</v>
      </c>
      <c r="R27">
        <v>1</v>
      </c>
      <c r="S27">
        <v>1</v>
      </c>
      <c r="T27">
        <v>0.01</v>
      </c>
      <c r="U27">
        <v>16</v>
      </c>
      <c r="V27">
        <v>0</v>
      </c>
      <c r="W27">
        <v>0</v>
      </c>
      <c r="X27">
        <v>551.6</v>
      </c>
      <c r="Y27" t="s">
        <v>170</v>
      </c>
    </row>
    <row r="28" spans="1:25" x14ac:dyDescent="0.3">
      <c r="A28">
        <v>0.5</v>
      </c>
      <c r="B28">
        <v>99</v>
      </c>
      <c r="C28">
        <v>8</v>
      </c>
      <c r="D28">
        <v>0.5</v>
      </c>
      <c r="E28" t="s">
        <v>26</v>
      </c>
      <c r="F28">
        <v>0.4</v>
      </c>
      <c r="G28">
        <v>-0.31183158172710801</v>
      </c>
      <c r="H28">
        <v>0.30299836142248698</v>
      </c>
      <c r="I28">
        <v>0.43479528790816302</v>
      </c>
      <c r="J28">
        <v>1.9948619999999999E-5</v>
      </c>
      <c r="K28">
        <v>1.513513E-4</v>
      </c>
      <c r="L28">
        <v>0.99979899999999999</v>
      </c>
      <c r="M28">
        <v>0.307521507728162</v>
      </c>
      <c r="N28">
        <v>-0.307521507728162</v>
      </c>
      <c r="O28">
        <v>6000</v>
      </c>
      <c r="P28">
        <v>16</v>
      </c>
      <c r="Q28">
        <v>1</v>
      </c>
      <c r="R28">
        <v>1</v>
      </c>
      <c r="S28">
        <v>1</v>
      </c>
      <c r="T28">
        <v>0.01</v>
      </c>
      <c r="U28">
        <v>16</v>
      </c>
      <c r="V28">
        <v>0</v>
      </c>
      <c r="W28">
        <v>0</v>
      </c>
      <c r="X28">
        <v>570</v>
      </c>
      <c r="Y28" t="s">
        <v>203</v>
      </c>
    </row>
    <row r="29" spans="1:25" x14ac:dyDescent="0.3">
      <c r="A29">
        <v>0.6</v>
      </c>
      <c r="B29">
        <v>42</v>
      </c>
      <c r="C29">
        <v>9</v>
      </c>
      <c r="D29">
        <v>0.6</v>
      </c>
      <c r="E29" t="s">
        <v>26</v>
      </c>
      <c r="F29">
        <v>0.5</v>
      </c>
      <c r="G29">
        <v>-0.31290493714897599</v>
      </c>
      <c r="H29">
        <v>0.302065742800257</v>
      </c>
      <c r="I29">
        <v>0.434917477995166</v>
      </c>
      <c r="J29">
        <v>2.2401929999999998E-5</v>
      </c>
      <c r="K29">
        <v>2.9723800000000002E-4</v>
      </c>
      <c r="L29">
        <v>0.99974499999999999</v>
      </c>
      <c r="M29">
        <v>0.307521507728162</v>
      </c>
      <c r="N29">
        <v>-0.307521507728162</v>
      </c>
      <c r="O29">
        <v>6000</v>
      </c>
      <c r="P29">
        <v>16</v>
      </c>
      <c r="Q29">
        <v>1</v>
      </c>
      <c r="R29">
        <v>1</v>
      </c>
      <c r="S29">
        <v>1</v>
      </c>
      <c r="T29">
        <v>0.01</v>
      </c>
      <c r="U29">
        <v>16</v>
      </c>
      <c r="V29">
        <v>0</v>
      </c>
      <c r="W29">
        <v>0</v>
      </c>
      <c r="X29">
        <v>548</v>
      </c>
      <c r="Y29" t="s">
        <v>204</v>
      </c>
    </row>
    <row r="30" spans="1:25" x14ac:dyDescent="0.3">
      <c r="A30">
        <v>0.6</v>
      </c>
      <c r="B30">
        <v>45</v>
      </c>
      <c r="C30">
        <v>9</v>
      </c>
      <c r="D30">
        <v>0.6</v>
      </c>
      <c r="E30" t="s">
        <v>26</v>
      </c>
      <c r="F30">
        <v>0.5</v>
      </c>
      <c r="G30">
        <v>0.312276772247356</v>
      </c>
      <c r="H30">
        <v>-0.302112874093313</v>
      </c>
      <c r="I30">
        <v>0.43449852839583802</v>
      </c>
      <c r="J30">
        <v>2.2139919999999999E-5</v>
      </c>
      <c r="K30">
        <v>2.5545400000000001E-4</v>
      </c>
      <c r="L30">
        <v>0.99975499999999995</v>
      </c>
      <c r="M30">
        <v>0.307521507728162</v>
      </c>
      <c r="N30">
        <v>-0.307521507728162</v>
      </c>
      <c r="O30">
        <v>6000</v>
      </c>
      <c r="P30">
        <v>16</v>
      </c>
      <c r="Q30">
        <v>1</v>
      </c>
      <c r="R30">
        <v>1</v>
      </c>
      <c r="S30">
        <v>1</v>
      </c>
      <c r="T30">
        <v>0.01</v>
      </c>
      <c r="U30">
        <v>16</v>
      </c>
      <c r="V30">
        <v>0</v>
      </c>
      <c r="W30">
        <v>0</v>
      </c>
      <c r="X30">
        <v>551.5</v>
      </c>
      <c r="Y30" t="s">
        <v>171</v>
      </c>
    </row>
    <row r="31" spans="1:25" x14ac:dyDescent="0.3">
      <c r="A31">
        <v>0.6</v>
      </c>
      <c r="B31">
        <v>99</v>
      </c>
      <c r="C31">
        <v>9</v>
      </c>
      <c r="D31">
        <v>0.6</v>
      </c>
      <c r="E31" t="s">
        <v>26</v>
      </c>
      <c r="F31">
        <v>0.5</v>
      </c>
      <c r="G31">
        <v>-0.31232998482285701</v>
      </c>
      <c r="H31">
        <v>0.30208120591058801</v>
      </c>
      <c r="I31">
        <v>0.43451475738327</v>
      </c>
      <c r="J31">
        <v>2.3371989999999998E-5</v>
      </c>
      <c r="K31">
        <v>2.0950799999999999E-4</v>
      </c>
      <c r="L31">
        <v>0.99972399999999995</v>
      </c>
      <c r="M31">
        <v>0.307521507728162</v>
      </c>
      <c r="N31">
        <v>-0.307521507728162</v>
      </c>
      <c r="O31">
        <v>6000</v>
      </c>
      <c r="P31">
        <v>16</v>
      </c>
      <c r="Q31">
        <v>1</v>
      </c>
      <c r="R31">
        <v>1</v>
      </c>
      <c r="S31">
        <v>1</v>
      </c>
      <c r="T31">
        <v>0.01</v>
      </c>
      <c r="U31">
        <v>16</v>
      </c>
      <c r="V31">
        <v>0</v>
      </c>
      <c r="W31">
        <v>0</v>
      </c>
      <c r="X31">
        <v>560.70000000000005</v>
      </c>
      <c r="Y31" t="s">
        <v>205</v>
      </c>
    </row>
    <row r="32" spans="1:25" x14ac:dyDescent="0.3">
      <c r="A32">
        <v>0.8</v>
      </c>
      <c r="B32">
        <v>42</v>
      </c>
      <c r="C32">
        <v>10</v>
      </c>
      <c r="D32">
        <v>0.8</v>
      </c>
      <c r="E32" t="s">
        <v>26</v>
      </c>
      <c r="F32">
        <v>0.6</v>
      </c>
      <c r="G32">
        <v>-0.313940115756208</v>
      </c>
      <c r="H32">
        <v>0.30017598595019401</v>
      </c>
      <c r="I32">
        <v>0.43435471543680998</v>
      </c>
      <c r="J32">
        <v>2.903754E-5</v>
      </c>
      <c r="K32">
        <v>5.1308159999999996E-4</v>
      </c>
      <c r="L32">
        <v>0.99956999999999996</v>
      </c>
      <c r="M32">
        <v>0.307521507728162</v>
      </c>
      <c r="N32">
        <v>-0.307521507728162</v>
      </c>
      <c r="O32">
        <v>6000</v>
      </c>
      <c r="P32">
        <v>16</v>
      </c>
      <c r="Q32">
        <v>1</v>
      </c>
      <c r="R32">
        <v>1</v>
      </c>
      <c r="S32">
        <v>1</v>
      </c>
      <c r="T32">
        <v>0.01</v>
      </c>
      <c r="U32">
        <v>16</v>
      </c>
      <c r="V32">
        <v>0</v>
      </c>
      <c r="W32">
        <v>0</v>
      </c>
      <c r="X32">
        <v>554.29999999999995</v>
      </c>
      <c r="Y32" t="s">
        <v>206</v>
      </c>
    </row>
    <row r="33" spans="1:25" x14ac:dyDescent="0.3">
      <c r="A33">
        <v>0.8</v>
      </c>
      <c r="B33">
        <v>45</v>
      </c>
      <c r="C33">
        <v>10</v>
      </c>
      <c r="D33">
        <v>0.8</v>
      </c>
      <c r="E33" t="s">
        <v>26</v>
      </c>
      <c r="F33">
        <v>0.6</v>
      </c>
      <c r="G33">
        <v>0.313795350831924</v>
      </c>
      <c r="H33">
        <v>-0.30016473444527803</v>
      </c>
      <c r="I33">
        <v>0.43424231715521999</v>
      </c>
      <c r="J33">
        <v>2.8975129999999998E-5</v>
      </c>
      <c r="K33">
        <v>4.4176000000000003E-4</v>
      </c>
      <c r="L33">
        <v>0.999579</v>
      </c>
      <c r="M33">
        <v>0.307521507728162</v>
      </c>
      <c r="N33">
        <v>-0.307521507728162</v>
      </c>
      <c r="O33">
        <v>6000</v>
      </c>
      <c r="P33">
        <v>16</v>
      </c>
      <c r="Q33">
        <v>1</v>
      </c>
      <c r="R33">
        <v>1</v>
      </c>
      <c r="S33">
        <v>1</v>
      </c>
      <c r="T33">
        <v>0.01</v>
      </c>
      <c r="U33">
        <v>16</v>
      </c>
      <c r="V33">
        <v>0</v>
      </c>
      <c r="W33">
        <v>0</v>
      </c>
      <c r="X33">
        <v>547.9</v>
      </c>
      <c r="Y33" t="s">
        <v>172</v>
      </c>
    </row>
    <row r="34" spans="1:25" x14ac:dyDescent="0.3">
      <c r="A34">
        <v>0.8</v>
      </c>
      <c r="B34">
        <v>99</v>
      </c>
      <c r="C34">
        <v>10</v>
      </c>
      <c r="D34">
        <v>0.8</v>
      </c>
      <c r="E34" t="s">
        <v>26</v>
      </c>
      <c r="F34">
        <v>0.6</v>
      </c>
      <c r="G34">
        <v>-0.31381316949412102</v>
      </c>
      <c r="H34">
        <v>0.30012685107843001</v>
      </c>
      <c r="I34">
        <v>0.43422900880318899</v>
      </c>
      <c r="J34">
        <v>3.0444049999999999E-5</v>
      </c>
      <c r="K34">
        <v>3.571057E-4</v>
      </c>
      <c r="L34">
        <v>0.99953199999999998</v>
      </c>
      <c r="M34">
        <v>0.307521507728162</v>
      </c>
      <c r="N34">
        <v>-0.307521507728162</v>
      </c>
      <c r="O34">
        <v>6000</v>
      </c>
      <c r="P34">
        <v>16</v>
      </c>
      <c r="Q34">
        <v>1</v>
      </c>
      <c r="R34">
        <v>1</v>
      </c>
      <c r="S34">
        <v>1</v>
      </c>
      <c r="T34">
        <v>0.01</v>
      </c>
      <c r="U34">
        <v>16</v>
      </c>
      <c r="V34">
        <v>0</v>
      </c>
      <c r="W34">
        <v>0</v>
      </c>
      <c r="X34">
        <v>558.20000000000005</v>
      </c>
      <c r="Y34" t="s">
        <v>207</v>
      </c>
    </row>
    <row r="35" spans="1:25" x14ac:dyDescent="0.3">
      <c r="A35">
        <v>1</v>
      </c>
      <c r="B35">
        <v>42</v>
      </c>
      <c r="C35">
        <v>11</v>
      </c>
      <c r="D35">
        <v>1</v>
      </c>
      <c r="E35" t="s">
        <v>26</v>
      </c>
      <c r="F35">
        <v>0.8</v>
      </c>
      <c r="G35">
        <v>-0.31533075743803801</v>
      </c>
      <c r="H35">
        <v>0.29818419874942498</v>
      </c>
      <c r="I35">
        <v>0.43398998026484797</v>
      </c>
      <c r="J35">
        <v>3.5551479999999999E-5</v>
      </c>
      <c r="K35">
        <v>7.8285469999999995E-4</v>
      </c>
      <c r="L35">
        <v>0.99935200000000002</v>
      </c>
      <c r="M35">
        <v>0.307521507728162</v>
      </c>
      <c r="N35">
        <v>-0.307521507728162</v>
      </c>
      <c r="O35">
        <v>6000</v>
      </c>
      <c r="P35">
        <v>16</v>
      </c>
      <c r="Q35">
        <v>1</v>
      </c>
      <c r="R35">
        <v>1</v>
      </c>
      <c r="S35">
        <v>1</v>
      </c>
      <c r="T35">
        <v>0.01</v>
      </c>
      <c r="U35">
        <v>16</v>
      </c>
      <c r="V35">
        <v>0</v>
      </c>
      <c r="W35">
        <v>0</v>
      </c>
      <c r="X35">
        <v>552.1</v>
      </c>
      <c r="Y35" t="s">
        <v>208</v>
      </c>
    </row>
    <row r="36" spans="1:25" x14ac:dyDescent="0.3">
      <c r="A36">
        <v>1</v>
      </c>
      <c r="B36">
        <v>45</v>
      </c>
      <c r="C36">
        <v>11</v>
      </c>
      <c r="D36">
        <v>1</v>
      </c>
      <c r="E36" t="s">
        <v>26</v>
      </c>
      <c r="F36">
        <v>0.8</v>
      </c>
      <c r="G36">
        <v>0.31527619191501899</v>
      </c>
      <c r="H36">
        <v>-0.29817092899876102</v>
      </c>
      <c r="I36">
        <v>0.43394121731914398</v>
      </c>
      <c r="J36">
        <v>3.5637879999999998E-5</v>
      </c>
      <c r="K36">
        <v>6.7495779999999996E-4</v>
      </c>
      <c r="L36">
        <v>0.999359</v>
      </c>
      <c r="M36">
        <v>0.307521507728162</v>
      </c>
      <c r="N36">
        <v>-0.307521507728162</v>
      </c>
      <c r="O36">
        <v>6000</v>
      </c>
      <c r="P36">
        <v>16</v>
      </c>
      <c r="Q36">
        <v>1</v>
      </c>
      <c r="R36">
        <v>1</v>
      </c>
      <c r="S36">
        <v>1</v>
      </c>
      <c r="T36">
        <v>0.01</v>
      </c>
      <c r="U36">
        <v>16</v>
      </c>
      <c r="V36">
        <v>0</v>
      </c>
      <c r="W36">
        <v>0</v>
      </c>
      <c r="X36">
        <v>548.70000000000005</v>
      </c>
      <c r="Y36" t="s">
        <v>173</v>
      </c>
    </row>
    <row r="37" spans="1:25" x14ac:dyDescent="0.3">
      <c r="A37">
        <v>1</v>
      </c>
      <c r="B37">
        <v>99</v>
      </c>
      <c r="C37">
        <v>11</v>
      </c>
      <c r="D37">
        <v>1</v>
      </c>
      <c r="E37" t="s">
        <v>26</v>
      </c>
      <c r="F37">
        <v>0.8</v>
      </c>
      <c r="G37">
        <v>-0.31529139887833801</v>
      </c>
      <c r="H37">
        <v>0.298131538872761</v>
      </c>
      <c r="I37">
        <v>0.433925201707967</v>
      </c>
      <c r="J37">
        <v>3.7294569999999998E-5</v>
      </c>
      <c r="K37">
        <v>5.3781710000000004E-4</v>
      </c>
      <c r="L37">
        <v>0.99929199999999996</v>
      </c>
      <c r="M37">
        <v>0.307521507728162</v>
      </c>
      <c r="N37">
        <v>-0.307521507728162</v>
      </c>
      <c r="O37">
        <v>6000</v>
      </c>
      <c r="P37">
        <v>16</v>
      </c>
      <c r="Q37">
        <v>1</v>
      </c>
      <c r="R37">
        <v>1</v>
      </c>
      <c r="S37">
        <v>1</v>
      </c>
      <c r="T37">
        <v>0.01</v>
      </c>
      <c r="U37">
        <v>16</v>
      </c>
      <c r="V37">
        <v>0</v>
      </c>
      <c r="W37">
        <v>0</v>
      </c>
      <c r="X37">
        <v>558.6</v>
      </c>
      <c r="Y37" t="s">
        <v>209</v>
      </c>
    </row>
    <row r="38" spans="1:25" x14ac:dyDescent="0.3">
      <c r="A38">
        <v>1.5</v>
      </c>
      <c r="B38">
        <v>42</v>
      </c>
      <c r="C38">
        <v>12</v>
      </c>
      <c r="D38">
        <v>1.5</v>
      </c>
      <c r="E38" t="s">
        <v>26</v>
      </c>
      <c r="F38">
        <v>1</v>
      </c>
      <c r="G38">
        <v>-0.31869900320248901</v>
      </c>
      <c r="H38">
        <v>0.293098925364287</v>
      </c>
      <c r="I38">
        <v>0.43298502825381902</v>
      </c>
      <c r="J38">
        <v>5.084192E-5</v>
      </c>
      <c r="K38">
        <v>1.658037E-3</v>
      </c>
      <c r="L38">
        <v>0.99865300000000001</v>
      </c>
      <c r="M38">
        <v>0.307521507728162</v>
      </c>
      <c r="N38">
        <v>-0.307521507728162</v>
      </c>
      <c r="O38">
        <v>6000</v>
      </c>
      <c r="P38">
        <v>16</v>
      </c>
      <c r="Q38">
        <v>1</v>
      </c>
      <c r="R38">
        <v>1</v>
      </c>
      <c r="S38">
        <v>1</v>
      </c>
      <c r="T38">
        <v>0.01</v>
      </c>
      <c r="U38">
        <v>16</v>
      </c>
      <c r="V38">
        <v>0</v>
      </c>
      <c r="W38">
        <v>0</v>
      </c>
      <c r="X38">
        <v>557</v>
      </c>
      <c r="Y38" t="s">
        <v>210</v>
      </c>
    </row>
    <row r="39" spans="1:25" x14ac:dyDescent="0.3">
      <c r="A39">
        <v>1.5</v>
      </c>
      <c r="B39">
        <v>45</v>
      </c>
      <c r="C39">
        <v>12</v>
      </c>
      <c r="D39">
        <v>1.5</v>
      </c>
      <c r="E39" t="s">
        <v>26</v>
      </c>
      <c r="F39">
        <v>1</v>
      </c>
      <c r="G39">
        <v>0.318673821212129</v>
      </c>
      <c r="H39">
        <v>-0.29309597542305099</v>
      </c>
      <c r="I39">
        <v>0.43296449639102003</v>
      </c>
      <c r="J39">
        <v>5.0974119999999998E-5</v>
      </c>
      <c r="K39">
        <v>1.408767E-3</v>
      </c>
      <c r="L39">
        <v>0.99867300000000003</v>
      </c>
      <c r="M39">
        <v>0.307521507728162</v>
      </c>
      <c r="N39">
        <v>-0.307521507728162</v>
      </c>
      <c r="O39">
        <v>6000</v>
      </c>
      <c r="P39">
        <v>16</v>
      </c>
      <c r="Q39">
        <v>1</v>
      </c>
      <c r="R39">
        <v>1</v>
      </c>
      <c r="S39">
        <v>1</v>
      </c>
      <c r="T39">
        <v>0.01</v>
      </c>
      <c r="U39">
        <v>16</v>
      </c>
      <c r="V39">
        <v>0</v>
      </c>
      <c r="W39">
        <v>0</v>
      </c>
      <c r="X39">
        <v>544.1</v>
      </c>
      <c r="Y39" t="s">
        <v>174</v>
      </c>
    </row>
    <row r="40" spans="1:25" x14ac:dyDescent="0.3">
      <c r="A40">
        <v>1.5</v>
      </c>
      <c r="B40">
        <v>99</v>
      </c>
      <c r="C40">
        <v>12</v>
      </c>
      <c r="D40">
        <v>1.5</v>
      </c>
      <c r="E40" t="s">
        <v>26</v>
      </c>
      <c r="F40">
        <v>1</v>
      </c>
      <c r="G40">
        <v>-0.31867775359278699</v>
      </c>
      <c r="H40">
        <v>0.29304685599832098</v>
      </c>
      <c r="I40">
        <v>0.432934141002353</v>
      </c>
      <c r="J40">
        <v>5.2949650000000002E-5</v>
      </c>
      <c r="K40">
        <v>1.1314750000000001E-3</v>
      </c>
      <c r="L40">
        <v>0.99854699999999996</v>
      </c>
      <c r="M40">
        <v>0.307521507728162</v>
      </c>
      <c r="N40">
        <v>-0.307521507728162</v>
      </c>
      <c r="O40">
        <v>6000</v>
      </c>
      <c r="P40">
        <v>16</v>
      </c>
      <c r="Q40">
        <v>1</v>
      </c>
      <c r="R40">
        <v>1</v>
      </c>
      <c r="S40">
        <v>1</v>
      </c>
      <c r="T40">
        <v>0.01</v>
      </c>
      <c r="U40">
        <v>16</v>
      </c>
      <c r="V40">
        <v>0</v>
      </c>
      <c r="W40">
        <v>0</v>
      </c>
      <c r="X40">
        <v>549.29999999999995</v>
      </c>
      <c r="Y40" t="s">
        <v>211</v>
      </c>
    </row>
    <row r="41" spans="1:25" x14ac:dyDescent="0.3">
      <c r="A41">
        <v>2</v>
      </c>
      <c r="B41">
        <v>42</v>
      </c>
      <c r="C41">
        <v>13</v>
      </c>
      <c r="D41">
        <v>2</v>
      </c>
      <c r="E41" t="s">
        <v>26</v>
      </c>
      <c r="F41">
        <v>1.5</v>
      </c>
      <c r="G41">
        <v>-0.32165920700244699</v>
      </c>
      <c r="H41">
        <v>0.28793614197658202</v>
      </c>
      <c r="I41">
        <v>0.43170808112172399</v>
      </c>
      <c r="J41">
        <v>6.4541239999999994E-5</v>
      </c>
      <c r="K41">
        <v>2.7832180000000001E-3</v>
      </c>
      <c r="L41">
        <v>0.99780800000000003</v>
      </c>
      <c r="M41">
        <v>0.307521507728162</v>
      </c>
      <c r="N41">
        <v>-0.307521507728162</v>
      </c>
      <c r="O41">
        <v>6000</v>
      </c>
      <c r="P41">
        <v>16</v>
      </c>
      <c r="Q41">
        <v>1</v>
      </c>
      <c r="R41">
        <v>1</v>
      </c>
      <c r="S41">
        <v>1</v>
      </c>
      <c r="T41">
        <v>0.01</v>
      </c>
      <c r="U41">
        <v>16</v>
      </c>
      <c r="V41">
        <v>0</v>
      </c>
      <c r="W41">
        <v>0</v>
      </c>
      <c r="X41">
        <v>555.5</v>
      </c>
      <c r="Y41" t="s">
        <v>212</v>
      </c>
    </row>
    <row r="42" spans="1:25" x14ac:dyDescent="0.3">
      <c r="A42">
        <v>2</v>
      </c>
      <c r="B42">
        <v>45</v>
      </c>
      <c r="C42">
        <v>13</v>
      </c>
      <c r="D42">
        <v>2</v>
      </c>
      <c r="E42" t="s">
        <v>26</v>
      </c>
      <c r="F42">
        <v>1.5</v>
      </c>
      <c r="G42">
        <v>0.321627280921431</v>
      </c>
      <c r="H42">
        <v>-0.28794706126599501</v>
      </c>
      <c r="I42">
        <v>0.43169157731491098</v>
      </c>
      <c r="J42">
        <v>6.4640619999999994E-5</v>
      </c>
      <c r="K42">
        <v>2.3084960000000002E-3</v>
      </c>
      <c r="L42">
        <v>0.99783999999999995</v>
      </c>
      <c r="M42">
        <v>0.307521507728162</v>
      </c>
      <c r="N42">
        <v>-0.307521507728162</v>
      </c>
      <c r="O42">
        <v>6000</v>
      </c>
      <c r="P42">
        <v>16</v>
      </c>
      <c r="Q42">
        <v>1</v>
      </c>
      <c r="R42">
        <v>1</v>
      </c>
      <c r="S42">
        <v>1</v>
      </c>
      <c r="T42">
        <v>0.01</v>
      </c>
      <c r="U42">
        <v>16</v>
      </c>
      <c r="V42">
        <v>0</v>
      </c>
      <c r="W42">
        <v>0</v>
      </c>
      <c r="X42">
        <v>561.79999999999995</v>
      </c>
      <c r="Y42" t="s">
        <v>175</v>
      </c>
    </row>
    <row r="43" spans="1:25" x14ac:dyDescent="0.3">
      <c r="A43">
        <v>2</v>
      </c>
      <c r="B43">
        <v>99</v>
      </c>
      <c r="C43">
        <v>13</v>
      </c>
      <c r="D43">
        <v>2</v>
      </c>
      <c r="E43" t="s">
        <v>26</v>
      </c>
      <c r="F43">
        <v>1.5</v>
      </c>
      <c r="G43">
        <v>-0.321626037174644</v>
      </c>
      <c r="H43">
        <v>0.28789030101780899</v>
      </c>
      <c r="I43">
        <v>0.43165279242556798</v>
      </c>
      <c r="J43">
        <v>6.685835E-5</v>
      </c>
      <c r="K43">
        <v>1.9058009999999999E-3</v>
      </c>
      <c r="L43">
        <v>0.997668</v>
      </c>
      <c r="M43">
        <v>0.307521507728162</v>
      </c>
      <c r="N43">
        <v>-0.307521507728162</v>
      </c>
      <c r="O43">
        <v>6000</v>
      </c>
      <c r="P43">
        <v>16</v>
      </c>
      <c r="Q43">
        <v>1</v>
      </c>
      <c r="R43">
        <v>1</v>
      </c>
      <c r="S43">
        <v>1</v>
      </c>
      <c r="T43">
        <v>0.01</v>
      </c>
      <c r="U43">
        <v>16</v>
      </c>
      <c r="V43">
        <v>0</v>
      </c>
      <c r="W43">
        <v>0</v>
      </c>
      <c r="X43">
        <v>550.4</v>
      </c>
      <c r="Y43" t="s">
        <v>213</v>
      </c>
    </row>
    <row r="44" spans="1:25" x14ac:dyDescent="0.3">
      <c r="A44">
        <v>3</v>
      </c>
      <c r="B44">
        <v>42</v>
      </c>
      <c r="C44">
        <v>14</v>
      </c>
      <c r="D44">
        <v>3</v>
      </c>
      <c r="E44" t="s">
        <v>26</v>
      </c>
      <c r="F44">
        <v>2</v>
      </c>
      <c r="G44">
        <v>-0.326399158001689</v>
      </c>
      <c r="H44">
        <v>0.27763677066141201</v>
      </c>
      <c r="I44">
        <v>0.42850739406398702</v>
      </c>
      <c r="J44">
        <v>8.7848129999999999E-5</v>
      </c>
      <c r="K44">
        <v>5.550414E-3</v>
      </c>
      <c r="L44">
        <v>0.99585400000000002</v>
      </c>
      <c r="M44">
        <v>0.307521507728162</v>
      </c>
      <c r="N44">
        <v>-0.307521507728162</v>
      </c>
      <c r="O44">
        <v>6000</v>
      </c>
      <c r="P44">
        <v>16</v>
      </c>
      <c r="Q44">
        <v>1</v>
      </c>
      <c r="R44">
        <v>1</v>
      </c>
      <c r="S44">
        <v>1</v>
      </c>
      <c r="T44">
        <v>0.01</v>
      </c>
      <c r="U44">
        <v>16</v>
      </c>
      <c r="V44">
        <v>0</v>
      </c>
      <c r="W44">
        <v>0</v>
      </c>
      <c r="X44">
        <v>551.6</v>
      </c>
      <c r="Y44" t="s">
        <v>214</v>
      </c>
    </row>
    <row r="45" spans="1:25" x14ac:dyDescent="0.3">
      <c r="A45">
        <v>3</v>
      </c>
      <c r="B45">
        <v>45</v>
      </c>
      <c r="C45">
        <v>14</v>
      </c>
      <c r="D45">
        <v>3</v>
      </c>
      <c r="E45" t="s">
        <v>26</v>
      </c>
      <c r="F45">
        <v>2</v>
      </c>
      <c r="G45">
        <v>0.32636310144563702</v>
      </c>
      <c r="H45">
        <v>-0.277650885060505</v>
      </c>
      <c r="I45">
        <v>0.42848907566015898</v>
      </c>
      <c r="J45">
        <v>8.7929200000000005E-5</v>
      </c>
      <c r="K45">
        <v>4.4126790000000001E-3</v>
      </c>
      <c r="L45">
        <v>0.99593399999999999</v>
      </c>
      <c r="M45">
        <v>0.307521507728162</v>
      </c>
      <c r="N45">
        <v>-0.307521507728162</v>
      </c>
      <c r="O45">
        <v>6000</v>
      </c>
      <c r="P45">
        <v>16</v>
      </c>
      <c r="Q45">
        <v>1</v>
      </c>
      <c r="R45">
        <v>1</v>
      </c>
      <c r="S45">
        <v>1</v>
      </c>
      <c r="T45">
        <v>0.01</v>
      </c>
      <c r="U45">
        <v>16</v>
      </c>
      <c r="V45">
        <v>0</v>
      </c>
      <c r="W45">
        <v>0</v>
      </c>
      <c r="X45">
        <v>556.1</v>
      </c>
      <c r="Y45" t="s">
        <v>176</v>
      </c>
    </row>
    <row r="46" spans="1:25" x14ac:dyDescent="0.3">
      <c r="A46">
        <v>3</v>
      </c>
      <c r="B46">
        <v>99</v>
      </c>
      <c r="C46">
        <v>14</v>
      </c>
      <c r="D46">
        <v>3</v>
      </c>
      <c r="E46" t="s">
        <v>26</v>
      </c>
      <c r="F46">
        <v>2</v>
      </c>
      <c r="G46">
        <v>-0.32633891426245099</v>
      </c>
      <c r="H46">
        <v>0.27760294379622902</v>
      </c>
      <c r="I46">
        <v>0.42843958893445799</v>
      </c>
      <c r="J46">
        <v>9.0307030000000003E-5</v>
      </c>
      <c r="K46">
        <v>3.8079759999999998E-3</v>
      </c>
      <c r="L46">
        <v>0.99567600000000001</v>
      </c>
      <c r="M46">
        <v>0.307521507728162</v>
      </c>
      <c r="N46">
        <v>-0.307521507728162</v>
      </c>
      <c r="O46">
        <v>6000</v>
      </c>
      <c r="P46">
        <v>16</v>
      </c>
      <c r="Q46">
        <v>1</v>
      </c>
      <c r="R46">
        <v>1</v>
      </c>
      <c r="S46">
        <v>1</v>
      </c>
      <c r="T46">
        <v>0.01</v>
      </c>
      <c r="U46">
        <v>16</v>
      </c>
      <c r="V46">
        <v>0</v>
      </c>
      <c r="W46">
        <v>0</v>
      </c>
      <c r="X46">
        <v>552.5</v>
      </c>
      <c r="Y46" t="s">
        <v>215</v>
      </c>
    </row>
    <row r="47" spans="1:25" x14ac:dyDescent="0.3">
      <c r="A47">
        <v>4</v>
      </c>
      <c r="B47">
        <v>42</v>
      </c>
      <c r="C47">
        <v>15</v>
      </c>
      <c r="D47">
        <v>4</v>
      </c>
      <c r="E47" t="s">
        <v>26</v>
      </c>
      <c r="F47">
        <v>3</v>
      </c>
      <c r="G47">
        <v>-0.32983450486160898</v>
      </c>
      <c r="H47">
        <v>0.26762825880184998</v>
      </c>
      <c r="I47">
        <v>0.42475367627204003</v>
      </c>
      <c r="J47">
        <v>1.067859E-4</v>
      </c>
      <c r="K47">
        <v>8.7684040000000005E-3</v>
      </c>
      <c r="L47">
        <v>0.99377499999999996</v>
      </c>
      <c r="M47">
        <v>0.307521507728162</v>
      </c>
      <c r="N47">
        <v>-0.307521507728162</v>
      </c>
      <c r="O47">
        <v>6000</v>
      </c>
      <c r="P47">
        <v>16</v>
      </c>
      <c r="Q47">
        <v>1</v>
      </c>
      <c r="R47">
        <v>1</v>
      </c>
      <c r="S47">
        <v>1</v>
      </c>
      <c r="T47">
        <v>0.01</v>
      </c>
      <c r="U47">
        <v>16</v>
      </c>
      <c r="V47">
        <v>0</v>
      </c>
      <c r="W47">
        <v>0</v>
      </c>
      <c r="X47">
        <v>556.5</v>
      </c>
      <c r="Y47" t="s">
        <v>216</v>
      </c>
    </row>
    <row r="48" spans="1:25" x14ac:dyDescent="0.3">
      <c r="A48">
        <v>4</v>
      </c>
      <c r="B48">
        <v>45</v>
      </c>
      <c r="C48">
        <v>15</v>
      </c>
      <c r="D48">
        <v>4</v>
      </c>
      <c r="E48" t="s">
        <v>26</v>
      </c>
      <c r="F48">
        <v>3</v>
      </c>
      <c r="G48">
        <v>0.32980667405303099</v>
      </c>
      <c r="H48">
        <v>-0.26763171227766103</v>
      </c>
      <c r="I48">
        <v>0.424734241222196</v>
      </c>
      <c r="J48">
        <v>1.069419E-4</v>
      </c>
      <c r="K48">
        <v>6.6337660000000001E-3</v>
      </c>
      <c r="L48">
        <v>0.99389099999999997</v>
      </c>
      <c r="M48">
        <v>0.307521507728162</v>
      </c>
      <c r="N48">
        <v>-0.307521507728162</v>
      </c>
      <c r="O48">
        <v>6000</v>
      </c>
      <c r="P48">
        <v>16</v>
      </c>
      <c r="Q48">
        <v>1</v>
      </c>
      <c r="R48">
        <v>1</v>
      </c>
      <c r="S48">
        <v>1</v>
      </c>
      <c r="T48">
        <v>0.01</v>
      </c>
      <c r="U48">
        <v>16</v>
      </c>
      <c r="V48">
        <v>0</v>
      </c>
      <c r="W48">
        <v>0</v>
      </c>
      <c r="X48">
        <v>559.5</v>
      </c>
      <c r="Y48" t="s">
        <v>177</v>
      </c>
    </row>
    <row r="49" spans="1:25" x14ac:dyDescent="0.3">
      <c r="A49">
        <v>4</v>
      </c>
      <c r="B49">
        <v>99</v>
      </c>
      <c r="C49">
        <v>15</v>
      </c>
      <c r="D49">
        <v>4</v>
      </c>
      <c r="E49" t="s">
        <v>26</v>
      </c>
      <c r="F49">
        <v>3</v>
      </c>
      <c r="G49">
        <v>-0.32976926697508002</v>
      </c>
      <c r="H49">
        <v>0.26761572047388499</v>
      </c>
      <c r="I49">
        <v>0.42469511803885601</v>
      </c>
      <c r="J49">
        <v>1.092227E-4</v>
      </c>
      <c r="K49">
        <v>5.9564249999999996E-3</v>
      </c>
      <c r="L49">
        <v>0.99356299999999997</v>
      </c>
      <c r="M49">
        <v>0.307521507728162</v>
      </c>
      <c r="N49">
        <v>-0.307521507728162</v>
      </c>
      <c r="O49">
        <v>6000</v>
      </c>
      <c r="P49">
        <v>16</v>
      </c>
      <c r="Q49">
        <v>1</v>
      </c>
      <c r="R49">
        <v>1</v>
      </c>
      <c r="S49">
        <v>1</v>
      </c>
      <c r="T49">
        <v>0.01</v>
      </c>
      <c r="U49">
        <v>16</v>
      </c>
      <c r="V49">
        <v>0</v>
      </c>
      <c r="W49">
        <v>0</v>
      </c>
      <c r="X49">
        <v>554.6</v>
      </c>
      <c r="Y49" t="s">
        <v>217</v>
      </c>
    </row>
    <row r="50" spans="1:25" x14ac:dyDescent="0.3">
      <c r="A50">
        <v>6</v>
      </c>
      <c r="B50">
        <v>42</v>
      </c>
      <c r="C50">
        <v>16</v>
      </c>
      <c r="D50">
        <v>6</v>
      </c>
      <c r="E50" t="s">
        <v>26</v>
      </c>
      <c r="F50">
        <v>4</v>
      </c>
      <c r="G50">
        <v>-0.33389461571728202</v>
      </c>
      <c r="H50">
        <v>0.248964741985989</v>
      </c>
      <c r="I50">
        <v>0.41649616703775499</v>
      </c>
      <c r="J50">
        <v>1.356719E-4</v>
      </c>
      <c r="K50">
        <v>1.51676E-2</v>
      </c>
      <c r="L50">
        <v>0.989568</v>
      </c>
      <c r="M50">
        <v>0.307521507728162</v>
      </c>
      <c r="N50">
        <v>-0.307521507728162</v>
      </c>
      <c r="O50">
        <v>6000</v>
      </c>
      <c r="P50">
        <v>16</v>
      </c>
      <c r="Q50">
        <v>1</v>
      </c>
      <c r="R50">
        <v>1</v>
      </c>
      <c r="S50">
        <v>1</v>
      </c>
      <c r="T50">
        <v>0.01</v>
      </c>
      <c r="U50">
        <v>16</v>
      </c>
      <c r="V50">
        <v>0</v>
      </c>
      <c r="W50">
        <v>0</v>
      </c>
      <c r="X50">
        <v>558</v>
      </c>
      <c r="Y50" t="s">
        <v>218</v>
      </c>
    </row>
    <row r="51" spans="1:25" x14ac:dyDescent="0.3">
      <c r="A51">
        <v>6</v>
      </c>
      <c r="B51">
        <v>45</v>
      </c>
      <c r="C51">
        <v>16</v>
      </c>
      <c r="D51">
        <v>6</v>
      </c>
      <c r="E51" t="s">
        <v>26</v>
      </c>
      <c r="F51">
        <v>4</v>
      </c>
      <c r="G51">
        <v>0.33388331280074701</v>
      </c>
      <c r="H51">
        <v>-0.248951900502555</v>
      </c>
      <c r="I51">
        <v>0.41647942966085999</v>
      </c>
      <c r="J51">
        <v>1.359419E-4</v>
      </c>
      <c r="K51">
        <v>1.1131240000000001E-2</v>
      </c>
      <c r="L51">
        <v>0.989761</v>
      </c>
      <c r="M51">
        <v>0.307521507728162</v>
      </c>
      <c r="N51">
        <v>-0.307521507728162</v>
      </c>
      <c r="O51">
        <v>6000</v>
      </c>
      <c r="P51">
        <v>16</v>
      </c>
      <c r="Q51">
        <v>1</v>
      </c>
      <c r="R51">
        <v>1</v>
      </c>
      <c r="S51">
        <v>1</v>
      </c>
      <c r="T51">
        <v>0.01</v>
      </c>
      <c r="U51">
        <v>16</v>
      </c>
      <c r="V51">
        <v>0</v>
      </c>
      <c r="W51">
        <v>0</v>
      </c>
      <c r="X51">
        <v>553.79999999999995</v>
      </c>
      <c r="Y51" t="s">
        <v>178</v>
      </c>
    </row>
    <row r="52" spans="1:25" x14ac:dyDescent="0.3">
      <c r="A52">
        <v>6</v>
      </c>
      <c r="B52">
        <v>99</v>
      </c>
      <c r="C52">
        <v>16</v>
      </c>
      <c r="D52">
        <v>6</v>
      </c>
      <c r="E52" t="s">
        <v>26</v>
      </c>
      <c r="F52">
        <v>4</v>
      </c>
      <c r="G52">
        <v>-0.33384206199303601</v>
      </c>
      <c r="H52">
        <v>0.24898241523612499</v>
      </c>
      <c r="I52">
        <v>0.41646460288069698</v>
      </c>
      <c r="J52">
        <v>1.380411E-4</v>
      </c>
      <c r="K52">
        <v>1.04364E-2</v>
      </c>
      <c r="L52">
        <v>0.98926599999999998</v>
      </c>
      <c r="M52">
        <v>0.307521507728162</v>
      </c>
      <c r="N52">
        <v>-0.307521507728162</v>
      </c>
      <c r="O52">
        <v>6000</v>
      </c>
      <c r="P52">
        <v>16</v>
      </c>
      <c r="Q52">
        <v>1</v>
      </c>
      <c r="R52">
        <v>1</v>
      </c>
      <c r="S52">
        <v>1</v>
      </c>
      <c r="T52">
        <v>0.01</v>
      </c>
      <c r="U52">
        <v>16</v>
      </c>
      <c r="V52">
        <v>0</v>
      </c>
      <c r="W52">
        <v>0</v>
      </c>
      <c r="X52">
        <v>563.1</v>
      </c>
      <c r="Y52" t="s">
        <v>219</v>
      </c>
    </row>
    <row r="53" spans="1:25" x14ac:dyDescent="0.3">
      <c r="A53">
        <v>8</v>
      </c>
      <c r="B53">
        <v>42</v>
      </c>
      <c r="C53">
        <v>17</v>
      </c>
      <c r="D53">
        <v>8</v>
      </c>
      <c r="E53" t="s">
        <v>26</v>
      </c>
      <c r="F53">
        <v>6</v>
      </c>
      <c r="G53">
        <v>-0.33546936465447402</v>
      </c>
      <c r="H53">
        <v>0.23223951405927001</v>
      </c>
      <c r="I53">
        <v>0.408013341095806</v>
      </c>
      <c r="J53">
        <v>1.5626360000000001E-4</v>
      </c>
      <c r="K53">
        <v>2.1011019999999998E-2</v>
      </c>
      <c r="L53">
        <v>0.98560099999999995</v>
      </c>
      <c r="M53">
        <v>0.307521507728162</v>
      </c>
      <c r="N53">
        <v>-0.307521507728162</v>
      </c>
      <c r="O53">
        <v>6000</v>
      </c>
      <c r="P53">
        <v>16</v>
      </c>
      <c r="Q53">
        <v>1</v>
      </c>
      <c r="R53">
        <v>1</v>
      </c>
      <c r="S53">
        <v>1</v>
      </c>
      <c r="T53">
        <v>0.01</v>
      </c>
      <c r="U53">
        <v>16</v>
      </c>
      <c r="V53">
        <v>0</v>
      </c>
      <c r="W53">
        <v>0</v>
      </c>
      <c r="X53">
        <v>547.29999999999995</v>
      </c>
      <c r="Y53" t="s">
        <v>220</v>
      </c>
    </row>
    <row r="54" spans="1:25" x14ac:dyDescent="0.3">
      <c r="A54">
        <v>8</v>
      </c>
      <c r="B54">
        <v>45</v>
      </c>
      <c r="C54">
        <v>17</v>
      </c>
      <c r="D54">
        <v>8</v>
      </c>
      <c r="E54" t="s">
        <v>26</v>
      </c>
      <c r="F54">
        <v>6</v>
      </c>
      <c r="G54">
        <v>0.335454470721614</v>
      </c>
      <c r="H54">
        <v>-0.23218318423637799</v>
      </c>
      <c r="I54">
        <v>0.40796903432645798</v>
      </c>
      <c r="J54">
        <v>1.5679760000000001E-4</v>
      </c>
      <c r="K54">
        <v>1.504773E-2</v>
      </c>
      <c r="L54">
        <v>0.98582099999999995</v>
      </c>
      <c r="M54">
        <v>0.307521507728162</v>
      </c>
      <c r="N54">
        <v>-0.307521507728162</v>
      </c>
      <c r="O54">
        <v>6000</v>
      </c>
      <c r="P54">
        <v>16</v>
      </c>
      <c r="Q54">
        <v>1</v>
      </c>
      <c r="R54">
        <v>1</v>
      </c>
      <c r="S54">
        <v>1</v>
      </c>
      <c r="T54">
        <v>0.01</v>
      </c>
      <c r="U54">
        <v>16</v>
      </c>
      <c r="V54">
        <v>0</v>
      </c>
      <c r="W54">
        <v>0</v>
      </c>
      <c r="X54">
        <v>561</v>
      </c>
      <c r="Y54" t="s">
        <v>179</v>
      </c>
    </row>
    <row r="55" spans="1:25" x14ac:dyDescent="0.3">
      <c r="A55">
        <v>8</v>
      </c>
      <c r="B55">
        <v>99</v>
      </c>
      <c r="C55">
        <v>17</v>
      </c>
      <c r="D55">
        <v>8</v>
      </c>
      <c r="E55" t="s">
        <v>26</v>
      </c>
      <c r="F55">
        <v>6</v>
      </c>
      <c r="G55">
        <v>-0.33544825473371198</v>
      </c>
      <c r="H55">
        <v>0.23226884629314701</v>
      </c>
      <c r="I55">
        <v>0.40801268186447598</v>
      </c>
      <c r="J55">
        <v>1.5886470000000001E-4</v>
      </c>
      <c r="K55">
        <v>1.478173E-2</v>
      </c>
      <c r="L55">
        <v>0.98519500000000004</v>
      </c>
      <c r="M55">
        <v>0.307521507728162</v>
      </c>
      <c r="N55">
        <v>-0.307521507728162</v>
      </c>
      <c r="O55">
        <v>6000</v>
      </c>
      <c r="P55">
        <v>16</v>
      </c>
      <c r="Q55">
        <v>1</v>
      </c>
      <c r="R55">
        <v>1</v>
      </c>
      <c r="S55">
        <v>1</v>
      </c>
      <c r="T55">
        <v>0.01</v>
      </c>
      <c r="U55">
        <v>16</v>
      </c>
      <c r="V55">
        <v>0</v>
      </c>
      <c r="W55">
        <v>0</v>
      </c>
      <c r="X55">
        <v>553.20000000000005</v>
      </c>
      <c r="Y55" t="s">
        <v>221</v>
      </c>
    </row>
  </sheetData>
  <sortState xmlns:xlrd2="http://schemas.microsoft.com/office/spreadsheetml/2017/richdata2" ref="A2:Y37">
    <sortCondition ref="A1:A3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768-F20A-425F-AE38-14A5F509D339}">
  <dimension ref="C2:G95"/>
  <sheetViews>
    <sheetView workbookViewId="0">
      <selection activeCell="E14" sqref="E14"/>
    </sheetView>
  </sheetViews>
  <sheetFormatPr defaultRowHeight="14.4" x14ac:dyDescent="0.3"/>
  <cols>
    <col min="1" max="3" width="8.88671875" style="13"/>
    <col min="4" max="4" width="24.33203125" style="13" bestFit="1" customWidth="1"/>
    <col min="5" max="5" width="20" style="13" bestFit="1" customWidth="1"/>
    <col min="6" max="6" width="9.6640625" style="13" bestFit="1" customWidth="1"/>
    <col min="7" max="7" width="10" style="13" bestFit="1" customWidth="1"/>
    <col min="8" max="16384" width="8.88671875" style="13"/>
  </cols>
  <sheetData>
    <row r="2" spans="3:7" ht="15" thickBot="1" x14ac:dyDescent="0.35"/>
    <row r="3" spans="3:7" x14ac:dyDescent="0.3">
      <c r="D3" s="77" t="s">
        <v>85</v>
      </c>
      <c r="E3" s="55"/>
      <c r="F3" s="94" t="s">
        <v>180</v>
      </c>
      <c r="G3" s="95"/>
    </row>
    <row r="4" spans="3:7" x14ac:dyDescent="0.3">
      <c r="C4" s="13" t="s">
        <v>60</v>
      </c>
      <c r="D4" s="57" t="s">
        <v>78</v>
      </c>
      <c r="E4" s="17" t="s">
        <v>79</v>
      </c>
      <c r="F4" s="96" t="s">
        <v>65</v>
      </c>
      <c r="G4" s="97" t="s">
        <v>66</v>
      </c>
    </row>
    <row r="5" spans="3:7" x14ac:dyDescent="0.3">
      <c r="C5" s="17">
        <v>0</v>
      </c>
      <c r="D5" s="57">
        <v>0.41836699999999999</v>
      </c>
      <c r="E5" s="17">
        <v>-0.41836699999999999</v>
      </c>
      <c r="F5" s="90">
        <v>0.41780845290741098</v>
      </c>
      <c r="G5" s="91">
        <v>-0.41836309733543903</v>
      </c>
    </row>
    <row r="6" spans="3:7" x14ac:dyDescent="0.3">
      <c r="C6" s="17">
        <v>0.05</v>
      </c>
      <c r="D6" s="57">
        <v>0.41950199999999999</v>
      </c>
      <c r="E6" s="17">
        <v>-0.41723199999999999</v>
      </c>
      <c r="F6" s="90">
        <v>0.41888723604943401</v>
      </c>
      <c r="G6" s="91">
        <v>-0.41713875947696</v>
      </c>
    </row>
    <row r="7" spans="3:7" x14ac:dyDescent="0.3">
      <c r="C7" s="17">
        <v>0.1</v>
      </c>
      <c r="D7" s="57">
        <v>0.42063600000000001</v>
      </c>
      <c r="E7" s="17">
        <v>-0.41609699999999999</v>
      </c>
      <c r="F7" s="90">
        <v>0.41985514395877999</v>
      </c>
      <c r="G7" s="91">
        <v>-0.41619351749012401</v>
      </c>
    </row>
    <row r="8" spans="3:7" x14ac:dyDescent="0.3">
      <c r="C8" s="17">
        <v>0.2</v>
      </c>
      <c r="D8" s="57">
        <v>0.422906</v>
      </c>
      <c r="E8" s="17">
        <v>-0.413827</v>
      </c>
      <c r="F8" s="45">
        <v>0.433744546607023</v>
      </c>
      <c r="G8" s="91">
        <v>-0.40568558198158</v>
      </c>
    </row>
    <row r="9" spans="3:7" x14ac:dyDescent="0.3">
      <c r="C9" s="17">
        <v>0.5</v>
      </c>
      <c r="D9" s="57">
        <v>0.42971599999999999</v>
      </c>
      <c r="E9" s="17">
        <v>-0.40701799999999999</v>
      </c>
      <c r="F9" s="90">
        <v>0.43304269178049298</v>
      </c>
      <c r="G9" s="91">
        <v>-0.40562753767350901</v>
      </c>
    </row>
    <row r="10" spans="3:7" x14ac:dyDescent="0.3">
      <c r="C10" s="17">
        <v>0.7</v>
      </c>
      <c r="D10" s="57">
        <v>0.434255</v>
      </c>
      <c r="E10" s="17">
        <v>-0.402478</v>
      </c>
      <c r="F10" s="90">
        <v>0.431500128778734</v>
      </c>
      <c r="G10" s="91">
        <v>-0.40116515446589002</v>
      </c>
    </row>
    <row r="11" spans="3:7" x14ac:dyDescent="0.3">
      <c r="C11" s="17">
        <v>1</v>
      </c>
      <c r="D11" s="57">
        <v>0.44106499999999998</v>
      </c>
      <c r="E11" s="17">
        <v>-0.39566899999999999</v>
      </c>
      <c r="F11" s="92">
        <v>0.43555484974580599</v>
      </c>
      <c r="G11" s="93">
        <v>-0.39331114032323899</v>
      </c>
    </row>
    <row r="19" spans="3:3" x14ac:dyDescent="0.3">
      <c r="C19" s="13" t="s">
        <v>122</v>
      </c>
    </row>
    <row r="26" spans="3:3" x14ac:dyDescent="0.3">
      <c r="C26" s="13" t="s">
        <v>123</v>
      </c>
    </row>
    <row r="28" spans="3:3" x14ac:dyDescent="0.3">
      <c r="C28" s="13" t="s">
        <v>161</v>
      </c>
    </row>
    <row r="30" spans="3:3" x14ac:dyDescent="0.3">
      <c r="C30" s="13" t="s">
        <v>160</v>
      </c>
    </row>
    <row r="32" spans="3:3" x14ac:dyDescent="0.3">
      <c r="C32">
        <v>0</v>
      </c>
    </row>
    <row r="33" spans="3:3" x14ac:dyDescent="0.3">
      <c r="C33">
        <v>0</v>
      </c>
    </row>
    <row r="34" spans="3:3" x14ac:dyDescent="0.3">
      <c r="C34">
        <v>0</v>
      </c>
    </row>
    <row r="35" spans="3:3" x14ac:dyDescent="0.3">
      <c r="C35">
        <v>0.05</v>
      </c>
    </row>
    <row r="36" spans="3:3" x14ac:dyDescent="0.3">
      <c r="C36">
        <v>0.05</v>
      </c>
    </row>
    <row r="37" spans="3:3" x14ac:dyDescent="0.3">
      <c r="C37">
        <v>0.05</v>
      </c>
    </row>
    <row r="38" spans="3:3" x14ac:dyDescent="0.3">
      <c r="C38">
        <v>0.1</v>
      </c>
    </row>
    <row r="39" spans="3:3" x14ac:dyDescent="0.3">
      <c r="C39">
        <v>0.1</v>
      </c>
    </row>
    <row r="40" spans="3:3" x14ac:dyDescent="0.3">
      <c r="C40">
        <v>0.1</v>
      </c>
    </row>
    <row r="41" spans="3:3" x14ac:dyDescent="0.3">
      <c r="C41">
        <v>0.2</v>
      </c>
    </row>
    <row r="42" spans="3:3" x14ac:dyDescent="0.3">
      <c r="C42">
        <v>0.2</v>
      </c>
    </row>
    <row r="43" spans="3:3" x14ac:dyDescent="0.3">
      <c r="C43">
        <v>0.2</v>
      </c>
    </row>
    <row r="44" spans="3:3" x14ac:dyDescent="0.3">
      <c r="C44">
        <v>0.35</v>
      </c>
    </row>
    <row r="45" spans="3:3" x14ac:dyDescent="0.3">
      <c r="C45">
        <v>0.35</v>
      </c>
    </row>
    <row r="46" spans="3:3" x14ac:dyDescent="0.3">
      <c r="C46">
        <v>0.35</v>
      </c>
    </row>
    <row r="47" spans="3:3" x14ac:dyDescent="0.3">
      <c r="C47">
        <v>0.5</v>
      </c>
    </row>
    <row r="48" spans="3:3" x14ac:dyDescent="0.3">
      <c r="C48">
        <v>0.5</v>
      </c>
    </row>
    <row r="49" spans="3:3" x14ac:dyDescent="0.3">
      <c r="C49">
        <v>0.5</v>
      </c>
    </row>
    <row r="50" spans="3:3" x14ac:dyDescent="0.3">
      <c r="C50">
        <v>0.7</v>
      </c>
    </row>
    <row r="51" spans="3:3" x14ac:dyDescent="0.3">
      <c r="C51">
        <v>0.7</v>
      </c>
    </row>
    <row r="52" spans="3:3" x14ac:dyDescent="0.3">
      <c r="C52">
        <v>0.7</v>
      </c>
    </row>
    <row r="53" spans="3:3" x14ac:dyDescent="0.3">
      <c r="C53">
        <v>1</v>
      </c>
    </row>
    <row r="54" spans="3:3" x14ac:dyDescent="0.3">
      <c r="C54">
        <v>1</v>
      </c>
    </row>
    <row r="55" spans="3:3" x14ac:dyDescent="0.3">
      <c r="C55">
        <v>1</v>
      </c>
    </row>
    <row r="56" spans="3:3" x14ac:dyDescent="0.3">
      <c r="C56"/>
    </row>
    <row r="57" spans="3:3" x14ac:dyDescent="0.3">
      <c r="C57"/>
    </row>
    <row r="58" spans="3:3" x14ac:dyDescent="0.3">
      <c r="C58"/>
    </row>
    <row r="59" spans="3:3" x14ac:dyDescent="0.3">
      <c r="C59" t="s">
        <v>0</v>
      </c>
    </row>
    <row r="60" spans="3:3" x14ac:dyDescent="0.3">
      <c r="C60">
        <v>1.2</v>
      </c>
    </row>
    <row r="61" spans="3:3" x14ac:dyDescent="0.3">
      <c r="C61">
        <v>1.2</v>
      </c>
    </row>
    <row r="62" spans="3:3" x14ac:dyDescent="0.3">
      <c r="C62">
        <v>1.2</v>
      </c>
    </row>
    <row r="63" spans="3:3" x14ac:dyDescent="0.3">
      <c r="C63">
        <v>1.5</v>
      </c>
    </row>
    <row r="64" spans="3:3" x14ac:dyDescent="0.3">
      <c r="C64">
        <v>1.5</v>
      </c>
    </row>
    <row r="65" spans="3:3" x14ac:dyDescent="0.3">
      <c r="C65">
        <v>1.5</v>
      </c>
    </row>
    <row r="66" spans="3:3" x14ac:dyDescent="0.3">
      <c r="C66">
        <v>2</v>
      </c>
    </row>
    <row r="67" spans="3:3" x14ac:dyDescent="0.3">
      <c r="C67">
        <v>2</v>
      </c>
    </row>
    <row r="68" spans="3:3" x14ac:dyDescent="0.3">
      <c r="C68">
        <v>2</v>
      </c>
    </row>
    <row r="69" spans="3:3" x14ac:dyDescent="0.3">
      <c r="C69">
        <v>2.5</v>
      </c>
    </row>
    <row r="70" spans="3:3" x14ac:dyDescent="0.3">
      <c r="C70">
        <v>2.5</v>
      </c>
    </row>
    <row r="71" spans="3:3" x14ac:dyDescent="0.3">
      <c r="C71">
        <v>2.5</v>
      </c>
    </row>
    <row r="72" spans="3:3" x14ac:dyDescent="0.3">
      <c r="C72">
        <v>3</v>
      </c>
    </row>
    <row r="73" spans="3:3" x14ac:dyDescent="0.3">
      <c r="C73">
        <v>3</v>
      </c>
    </row>
    <row r="74" spans="3:3" x14ac:dyDescent="0.3">
      <c r="C74">
        <v>3</v>
      </c>
    </row>
    <row r="75" spans="3:3" x14ac:dyDescent="0.3">
      <c r="C75">
        <v>3.5</v>
      </c>
    </row>
    <row r="76" spans="3:3" x14ac:dyDescent="0.3">
      <c r="C76">
        <v>3.5</v>
      </c>
    </row>
    <row r="77" spans="3:3" x14ac:dyDescent="0.3">
      <c r="C77">
        <v>3.5</v>
      </c>
    </row>
    <row r="78" spans="3:3" x14ac:dyDescent="0.3">
      <c r="C78">
        <v>4</v>
      </c>
    </row>
    <row r="79" spans="3:3" x14ac:dyDescent="0.3">
      <c r="C79">
        <v>4</v>
      </c>
    </row>
    <row r="80" spans="3:3" x14ac:dyDescent="0.3">
      <c r="C80">
        <v>4</v>
      </c>
    </row>
    <row r="81" spans="3:3" x14ac:dyDescent="0.3">
      <c r="C81">
        <v>4.5</v>
      </c>
    </row>
    <row r="82" spans="3:3" x14ac:dyDescent="0.3">
      <c r="C82">
        <v>4.5</v>
      </c>
    </row>
    <row r="83" spans="3:3" x14ac:dyDescent="0.3">
      <c r="C83">
        <v>4.5</v>
      </c>
    </row>
    <row r="84" spans="3:3" x14ac:dyDescent="0.3">
      <c r="C84">
        <v>5</v>
      </c>
    </row>
    <row r="85" spans="3:3" x14ac:dyDescent="0.3">
      <c r="C85">
        <v>5</v>
      </c>
    </row>
    <row r="86" spans="3:3" x14ac:dyDescent="0.3">
      <c r="C86">
        <v>5</v>
      </c>
    </row>
    <row r="87" spans="3:3" x14ac:dyDescent="0.3">
      <c r="C87">
        <v>6</v>
      </c>
    </row>
    <row r="88" spans="3:3" x14ac:dyDescent="0.3">
      <c r="C88">
        <v>6</v>
      </c>
    </row>
    <row r="89" spans="3:3" x14ac:dyDescent="0.3">
      <c r="C89">
        <v>6</v>
      </c>
    </row>
    <row r="90" spans="3:3" x14ac:dyDescent="0.3">
      <c r="C90">
        <v>7</v>
      </c>
    </row>
    <row r="91" spans="3:3" x14ac:dyDescent="0.3">
      <c r="C91">
        <v>7</v>
      </c>
    </row>
    <row r="92" spans="3:3" x14ac:dyDescent="0.3">
      <c r="C92">
        <v>7</v>
      </c>
    </row>
    <row r="93" spans="3:3" x14ac:dyDescent="0.3">
      <c r="C93">
        <v>8</v>
      </c>
    </row>
    <row r="94" spans="3:3" x14ac:dyDescent="0.3">
      <c r="C94">
        <v>8</v>
      </c>
    </row>
    <row r="95" spans="3:3" x14ac:dyDescent="0.3">
      <c r="C95">
        <v>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645C4-0BBA-4AD5-9943-37DE98856F2E}">
  <dimension ref="B1:E21"/>
  <sheetViews>
    <sheetView workbookViewId="0">
      <selection activeCell="B3" sqref="B3:E21"/>
    </sheetView>
  </sheetViews>
  <sheetFormatPr defaultRowHeight="14.4" x14ac:dyDescent="0.3"/>
  <sheetData>
    <row r="1" spans="2:5" x14ac:dyDescent="0.3">
      <c r="B1" t="s">
        <v>181</v>
      </c>
    </row>
    <row r="3" spans="2:5" x14ac:dyDescent="0.3">
      <c r="B3" t="s">
        <v>28</v>
      </c>
      <c r="C3" t="s">
        <v>44</v>
      </c>
      <c r="D3" t="s">
        <v>45</v>
      </c>
      <c r="E3" t="s">
        <v>30</v>
      </c>
    </row>
    <row r="4" spans="2:5" x14ac:dyDescent="0.3">
      <c r="B4">
        <v>0</v>
      </c>
      <c r="C4">
        <v>0.30752200000000002</v>
      </c>
      <c r="D4">
        <v>-0.30752200000000002</v>
      </c>
      <c r="E4">
        <v>0.43490099999999998</v>
      </c>
    </row>
    <row r="5" spans="2:5" x14ac:dyDescent="0.3">
      <c r="B5">
        <v>0.05</v>
      </c>
      <c r="C5">
        <v>0.30707400000000001</v>
      </c>
      <c r="D5">
        <v>-0.30796899999999999</v>
      </c>
      <c r="E5">
        <v>0.43490200000000001</v>
      </c>
    </row>
    <row r="6" spans="2:5" x14ac:dyDescent="0.3">
      <c r="B6">
        <v>0.1</v>
      </c>
      <c r="C6">
        <v>0.30662600000000001</v>
      </c>
      <c r="D6">
        <v>-0.308417</v>
      </c>
      <c r="E6">
        <v>0.43490299999999998</v>
      </c>
    </row>
    <row r="7" spans="2:5" x14ac:dyDescent="0.3">
      <c r="B7">
        <v>0.15</v>
      </c>
      <c r="C7">
        <v>0.30617800000000001</v>
      </c>
      <c r="D7">
        <v>-0.308865</v>
      </c>
      <c r="E7">
        <v>0.43490499999999999</v>
      </c>
    </row>
    <row r="8" spans="2:5" x14ac:dyDescent="0.3">
      <c r="B8">
        <v>0.2</v>
      </c>
      <c r="C8">
        <v>0.30573099999999998</v>
      </c>
      <c r="D8">
        <v>-0.30931199999999998</v>
      </c>
      <c r="E8">
        <v>0.43490800000000002</v>
      </c>
    </row>
    <row r="9" spans="2:5" x14ac:dyDescent="0.3">
      <c r="B9">
        <v>0.3</v>
      </c>
      <c r="C9">
        <v>0.30483500000000002</v>
      </c>
      <c r="D9">
        <v>-0.31020799999999998</v>
      </c>
      <c r="E9">
        <v>0.43491800000000003</v>
      </c>
    </row>
    <row r="10" spans="2:5" x14ac:dyDescent="0.3">
      <c r="B10">
        <v>0.4</v>
      </c>
      <c r="C10">
        <v>0.30393999999999999</v>
      </c>
      <c r="D10">
        <v>-0.31110300000000002</v>
      </c>
      <c r="E10">
        <v>0.43493100000000001</v>
      </c>
    </row>
    <row r="11" spans="2:5" x14ac:dyDescent="0.3">
      <c r="B11">
        <v>0.5</v>
      </c>
      <c r="C11">
        <v>0.30304500000000001</v>
      </c>
      <c r="D11">
        <v>-0.311998</v>
      </c>
      <c r="E11">
        <v>0.43494699999999997</v>
      </c>
    </row>
    <row r="12" spans="2:5" x14ac:dyDescent="0.3">
      <c r="B12">
        <v>0.6</v>
      </c>
      <c r="C12">
        <v>0.302149</v>
      </c>
      <c r="D12">
        <v>-0.31289400000000001</v>
      </c>
      <c r="E12">
        <v>0.43496699999999999</v>
      </c>
    </row>
    <row r="13" spans="2:5" x14ac:dyDescent="0.3">
      <c r="B13">
        <v>0.7</v>
      </c>
      <c r="C13">
        <v>0.30125400000000002</v>
      </c>
      <c r="D13">
        <v>-0.31378899999999998</v>
      </c>
      <c r="E13">
        <v>0.43499100000000002</v>
      </c>
    </row>
    <row r="14" spans="2:5" x14ac:dyDescent="0.3">
      <c r="B14">
        <v>0.8</v>
      </c>
      <c r="C14">
        <v>0.30035800000000001</v>
      </c>
      <c r="D14">
        <v>-0.31468499999999999</v>
      </c>
      <c r="E14">
        <v>0.43501899999999999</v>
      </c>
    </row>
    <row r="15" spans="2:5" x14ac:dyDescent="0.3">
      <c r="B15">
        <v>0.9</v>
      </c>
      <c r="C15">
        <v>0.29946299999999998</v>
      </c>
      <c r="D15">
        <v>-0.31558000000000003</v>
      </c>
      <c r="E15">
        <v>0.43504999999999999</v>
      </c>
    </row>
    <row r="16" spans="2:5" x14ac:dyDescent="0.3">
      <c r="B16">
        <v>1</v>
      </c>
      <c r="C16">
        <v>0.298568</v>
      </c>
      <c r="D16">
        <v>-0.31647500000000001</v>
      </c>
      <c r="E16">
        <v>0.435085</v>
      </c>
    </row>
    <row r="17" spans="2:5" x14ac:dyDescent="0.3">
      <c r="B17">
        <v>1.1000000000000001</v>
      </c>
      <c r="C17">
        <v>0.29767199999999999</v>
      </c>
      <c r="D17">
        <v>-0.31737100000000001</v>
      </c>
      <c r="E17">
        <v>0.43512400000000001</v>
      </c>
    </row>
    <row r="18" spans="2:5" x14ac:dyDescent="0.3">
      <c r="B18">
        <v>2</v>
      </c>
      <c r="C18">
        <v>0.28961399999999998</v>
      </c>
      <c r="D18">
        <v>-0.32542900000000002</v>
      </c>
      <c r="E18">
        <v>0.43563800000000003</v>
      </c>
    </row>
    <row r="19" spans="2:5" x14ac:dyDescent="0.3">
      <c r="B19">
        <v>3</v>
      </c>
      <c r="C19">
        <v>0.28066000000000002</v>
      </c>
      <c r="D19">
        <v>-0.33438299999999999</v>
      </c>
      <c r="E19">
        <v>0.43655699999999997</v>
      </c>
    </row>
    <row r="20" spans="2:5" x14ac:dyDescent="0.3">
      <c r="B20">
        <v>4</v>
      </c>
      <c r="C20">
        <v>0.271706</v>
      </c>
      <c r="D20">
        <v>-0.343337</v>
      </c>
      <c r="E20">
        <v>0.43784099999999998</v>
      </c>
    </row>
    <row r="21" spans="2:5" x14ac:dyDescent="0.3">
      <c r="B21">
        <v>8</v>
      </c>
      <c r="C21">
        <v>0.23589099999999999</v>
      </c>
      <c r="D21">
        <v>-0.37915199999999999</v>
      </c>
      <c r="E21">
        <v>0.44654300000000002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84910-73A6-4F54-B397-5F4F05C8F59F}">
  <dimension ref="A1:CK89"/>
  <sheetViews>
    <sheetView topLeftCell="AO1" zoomScale="115" zoomScaleNormal="115" workbookViewId="0">
      <selection activeCell="AV16" sqref="AV16"/>
    </sheetView>
  </sheetViews>
  <sheetFormatPr defaultRowHeight="14.4" x14ac:dyDescent="0.3"/>
  <cols>
    <col min="1" max="1" width="8.88671875" style="17"/>
    <col min="2" max="4" width="8.88671875" style="17" customWidth="1"/>
    <col min="5" max="6" width="17.77734375" style="17" customWidth="1"/>
    <col min="7" max="7" width="24.44140625" style="17" customWidth="1"/>
    <col min="8" max="11" width="17.77734375" style="17" customWidth="1"/>
    <col min="12" max="18" width="21.5546875" style="17" customWidth="1"/>
    <col min="19" max="19" width="17.77734375" style="17" customWidth="1"/>
    <col min="20" max="20" width="18.77734375" style="17" customWidth="1"/>
    <col min="21" max="33" width="8.88671875" style="17" customWidth="1"/>
    <col min="34" max="34" width="12.5546875" style="17" customWidth="1"/>
    <col min="35" max="35" width="12" style="17" customWidth="1"/>
    <col min="36" max="37" width="8.88671875" style="17" customWidth="1"/>
    <col min="38" max="38" width="10.44140625" style="17" customWidth="1"/>
    <col min="39" max="39" width="8.88671875" style="17" customWidth="1"/>
    <col min="40" max="40" width="17.77734375" style="17" customWidth="1"/>
    <col min="41" max="41" width="8.88671875" style="17" customWidth="1"/>
    <col min="42" max="42" width="21.77734375" style="17" customWidth="1"/>
    <col min="43" max="43" width="8.88671875" style="17" customWidth="1"/>
    <col min="44" max="44" width="9.109375" style="17" customWidth="1"/>
    <col min="45" max="45" width="10.77734375" style="17" customWidth="1"/>
    <col min="46" max="47" width="8.88671875" style="17" customWidth="1"/>
    <col min="48" max="50" width="8.88671875" style="17"/>
    <col min="51" max="51" width="11.6640625" style="17" customWidth="1"/>
    <col min="52" max="52" width="8.88671875" style="17"/>
    <col min="53" max="53" width="9.88671875" style="17" bestFit="1" customWidth="1"/>
    <col min="57" max="57" width="9.5546875" style="8" bestFit="1" customWidth="1"/>
    <col min="58" max="58" width="23.88671875" style="8" bestFit="1" customWidth="1"/>
    <col min="59" max="59" width="8.88671875" style="8"/>
    <col min="60" max="60" width="18.44140625" customWidth="1"/>
    <col min="63" max="63" width="11" style="13" customWidth="1"/>
    <col min="64" max="64" width="8.88671875" style="13"/>
    <col min="65" max="65" width="9.5546875" style="8" bestFit="1" customWidth="1"/>
    <col min="66" max="66" width="23.88671875" style="8" bestFit="1" customWidth="1"/>
    <col min="67" max="67" width="8.88671875" style="8"/>
    <col min="68" max="70" width="8.88671875" style="13"/>
    <col min="74" max="74" width="17.77734375" style="13" bestFit="1" customWidth="1"/>
    <col min="75" max="76" width="8.88671875" style="13"/>
    <col min="77" max="77" width="11.21875" style="13" bestFit="1" customWidth="1"/>
    <col min="78" max="78" width="16.6640625" bestFit="1" customWidth="1"/>
    <col min="79" max="79" width="8.88671875" customWidth="1"/>
    <col min="81" max="89" width="8.88671875" style="13"/>
  </cols>
  <sheetData>
    <row r="1" spans="1:89" s="13" customFormat="1" ht="15" thickBot="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52">
        <v>0.41780845290741098</v>
      </c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E1" s="17"/>
      <c r="BF1" s="17"/>
      <c r="BG1" s="17"/>
      <c r="BM1" s="17"/>
      <c r="BN1" s="17"/>
      <c r="BO1" s="17"/>
    </row>
    <row r="2" spans="1:89" s="13" customFormat="1" ht="15" thickBot="1" x14ac:dyDescent="0.35">
      <c r="A2" s="17"/>
      <c r="B2" s="17"/>
      <c r="C2" s="17"/>
      <c r="D2" s="17"/>
      <c r="E2" s="17"/>
      <c r="F2" s="17"/>
      <c r="G2" s="77" t="s">
        <v>85</v>
      </c>
      <c r="H2" s="56"/>
      <c r="I2" s="77" t="s">
        <v>84</v>
      </c>
      <c r="J2" s="55"/>
      <c r="K2" s="80"/>
      <c r="L2" s="81"/>
      <c r="M2" s="80"/>
      <c r="N2" s="81"/>
      <c r="O2" s="17"/>
      <c r="P2" s="17"/>
      <c r="Q2" s="17"/>
      <c r="R2" s="17"/>
      <c r="S2" s="17"/>
      <c r="T2" s="17"/>
      <c r="U2" s="17"/>
      <c r="V2" s="17"/>
      <c r="W2" s="17" t="s">
        <v>58</v>
      </c>
      <c r="X2" s="17"/>
      <c r="Y2" s="17"/>
      <c r="Z2" s="17" t="s">
        <v>59</v>
      </c>
      <c r="AA2" s="17"/>
      <c r="AB2" s="17" t="s">
        <v>58</v>
      </c>
      <c r="AC2" s="17" t="s">
        <v>57</v>
      </c>
      <c r="AD2" s="17" t="s">
        <v>59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53">
        <v>0.41775835303139602</v>
      </c>
      <c r="AQ2" s="17"/>
      <c r="AR2" s="17"/>
      <c r="AS2" s="17"/>
      <c r="AT2" s="17"/>
      <c r="AU2" s="17"/>
      <c r="AY2" s="25" t="s">
        <v>56</v>
      </c>
      <c r="AZ2" s="17"/>
      <c r="BA2" s="17"/>
      <c r="BE2" s="17"/>
      <c r="BF2" s="17"/>
      <c r="BG2" s="17"/>
      <c r="BM2" s="17"/>
      <c r="BN2" s="17"/>
      <c r="BO2" s="17"/>
    </row>
    <row r="3" spans="1:89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F3" s="17" t="s">
        <v>81</v>
      </c>
      <c r="G3" s="57" t="s">
        <v>78</v>
      </c>
      <c r="H3" s="58" t="s">
        <v>79</v>
      </c>
      <c r="I3" s="57" t="s">
        <v>78</v>
      </c>
      <c r="J3" s="17" t="s">
        <v>79</v>
      </c>
      <c r="K3" s="82" t="s">
        <v>82</v>
      </c>
      <c r="L3" s="83" t="s">
        <v>82</v>
      </c>
      <c r="M3" s="82" t="s">
        <v>83</v>
      </c>
      <c r="N3" s="83"/>
      <c r="V3" s="17" t="s">
        <v>62</v>
      </c>
      <c r="W3" s="17" t="s">
        <v>63</v>
      </c>
      <c r="X3" s="17" t="s">
        <v>64</v>
      </c>
      <c r="AI3" s="17" t="s">
        <v>0</v>
      </c>
      <c r="AL3" s="54"/>
      <c r="AM3" s="55"/>
      <c r="AN3" s="55" t="s">
        <v>74</v>
      </c>
      <c r="AO3" s="56"/>
      <c r="AT3" s="17" t="s">
        <v>71</v>
      </c>
      <c r="AV3" t="s">
        <v>65</v>
      </c>
      <c r="AW3" t="s">
        <v>66</v>
      </c>
      <c r="AX3" t="s">
        <v>67</v>
      </c>
      <c r="AY3" s="25" t="s">
        <v>68</v>
      </c>
      <c r="AZ3" s="25" t="s">
        <v>69</v>
      </c>
      <c r="BA3" s="25" t="s">
        <v>70</v>
      </c>
      <c r="BB3" s="46" t="s">
        <v>11</v>
      </c>
      <c r="BC3" s="46" t="s">
        <v>12</v>
      </c>
      <c r="BD3" s="46" t="s">
        <v>13</v>
      </c>
      <c r="BE3" s="6" t="s">
        <v>31</v>
      </c>
      <c r="BF3" s="6" t="s">
        <v>29</v>
      </c>
      <c r="BG3" s="6" t="s">
        <v>30</v>
      </c>
      <c r="BH3" s="2" t="s">
        <v>5</v>
      </c>
      <c r="BI3" s="2" t="s">
        <v>6</v>
      </c>
      <c r="BJ3" s="2" t="s">
        <v>7</v>
      </c>
      <c r="BK3" s="13" t="s">
        <v>8</v>
      </c>
      <c r="BL3" s="13" t="s">
        <v>28</v>
      </c>
      <c r="BM3" s="6" t="s">
        <v>31</v>
      </c>
      <c r="BN3" s="6" t="s">
        <v>29</v>
      </c>
      <c r="BO3" s="6" t="s">
        <v>30</v>
      </c>
      <c r="BP3" s="13" t="s">
        <v>27</v>
      </c>
      <c r="BQ3" s="13" t="s">
        <v>9</v>
      </c>
      <c r="BR3" s="13" t="s">
        <v>10</v>
      </c>
      <c r="BS3" s="4" t="s">
        <v>11</v>
      </c>
      <c r="BT3" s="4" t="s">
        <v>12</v>
      </c>
      <c r="BU3" s="4" t="s">
        <v>13</v>
      </c>
      <c r="BV3" s="13" t="s">
        <v>14</v>
      </c>
      <c r="BW3" s="13" t="s">
        <v>15</v>
      </c>
      <c r="BX3" s="19" t="s">
        <v>16</v>
      </c>
      <c r="BY3" s="19" t="s">
        <v>17</v>
      </c>
      <c r="BZ3" s="9" t="s">
        <v>32</v>
      </c>
      <c r="CA3" s="9" t="s">
        <v>12</v>
      </c>
      <c r="CB3" s="9" t="s">
        <v>13</v>
      </c>
      <c r="CD3" s="13" t="s">
        <v>18</v>
      </c>
      <c r="CE3" s="13" t="s">
        <v>19</v>
      </c>
      <c r="CF3" s="13" t="s">
        <v>20</v>
      </c>
      <c r="CG3" s="13" t="s">
        <v>21</v>
      </c>
      <c r="CH3" s="13" t="s">
        <v>22</v>
      </c>
      <c r="CI3" s="13" t="s">
        <v>23</v>
      </c>
      <c r="CJ3" s="13" t="s">
        <v>24</v>
      </c>
      <c r="CK3" s="13" t="s">
        <v>25</v>
      </c>
    </row>
    <row r="4" spans="1:89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7">
        <v>0</v>
      </c>
      <c r="G4" s="57">
        <v>0.41836699999999999</v>
      </c>
      <c r="H4" s="58">
        <v>-0.41836699999999999</v>
      </c>
      <c r="I4" s="57">
        <v>-0.41836667620000001</v>
      </c>
      <c r="J4" s="17">
        <v>0.41836667620000001</v>
      </c>
      <c r="K4" s="84">
        <f>ABS(G4)-ABS(AY4)</f>
        <v>0</v>
      </c>
      <c r="L4" s="85">
        <f>ABS(H4)-ABS(AZ4)</f>
        <v>0</v>
      </c>
      <c r="M4" s="88">
        <f>ABS(G4)-ABS(AV4)</f>
        <v>5.5854709258901236E-4</v>
      </c>
      <c r="N4" s="89">
        <f>ABS(H4)-ABS(AW4)</f>
        <v>3.9026645609618882E-6</v>
      </c>
      <c r="T4" s="15">
        <f>BJ4-BO4</f>
        <v>-4.9512172169989821E-3</v>
      </c>
      <c r="U4" s="15">
        <f>BJ4-BU4</f>
        <v>-3.641508477960631E-4</v>
      </c>
      <c r="V4" s="27">
        <f t="shared" ref="V4:W7" si="0">AY4-BH4</f>
        <v>6.0864696860396528E-4</v>
      </c>
      <c r="W4" s="28">
        <f t="shared" si="0"/>
        <v>9.028182989001543E-5</v>
      </c>
      <c r="X4" s="29">
        <f>AVERAGE(V4:W4)</f>
        <v>3.4946439924699035E-4</v>
      </c>
      <c r="Y4" s="28">
        <f t="shared" ref="Y4:Y13" si="1">AY4-BS4</f>
        <v>2.958879462999775E-6</v>
      </c>
      <c r="Z4" s="28">
        <f t="shared" ref="Z4:Z13" si="2">AZ4-BT4</f>
        <v>-1.2710578400909611E-7</v>
      </c>
      <c r="AA4" s="29">
        <f>AVERAGE(Y4:Z4)</f>
        <v>1.4158868394953394E-6</v>
      </c>
      <c r="AB4" s="27">
        <f>BA4-BJ4</f>
        <v>3.660475161579857E-4</v>
      </c>
      <c r="AC4" s="28">
        <f>BA4-BO4</f>
        <v>-4.5851697008409964E-3</v>
      </c>
      <c r="AD4" s="29">
        <f t="shared" ref="AD4:AD21" si="3">AY4-BS4</f>
        <v>2.958879462999775E-6</v>
      </c>
      <c r="AE4" s="36">
        <f t="shared" ref="AE4:AE13" si="4">AY4-BH4</f>
        <v>6.0864696860396528E-4</v>
      </c>
      <c r="AF4" s="36">
        <f t="shared" ref="AF4:AF13" si="5">AZ4-BI4</f>
        <v>9.028182989001543E-5</v>
      </c>
      <c r="AG4" s="15">
        <f t="shared" ref="AG4:AH6" si="6">AV4-AY4</f>
        <v>-5.5854709258901236E-4</v>
      </c>
      <c r="AH4" s="15">
        <f t="shared" si="6"/>
        <v>3.9026645609618882E-6</v>
      </c>
      <c r="AI4" s="17">
        <v>0</v>
      </c>
      <c r="AL4" s="57"/>
      <c r="AO4" s="58"/>
      <c r="AP4" s="15">
        <f>(AV4-BM4)/BM4</f>
        <v>-3.6054019449626461E-2</v>
      </c>
      <c r="AQ4" s="15">
        <f>(AW4-BN4)/BN4</f>
        <v>2.1790932484802714E-2</v>
      </c>
      <c r="AR4" s="50">
        <f>AV4-BB4</f>
        <v>-5.5558821312601259E-4</v>
      </c>
      <c r="AS4" s="50">
        <f>AW4-BC4</f>
        <v>3.7755587769527921E-6</v>
      </c>
      <c r="AT4" s="48">
        <f>AY4-AV4</f>
        <v>5.5854709258901236E-4</v>
      </c>
      <c r="AU4" s="48">
        <f>AZ4-AW4</f>
        <v>-3.9026645609618882E-6</v>
      </c>
      <c r="AV4" s="15">
        <v>0.41780845290741098</v>
      </c>
      <c r="AW4" s="15">
        <v>-0.41836309733543903</v>
      </c>
      <c r="AX4" s="44">
        <v>0.59126270348550403</v>
      </c>
      <c r="AY4" s="25">
        <v>0.41836699999999999</v>
      </c>
      <c r="AZ4" s="25">
        <v>-0.41836699999999999</v>
      </c>
      <c r="BA4" s="26">
        <v>0.59165999999999996</v>
      </c>
      <c r="BB4" s="47">
        <v>0.41836404112053699</v>
      </c>
      <c r="BC4" s="47">
        <v>-0.41836687289421598</v>
      </c>
      <c r="BD4" s="47">
        <v>0.59165810333163804</v>
      </c>
      <c r="BE4" s="7">
        <v>0.43343554653224398</v>
      </c>
      <c r="BF4" s="7">
        <v>-0.40944099623007901</v>
      </c>
      <c r="BG4" s="7">
        <v>0.59624516970084096</v>
      </c>
      <c r="BH4" s="3">
        <v>0.41775835303139602</v>
      </c>
      <c r="BI4" s="3">
        <v>-0.41845728182989</v>
      </c>
      <c r="BJ4" s="3">
        <v>0.59129395248384198</v>
      </c>
      <c r="BK4" s="15">
        <v>3.7952230000000002E-9</v>
      </c>
      <c r="BL4" s="16">
        <v>0</v>
      </c>
      <c r="BM4" s="7">
        <v>0.43343554653224398</v>
      </c>
      <c r="BN4" s="7">
        <v>-0.40944099623007901</v>
      </c>
      <c r="BO4" s="7">
        <v>0.59624516970084096</v>
      </c>
      <c r="BP4" s="15">
        <v>-3.641508477960631E-4</v>
      </c>
      <c r="BQ4" s="15">
        <v>4.0188039999999997E-12</v>
      </c>
      <c r="BR4" s="15">
        <v>1</v>
      </c>
      <c r="BS4" s="5">
        <v>0.41836404112053699</v>
      </c>
      <c r="BT4" s="5">
        <v>-0.41836687289421598</v>
      </c>
      <c r="BU4" s="5">
        <v>0.59165810333163804</v>
      </c>
      <c r="BV4" s="15">
        <v>2.8853750000000001E-5</v>
      </c>
      <c r="BW4" s="15">
        <v>1.035055E-3</v>
      </c>
      <c r="BX4" s="20">
        <v>0.41836667621661899</v>
      </c>
      <c r="BY4" s="20">
        <v>-0.41836667621661899</v>
      </c>
      <c r="BZ4" s="10">
        <v>0.41836404112053699</v>
      </c>
      <c r="CA4" s="10">
        <v>-0.41836687289421598</v>
      </c>
      <c r="CB4" s="10">
        <v>0.59165810333163804</v>
      </c>
      <c r="CC4" s="15"/>
      <c r="CD4" s="13">
        <v>16</v>
      </c>
      <c r="CE4" s="13">
        <v>1</v>
      </c>
      <c r="CF4" s="13">
        <v>1</v>
      </c>
      <c r="CG4" s="13">
        <v>2</v>
      </c>
      <c r="CH4" s="13">
        <v>0.01</v>
      </c>
      <c r="CI4" s="13">
        <v>8</v>
      </c>
      <c r="CJ4" s="13">
        <v>15000</v>
      </c>
      <c r="CK4" s="13">
        <v>385.8</v>
      </c>
    </row>
    <row r="5" spans="1:89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G5" s="57">
        <v>0.41950199999999999</v>
      </c>
      <c r="H5" s="58">
        <v>-0.41723199999999999</v>
      </c>
      <c r="I5" s="57"/>
      <c r="K5" s="82"/>
      <c r="L5" s="83"/>
      <c r="M5" s="82"/>
      <c r="N5" s="83"/>
      <c r="T5" s="15">
        <f>BJ5-BO5</f>
        <v>-0.77723825012090308</v>
      </c>
      <c r="U5" s="15">
        <f>BJ5-BU5</f>
        <v>-9.5953533987058748E-5</v>
      </c>
      <c r="V5" s="30">
        <f t="shared" si="0"/>
        <v>-1.3481898939898818E-4</v>
      </c>
      <c r="W5" s="15">
        <f t="shared" si="0"/>
        <v>-3.0889199352901464E-4</v>
      </c>
      <c r="X5" s="31">
        <f t="shared" ref="X5:X13" si="7">AVERAGE(V5:W5)</f>
        <v>-2.2185549146400141E-4</v>
      </c>
      <c r="Y5" s="15">
        <f t="shared" si="1"/>
        <v>2.5973623233976895E-5</v>
      </c>
      <c r="Z5" s="15">
        <f t="shared" si="2"/>
        <v>-1.1038026666965184E-5</v>
      </c>
      <c r="AA5" s="31">
        <f>AVERAGE(Y5:Z5)</f>
        <v>7.4677982835058554E-6</v>
      </c>
      <c r="AB5" s="30">
        <f t="shared" ref="AB5:AB21" si="8">BA5-BJ5</f>
        <v>1.2169043410303892E-4</v>
      </c>
      <c r="AC5" s="15">
        <f t="shared" ref="AC5:AC21" si="9">BA5-BO5</f>
        <v>-0.77711655968680005</v>
      </c>
      <c r="AD5" s="31">
        <f t="shared" si="3"/>
        <v>2.5973623233976895E-5</v>
      </c>
      <c r="AE5" s="36">
        <f t="shared" si="4"/>
        <v>-1.3481898939898818E-4</v>
      </c>
      <c r="AF5" s="36">
        <f t="shared" si="5"/>
        <v>-3.0889199352901464E-4</v>
      </c>
      <c r="AG5" s="15">
        <f t="shared" si="6"/>
        <v>-6.1476395056597744E-4</v>
      </c>
      <c r="AH5" s="15">
        <f t="shared" si="6"/>
        <v>9.3240523039994638E-5</v>
      </c>
      <c r="AI5" s="17">
        <v>0.05</v>
      </c>
      <c r="AL5" s="57" t="s">
        <v>72</v>
      </c>
      <c r="AM5" s="17" t="s">
        <v>73</v>
      </c>
      <c r="AO5" s="58"/>
      <c r="AR5" s="50">
        <f t="shared" ref="AR5:AR6" si="10">AV5-BB5</f>
        <v>-5.8879032733200054E-4</v>
      </c>
      <c r="AS5" s="50">
        <f t="shared" ref="AS5:AS6" si="11">AW5-BC5</f>
        <v>8.2202496373029454E-5</v>
      </c>
      <c r="AT5" s="48">
        <f t="shared" ref="AT5:AT6" si="12">AY5-AV5</f>
        <v>6.1476395056597744E-4</v>
      </c>
      <c r="AU5" s="48">
        <f t="shared" ref="AU5:AU6" si="13">AZ5-AW5</f>
        <v>-9.3240523039994638E-5</v>
      </c>
      <c r="AV5" s="15">
        <v>0.41888723604943401</v>
      </c>
      <c r="AW5" s="15">
        <v>-0.41713875947696</v>
      </c>
      <c r="AX5" s="45">
        <v>0.59116094355353999</v>
      </c>
      <c r="AY5" s="25">
        <v>0.41950199999999999</v>
      </c>
      <c r="AZ5" s="25">
        <v>-0.41723199999999999</v>
      </c>
      <c r="BA5" s="26">
        <v>0.59166200000000002</v>
      </c>
      <c r="BB5" s="47">
        <v>0.41947602637676601</v>
      </c>
      <c r="BC5" s="47">
        <v>-0.41722096197333303</v>
      </c>
      <c r="BD5" s="47">
        <v>0.59163626309988404</v>
      </c>
      <c r="BE5" s="7">
        <v>-0.848777584461895</v>
      </c>
      <c r="BF5" s="7">
        <v>-1.07383953995618</v>
      </c>
      <c r="BG5" s="7">
        <v>1.3687785596868001</v>
      </c>
      <c r="BH5" s="3">
        <v>0.41963681898939897</v>
      </c>
      <c r="BI5" s="3">
        <v>-0.41692310800647098</v>
      </c>
      <c r="BJ5" s="3">
        <v>0.59154030956589698</v>
      </c>
      <c r="BK5" s="15">
        <v>6.5112070000000004E-6</v>
      </c>
      <c r="BL5" s="16">
        <v>0.05</v>
      </c>
      <c r="BM5" s="7">
        <v>-0.848777584461895</v>
      </c>
      <c r="BN5" s="7">
        <v>-1.07383953995618</v>
      </c>
      <c r="BO5" s="7">
        <v>1.3687785596868001</v>
      </c>
      <c r="BP5" s="15">
        <v>-9.5953533987058748E-5</v>
      </c>
      <c r="BQ5" s="15">
        <v>1.272908E-5</v>
      </c>
      <c r="BR5" s="15">
        <v>0.99999000000000005</v>
      </c>
      <c r="BS5" s="5">
        <v>0.41947602637676601</v>
      </c>
      <c r="BT5" s="5">
        <v>-0.41722096197333303</v>
      </c>
      <c r="BU5" s="5">
        <v>0.59163626309988404</v>
      </c>
      <c r="BV5" s="15">
        <v>2.8197820000000001E-5</v>
      </c>
      <c r="BW5" s="15">
        <v>5.7211459999999997E-4</v>
      </c>
      <c r="BX5" s="20">
        <v>0.41836667621661899</v>
      </c>
      <c r="BY5" s="20">
        <v>-0.41836667621661899</v>
      </c>
      <c r="BZ5" s="10">
        <v>0.41947602637676601</v>
      </c>
      <c r="CA5" s="10">
        <v>-0.41722096197333303</v>
      </c>
      <c r="CB5" s="10">
        <v>0.59163626309988404</v>
      </c>
      <c r="CC5" s="15"/>
      <c r="CD5" s="13">
        <v>16</v>
      </c>
      <c r="CE5" s="13">
        <v>1</v>
      </c>
      <c r="CF5" s="13">
        <v>1</v>
      </c>
      <c r="CG5" s="13">
        <v>2</v>
      </c>
      <c r="CH5" s="13">
        <v>0.01</v>
      </c>
      <c r="CI5" s="13">
        <v>8</v>
      </c>
      <c r="CJ5" s="13">
        <v>15000</v>
      </c>
      <c r="CK5" s="13">
        <v>394</v>
      </c>
    </row>
    <row r="6" spans="1:89" s="74" customFormat="1" x14ac:dyDescent="0.3">
      <c r="A6" s="62">
        <v>0.1</v>
      </c>
      <c r="B6" s="62">
        <v>0</v>
      </c>
      <c r="C6" s="62">
        <v>0</v>
      </c>
      <c r="D6" s="62">
        <v>45</v>
      </c>
      <c r="E6" s="62" t="s">
        <v>26</v>
      </c>
      <c r="F6" s="17">
        <v>0.1</v>
      </c>
      <c r="G6" s="57">
        <v>0.42063600000000001</v>
      </c>
      <c r="H6" s="58">
        <v>-0.41609699999999999</v>
      </c>
      <c r="I6" s="57">
        <v>-0.42063648310000001</v>
      </c>
      <c r="J6" s="17">
        <v>0.41609686930000001</v>
      </c>
      <c r="K6" s="84">
        <f>ABS(G6)-ABS(AY6)</f>
        <v>0</v>
      </c>
      <c r="L6" s="85">
        <f>ABS(H6)-ABS(AZ6)</f>
        <v>0</v>
      </c>
      <c r="M6" s="88">
        <f>ABS(G6)-ABS(AV6)</f>
        <v>7.8085604122002383E-4</v>
      </c>
      <c r="N6" s="89">
        <f>ABS(H6)-ABS(AW6)</f>
        <v>-9.6517490124015115E-5</v>
      </c>
      <c r="O6" s="62"/>
      <c r="P6" s="62"/>
      <c r="Q6" s="62"/>
      <c r="R6" s="62"/>
      <c r="S6" s="62"/>
      <c r="T6" s="63">
        <f t="shared" ref="T6:T21" si="14">BJ6-BO6</f>
        <v>-0.79577384758854808</v>
      </c>
      <c r="U6" s="63">
        <f>BJ6-BU6</f>
        <v>-2.6636799962320712E-3</v>
      </c>
      <c r="V6" s="64">
        <f t="shared" si="0"/>
        <v>-9.7036626889901445E-4</v>
      </c>
      <c r="W6" s="63">
        <f t="shared" si="0"/>
        <v>-9.3482502212319796E-3</v>
      </c>
      <c r="X6" s="65">
        <f t="shared" si="7"/>
        <v>-5.159308245065497E-3</v>
      </c>
      <c r="Y6" s="63">
        <f t="shared" si="1"/>
        <v>6.9751145884490162E-3</v>
      </c>
      <c r="Z6" s="63">
        <f t="shared" si="2"/>
        <v>2.4829403544470163E-3</v>
      </c>
      <c r="AA6" s="65">
        <f t="shared" ref="AA6:AA13" si="15">AVERAGE(Y6:Z6)</f>
        <v>4.7290274714480163E-3</v>
      </c>
      <c r="AB6" s="64">
        <f t="shared" si="8"/>
        <v>5.8392691693980314E-3</v>
      </c>
      <c r="AC6" s="63">
        <f t="shared" si="9"/>
        <v>-0.78993457841915005</v>
      </c>
      <c r="AD6" s="65">
        <f t="shared" si="3"/>
        <v>6.9751145884490162E-3</v>
      </c>
      <c r="AE6" s="66">
        <f t="shared" si="4"/>
        <v>-9.7036626889901445E-4</v>
      </c>
      <c r="AF6" s="66">
        <f t="shared" si="5"/>
        <v>-9.3482502212319796E-3</v>
      </c>
      <c r="AG6" s="63">
        <f t="shared" si="6"/>
        <v>-7.8085604122002383E-4</v>
      </c>
      <c r="AH6" s="63">
        <f t="shared" si="6"/>
        <v>-9.6517490124015115E-5</v>
      </c>
      <c r="AI6" s="62">
        <v>0.1</v>
      </c>
      <c r="AJ6" s="62"/>
      <c r="AK6" s="62"/>
      <c r="AL6" s="67">
        <f>AN6-AY6</f>
        <v>4.8310000000384434E-7</v>
      </c>
      <c r="AM6" s="62"/>
      <c r="AN6" s="68">
        <v>0.42063648310000001</v>
      </c>
      <c r="AO6" s="69"/>
      <c r="AP6" s="62"/>
      <c r="AQ6" s="62"/>
      <c r="AR6" s="63">
        <f t="shared" si="10"/>
        <v>6.1942585472289924E-3</v>
      </c>
      <c r="AS6" s="63">
        <f t="shared" si="11"/>
        <v>2.3864228643230012E-3</v>
      </c>
      <c r="AT6" s="63">
        <f t="shared" si="12"/>
        <v>7.8085604122002383E-4</v>
      </c>
      <c r="AU6" s="63">
        <f t="shared" si="13"/>
        <v>9.6517490124015115E-5</v>
      </c>
      <c r="AV6" s="63">
        <v>0.41985514395877999</v>
      </c>
      <c r="AW6" s="63">
        <v>-0.41619351749012401</v>
      </c>
      <c r="AX6" s="70">
        <v>0.59118134773472897</v>
      </c>
      <c r="AY6" s="62">
        <v>0.42063600000000001</v>
      </c>
      <c r="AZ6" s="62">
        <v>-0.41609699999999999</v>
      </c>
      <c r="BA6" s="71">
        <v>0.591669</v>
      </c>
      <c r="BB6" s="63">
        <v>0.41366088541155099</v>
      </c>
      <c r="BC6" s="63">
        <v>-0.41857994035444701</v>
      </c>
      <c r="BD6" s="63">
        <v>0.58849341082683404</v>
      </c>
      <c r="BE6" s="72">
        <v>-0.58776712993599001</v>
      </c>
      <c r="BF6" s="72">
        <v>-1.25034325241807</v>
      </c>
      <c r="BG6" s="72">
        <v>1.38160357841915</v>
      </c>
      <c r="BH6" s="63">
        <v>0.42160636626889902</v>
      </c>
      <c r="BI6" s="63">
        <v>-0.40674874977876802</v>
      </c>
      <c r="BJ6" s="63">
        <v>0.58582973083060197</v>
      </c>
      <c r="BK6" s="63">
        <v>5.1723609999999998E-6</v>
      </c>
      <c r="BL6" s="73">
        <v>0.1</v>
      </c>
      <c r="BM6" s="72">
        <v>-0.58776712993599001</v>
      </c>
      <c r="BN6" s="72">
        <v>-1.25034325241807</v>
      </c>
      <c r="BO6" s="72">
        <v>1.38160357841915</v>
      </c>
      <c r="BP6" s="63">
        <v>-2.6636799962320712E-3</v>
      </c>
      <c r="BQ6" s="63">
        <v>1.063996E-5</v>
      </c>
      <c r="BR6" s="63">
        <v>0.99999199999999999</v>
      </c>
      <c r="BS6" s="63">
        <v>0.41366088541155099</v>
      </c>
      <c r="BT6" s="63">
        <v>-0.41857994035444701</v>
      </c>
      <c r="BU6" s="63">
        <v>0.58849341082683404</v>
      </c>
      <c r="BV6" s="63">
        <v>3.416428E-3</v>
      </c>
      <c r="BW6" s="63">
        <v>2.421707E-2</v>
      </c>
      <c r="BX6" s="63">
        <v>0.41836667621661899</v>
      </c>
      <c r="BY6" s="63">
        <v>-0.41836667621661899</v>
      </c>
      <c r="BZ6" s="63">
        <v>0.41366088541155099</v>
      </c>
      <c r="CA6" s="63">
        <v>-0.41857994035444701</v>
      </c>
      <c r="CB6" s="63">
        <v>0.58849341082683404</v>
      </c>
      <c r="CC6" s="63"/>
      <c r="CD6" s="74">
        <v>16</v>
      </c>
      <c r="CE6" s="74">
        <v>1</v>
      </c>
      <c r="CF6" s="74">
        <v>1</v>
      </c>
      <c r="CG6" s="74">
        <v>2</v>
      </c>
      <c r="CH6" s="74">
        <v>0.01</v>
      </c>
      <c r="CI6" s="74">
        <v>8</v>
      </c>
      <c r="CJ6" s="74">
        <v>15000</v>
      </c>
      <c r="CK6" s="74">
        <v>385.1</v>
      </c>
    </row>
    <row r="7" spans="1:89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62">
        <v>0.15</v>
      </c>
      <c r="G7" s="67">
        <v>0.42177100000000001</v>
      </c>
      <c r="H7" s="69">
        <v>-0.414962</v>
      </c>
      <c r="I7" s="67">
        <v>-0.42177138650000001</v>
      </c>
      <c r="J7" s="62">
        <v>0.41496196590000001</v>
      </c>
      <c r="K7" s="84">
        <f t="shared" ref="K7:K16" si="16">ABS(G7)-ABS(AY7)</f>
        <v>0</v>
      </c>
      <c r="L7" s="85">
        <f t="shared" ref="L7:L16" si="17">ABS(H7)-ABS(AZ7)</f>
        <v>0</v>
      </c>
      <c r="M7" s="82"/>
      <c r="N7" s="83"/>
      <c r="T7" s="15">
        <f t="shared" si="14"/>
        <v>-0.798465666458817</v>
      </c>
      <c r="U7" s="15">
        <f t="shared" ref="U7:U21" si="18">BJ7-BU7</f>
        <v>-5.2652091043003946E-4</v>
      </c>
      <c r="V7" s="30">
        <f t="shared" si="0"/>
        <v>-6.9369144795219939E-3</v>
      </c>
      <c r="W7" s="15">
        <f t="shared" si="0"/>
        <v>-2.9717685689964024E-2</v>
      </c>
      <c r="X7" s="31">
        <f t="shared" si="7"/>
        <v>-1.8327300084743009E-2</v>
      </c>
      <c r="Y7" s="15">
        <f t="shared" si="1"/>
        <v>5.4026693258464986E-2</v>
      </c>
      <c r="Z7" s="15">
        <f t="shared" si="2"/>
        <v>2.9532097388607015E-2</v>
      </c>
      <c r="AA7" s="31">
        <f t="shared" si="15"/>
        <v>4.1779395323536E-2</v>
      </c>
      <c r="AB7" s="30">
        <f t="shared" si="8"/>
        <v>1.5307888956436977E-2</v>
      </c>
      <c r="AC7" s="15">
        <f t="shared" si="9"/>
        <v>-0.78315777750238003</v>
      </c>
      <c r="AD7" s="31">
        <f t="shared" si="3"/>
        <v>5.4026693258464986E-2</v>
      </c>
      <c r="AE7" s="36">
        <f t="shared" si="4"/>
        <v>-6.9369144795219939E-3</v>
      </c>
      <c r="AF7" s="36">
        <f t="shared" si="5"/>
        <v>-2.9717685689964024E-2</v>
      </c>
      <c r="AG7" s="15"/>
      <c r="AH7" s="15"/>
      <c r="AI7" s="17">
        <v>0.15</v>
      </c>
      <c r="AL7" s="57"/>
      <c r="AO7" s="58"/>
      <c r="AR7" s="51"/>
      <c r="AS7" s="51"/>
      <c r="AT7" s="49"/>
      <c r="AU7" s="49"/>
      <c r="AV7" s="15"/>
      <c r="AW7" s="15"/>
      <c r="AX7" s="36"/>
      <c r="AY7" s="25">
        <v>0.42177100000000001</v>
      </c>
      <c r="AZ7" s="25">
        <v>-0.414962</v>
      </c>
      <c r="BA7" s="26">
        <v>0.59167899999999995</v>
      </c>
      <c r="BB7" s="47">
        <v>0.36774430674153502</v>
      </c>
      <c r="BC7" s="47">
        <v>-0.44449409738860701</v>
      </c>
      <c r="BD7" s="47">
        <v>0.57689763195399302</v>
      </c>
      <c r="BE7" s="7">
        <v>-0.57345809421691596</v>
      </c>
      <c r="BF7" s="7">
        <v>-1.24952870273165</v>
      </c>
      <c r="BG7" s="7">
        <v>1.37483677750238</v>
      </c>
      <c r="BH7" s="3">
        <v>0.428707914479522</v>
      </c>
      <c r="BI7" s="3">
        <v>-0.38524431431003597</v>
      </c>
      <c r="BJ7" s="3">
        <v>0.57637111104356298</v>
      </c>
      <c r="BK7" s="15">
        <v>7.4347189999999996E-6</v>
      </c>
      <c r="BL7" s="16">
        <v>0.15</v>
      </c>
      <c r="BM7" s="7">
        <v>-0.57345809421691596</v>
      </c>
      <c r="BN7" s="7">
        <v>-1.24952870273165</v>
      </c>
      <c r="BO7" s="7">
        <v>1.37483677750238</v>
      </c>
      <c r="BP7" s="15">
        <v>-5.2652091043003946E-4</v>
      </c>
      <c r="BQ7" s="15">
        <v>1.7411469999999999E-5</v>
      </c>
      <c r="BR7" s="15">
        <v>0.99997800000000003</v>
      </c>
      <c r="BS7" s="5">
        <v>0.36774430674153502</v>
      </c>
      <c r="BT7" s="5">
        <v>-0.44449409738860701</v>
      </c>
      <c r="BU7" s="5">
        <v>0.57689763195399302</v>
      </c>
      <c r="BV7" s="15">
        <v>2.7174750000000001E-2</v>
      </c>
      <c r="BW7" s="15">
        <v>0.1473612</v>
      </c>
      <c r="BX7" s="20">
        <v>0.41836667621661899</v>
      </c>
      <c r="BY7" s="20">
        <v>-0.41836667621661899</v>
      </c>
      <c r="BZ7" s="10">
        <v>0.36774430674153502</v>
      </c>
      <c r="CA7" s="10">
        <v>-0.44449409738860701</v>
      </c>
      <c r="CB7" s="10">
        <v>0.57689763195399302</v>
      </c>
      <c r="CC7" s="15"/>
      <c r="CD7" s="13">
        <v>16</v>
      </c>
      <c r="CE7" s="13">
        <v>1</v>
      </c>
      <c r="CF7" s="13">
        <v>1</v>
      </c>
      <c r="CG7" s="13">
        <v>2</v>
      </c>
      <c r="CH7" s="13">
        <v>0.01</v>
      </c>
      <c r="CI7" s="13">
        <v>8</v>
      </c>
      <c r="CJ7" s="13">
        <v>15000</v>
      </c>
      <c r="CK7" s="13">
        <v>384.8</v>
      </c>
    </row>
    <row r="8" spans="1:89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7">
        <v>0.2</v>
      </c>
      <c r="G8" s="57">
        <v>0.422906</v>
      </c>
      <c r="H8" s="58">
        <v>-0.413827</v>
      </c>
      <c r="I8" s="57">
        <v>-0.42290629000000002</v>
      </c>
      <c r="J8" s="17">
        <v>0.41382706250000001</v>
      </c>
      <c r="K8" s="84">
        <f t="shared" si="16"/>
        <v>0</v>
      </c>
      <c r="L8" s="85">
        <f t="shared" si="17"/>
        <v>0</v>
      </c>
      <c r="M8" s="88">
        <f>ABS(G8)-ABS(AV8)</f>
        <v>-1.6131010640514976E-2</v>
      </c>
      <c r="N8" s="89">
        <f>ABS(H8)-ABS(AW8)</f>
        <v>8.1414180184199991E-3</v>
      </c>
      <c r="T8" s="15">
        <f t="shared" si="14"/>
        <v>-0.88494332936368403</v>
      </c>
      <c r="U8" s="15">
        <f t="shared" si="18"/>
        <v>-8.4027863569863914E-2</v>
      </c>
      <c r="V8" s="30">
        <f>AY8+BH8</f>
        <v>0.85387876610749602</v>
      </c>
      <c r="W8" s="15">
        <f>AZ8+BI8</f>
        <v>-0.78154566454008101</v>
      </c>
      <c r="X8" s="31">
        <f t="shared" si="7"/>
        <v>3.6166550783707507E-2</v>
      </c>
      <c r="Y8" s="15">
        <f t="shared" si="1"/>
        <v>-0.14482747902228199</v>
      </c>
      <c r="Z8" s="15">
        <f t="shared" si="2"/>
        <v>-9.6175809142145019E-2</v>
      </c>
      <c r="AA8" s="31">
        <f t="shared" si="15"/>
        <v>-0.1205016440822135</v>
      </c>
      <c r="AB8" s="30">
        <f t="shared" si="8"/>
        <v>2.5166499942423926E-2</v>
      </c>
      <c r="AC8" s="15">
        <f t="shared" si="9"/>
        <v>-0.8597768294212601</v>
      </c>
      <c r="AD8" s="31">
        <f t="shared" si="3"/>
        <v>-0.14482747902228199</v>
      </c>
      <c r="AE8" s="36">
        <f t="shared" si="4"/>
        <v>-8.0667661074960151E-3</v>
      </c>
      <c r="AF8" s="36">
        <f t="shared" si="5"/>
        <v>-4.6108335459918992E-2</v>
      </c>
      <c r="AG8" s="15">
        <f>AV8-AY8</f>
        <v>1.6131010640514976E-2</v>
      </c>
      <c r="AH8" s="15">
        <f>AW8-AZ8</f>
        <v>8.1414180184199991E-3</v>
      </c>
      <c r="AI8" s="17">
        <v>0.2</v>
      </c>
      <c r="AL8" s="57"/>
      <c r="AM8" s="17">
        <f>AN8+AZ6</f>
        <v>-9.7000000000013742E-5</v>
      </c>
      <c r="AN8" s="17">
        <v>0.41599999999999998</v>
      </c>
      <c r="AO8" s="58"/>
      <c r="AR8" s="50">
        <f t="shared" ref="AR8" si="19">AV8-BB8</f>
        <v>-0.12869646838176702</v>
      </c>
      <c r="AS8" s="50">
        <f t="shared" ref="AS8" si="20">AW8-BC8</f>
        <v>-8.803439112372502E-2</v>
      </c>
      <c r="AT8" s="48">
        <f t="shared" ref="AT8" si="21">AY8-AV8</f>
        <v>-1.6131010640514976E-2</v>
      </c>
      <c r="AU8" s="48">
        <f t="shared" ref="AU8" si="22">AZ8-AW8</f>
        <v>-8.1414180184199991E-3</v>
      </c>
      <c r="AV8" s="15">
        <v>0.43903701064051498</v>
      </c>
      <c r="AW8" s="15">
        <v>-0.40568558198158</v>
      </c>
      <c r="AX8" s="45">
        <v>0.59777444587393702</v>
      </c>
      <c r="AY8" s="25">
        <v>0.422906</v>
      </c>
      <c r="AZ8" s="25">
        <v>-0.413827</v>
      </c>
      <c r="BA8" s="26">
        <v>0.59169499999999997</v>
      </c>
      <c r="BB8" s="47">
        <v>0.56773347902228199</v>
      </c>
      <c r="BC8" s="47">
        <v>-0.31765119085785498</v>
      </c>
      <c r="BD8" s="47">
        <v>0.65055636362743996</v>
      </c>
      <c r="BE8" s="7">
        <v>1.3767820939667501</v>
      </c>
      <c r="BF8" s="7">
        <v>0.45961020151430398</v>
      </c>
      <c r="BG8" s="7">
        <v>1.4514718294212601</v>
      </c>
      <c r="BH8" s="3">
        <v>0.43097276610749602</v>
      </c>
      <c r="BI8" s="3">
        <v>-0.36771866454008101</v>
      </c>
      <c r="BJ8" s="3">
        <v>0.56652850005757605</v>
      </c>
      <c r="BK8" s="15">
        <v>9.2594210000000006E-6</v>
      </c>
      <c r="BL8" s="16">
        <v>0.2</v>
      </c>
      <c r="BM8" s="7">
        <v>1.3767820939667501</v>
      </c>
      <c r="BN8" s="7">
        <v>0.45961020151430398</v>
      </c>
      <c r="BO8" s="7">
        <v>1.4514718294212601</v>
      </c>
      <c r="BP8" s="15">
        <v>-8.4027863569863914E-2</v>
      </c>
      <c r="BQ8" s="15">
        <v>2.6227680000000002E-5</v>
      </c>
      <c r="BR8" s="15">
        <v>0.99996600000000002</v>
      </c>
      <c r="BS8" s="5">
        <v>0.56773347902228199</v>
      </c>
      <c r="BT8" s="5">
        <v>-0.31765119085785498</v>
      </c>
      <c r="BU8" s="5">
        <v>0.65055636362743996</v>
      </c>
      <c r="BV8" s="15">
        <v>7.1912489999999996E-2</v>
      </c>
      <c r="BW8" s="15">
        <v>1.86188</v>
      </c>
      <c r="BX8" s="20">
        <v>0.41836667621661899</v>
      </c>
      <c r="BY8" s="20">
        <v>-0.41836667621661899</v>
      </c>
      <c r="BZ8" s="10">
        <v>0.56773347902228199</v>
      </c>
      <c r="CA8" s="10">
        <v>-0.31765119085785498</v>
      </c>
      <c r="CB8" s="10">
        <v>0.65055636362743996</v>
      </c>
      <c r="CC8" s="15"/>
      <c r="CD8" s="13">
        <v>16</v>
      </c>
      <c r="CE8" s="13">
        <v>1</v>
      </c>
      <c r="CF8" s="13">
        <v>1</v>
      </c>
      <c r="CG8" s="13">
        <v>2</v>
      </c>
      <c r="CH8" s="13">
        <v>0.01</v>
      </c>
      <c r="CI8" s="13">
        <v>8</v>
      </c>
      <c r="CJ8" s="13">
        <v>15000</v>
      </c>
      <c r="CK8" s="13">
        <v>444.4</v>
      </c>
    </row>
    <row r="9" spans="1:89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7">
        <v>0.3</v>
      </c>
      <c r="G9" s="57">
        <v>0.425176</v>
      </c>
      <c r="H9" s="58">
        <v>-0.41155700000000001</v>
      </c>
      <c r="I9" s="57">
        <v>-0.42517609680000001</v>
      </c>
      <c r="J9" s="17">
        <v>0.4115572556</v>
      </c>
      <c r="K9" s="84">
        <f t="shared" si="16"/>
        <v>-9.6822188988543445E-8</v>
      </c>
      <c r="L9" s="85">
        <f t="shared" si="17"/>
        <v>-2.5561105099214387E-7</v>
      </c>
      <c r="M9" s="82"/>
      <c r="N9" s="83"/>
      <c r="T9" s="15">
        <f t="shared" si="14"/>
        <v>-0.78908072051528999</v>
      </c>
      <c r="U9" s="15">
        <f t="shared" si="18"/>
        <v>-0.15643568404633801</v>
      </c>
      <c r="V9" s="30">
        <f>AY9-BH9</f>
        <v>-4.3133930512679886E-3</v>
      </c>
      <c r="W9" s="15">
        <f>AZ9-BI9</f>
        <v>-6.9152274757150023E-2</v>
      </c>
      <c r="X9" s="31">
        <f t="shared" si="7"/>
        <v>-3.6732833904209006E-2</v>
      </c>
      <c r="Y9" s="15">
        <f t="shared" si="1"/>
        <v>0.36277871944921547</v>
      </c>
      <c r="Z9" s="15">
        <f t="shared" si="2"/>
        <v>0.29138891860893296</v>
      </c>
      <c r="AA9" s="31">
        <f t="shared" si="15"/>
        <v>0.32708381902907424</v>
      </c>
      <c r="AB9" s="30">
        <f t="shared" si="8"/>
        <v>4.2463768102708022E-2</v>
      </c>
      <c r="AC9" s="15">
        <f t="shared" si="9"/>
        <v>-0.74661695241258197</v>
      </c>
      <c r="AD9" s="31">
        <f t="shared" si="3"/>
        <v>0.36277871944921547</v>
      </c>
      <c r="AE9" s="36">
        <f t="shared" si="4"/>
        <v>-4.3133930512679886E-3</v>
      </c>
      <c r="AF9" s="36">
        <f t="shared" si="5"/>
        <v>-6.9152274757150023E-2</v>
      </c>
      <c r="AG9" s="15"/>
      <c r="AH9" s="15"/>
      <c r="AI9" s="17">
        <v>0.3</v>
      </c>
      <c r="AL9" s="57"/>
      <c r="AM9" s="17" t="s">
        <v>76</v>
      </c>
      <c r="AO9" s="58"/>
      <c r="AR9" s="51"/>
      <c r="AS9" s="51"/>
      <c r="AT9" s="49"/>
      <c r="AU9" s="49"/>
      <c r="AV9" s="15"/>
      <c r="AW9" s="15"/>
      <c r="AX9" s="36"/>
      <c r="AY9">
        <v>0.42517609682218899</v>
      </c>
      <c r="AZ9">
        <v>-0.411557255611051</v>
      </c>
      <c r="BA9">
        <v>0.59173819207065803</v>
      </c>
      <c r="BB9" s="47">
        <v>6.2397377372973503E-2</v>
      </c>
      <c r="BC9" s="47">
        <v>-0.70294617421998395</v>
      </c>
      <c r="BD9" s="47">
        <v>0.70571010801428802</v>
      </c>
      <c r="BE9" s="7">
        <v>-0.51319640661020205</v>
      </c>
      <c r="BF9" s="7">
        <v>-1.23605175498728</v>
      </c>
      <c r="BG9" s="7">
        <v>1.33835514448324</v>
      </c>
      <c r="BH9" s="3">
        <v>0.42948948987345698</v>
      </c>
      <c r="BI9" s="3">
        <v>-0.34240498085390098</v>
      </c>
      <c r="BJ9" s="3">
        <v>0.54927442396795001</v>
      </c>
      <c r="BK9" s="15">
        <v>1.260662E-5</v>
      </c>
      <c r="BL9" s="16">
        <v>0.3</v>
      </c>
      <c r="BM9" s="7">
        <v>-0.51319640661020205</v>
      </c>
      <c r="BN9" s="7">
        <v>-1.23605175498728</v>
      </c>
      <c r="BO9" s="7">
        <v>1.33835514448324</v>
      </c>
      <c r="BP9" s="15">
        <v>-0.15643568404633801</v>
      </c>
      <c r="BQ9" s="15">
        <v>4.4370460000000002E-5</v>
      </c>
      <c r="BR9" s="15">
        <v>0.99992700000000001</v>
      </c>
      <c r="BS9" s="5">
        <v>6.2397377372973503E-2</v>
      </c>
      <c r="BT9" s="5">
        <v>-0.70294617421998395</v>
      </c>
      <c r="BU9" s="5">
        <v>0.70571010801428802</v>
      </c>
      <c r="BV9" s="15">
        <v>0.1634166</v>
      </c>
      <c r="BW9" s="15">
        <v>0.7291029</v>
      </c>
      <c r="BX9" s="20">
        <v>0.41836667621661899</v>
      </c>
      <c r="BY9" s="20">
        <v>-0.41836667621661899</v>
      </c>
      <c r="BZ9" s="10">
        <v>6.2397377372973503E-2</v>
      </c>
      <c r="CA9" s="10">
        <v>-0.70294617421998395</v>
      </c>
      <c r="CB9" s="10">
        <v>0.70571010801428802</v>
      </c>
      <c r="CC9" s="15"/>
      <c r="CD9" s="13">
        <v>16</v>
      </c>
      <c r="CE9" s="13">
        <v>1</v>
      </c>
      <c r="CF9" s="13">
        <v>1</v>
      </c>
      <c r="CG9" s="13">
        <v>2</v>
      </c>
      <c r="CH9" s="13">
        <v>0.01</v>
      </c>
      <c r="CI9" s="13">
        <v>8</v>
      </c>
      <c r="CJ9" s="13">
        <v>15000</v>
      </c>
      <c r="CK9" s="13">
        <v>506.8</v>
      </c>
    </row>
    <row r="10" spans="1:89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7">
        <v>0.4</v>
      </c>
      <c r="G10" s="57">
        <v>0.42744599999999999</v>
      </c>
      <c r="H10" s="58">
        <v>-0.40928700000000001</v>
      </c>
      <c r="I10" s="57">
        <v>-0.42744590370000002</v>
      </c>
      <c r="J10" s="17">
        <v>0.4092874487</v>
      </c>
      <c r="K10" s="84">
        <f t="shared" si="16"/>
        <v>9.6309287989093662E-8</v>
      </c>
      <c r="L10" s="85">
        <f t="shared" si="17"/>
        <v>-4.4874252796978098E-7</v>
      </c>
      <c r="M10" s="82"/>
      <c r="N10" s="83"/>
      <c r="T10" s="15">
        <f t="shared" si="14"/>
        <v>-1.3594691812391981</v>
      </c>
      <c r="U10" s="15">
        <f t="shared" si="18"/>
        <v>-0.76886848988379797</v>
      </c>
      <c r="V10" s="30">
        <f>AY10-BH10</f>
        <v>-5.2667206278559919E-3</v>
      </c>
      <c r="W10" s="15">
        <f>AZ10-BI10</f>
        <v>-8.6629649314890977E-2</v>
      </c>
      <c r="X10" s="31">
        <f t="shared" si="7"/>
        <v>-4.5948184971373485E-2</v>
      </c>
      <c r="Y10" s="15">
        <f t="shared" si="1"/>
        <v>-0.47763406431617295</v>
      </c>
      <c r="Z10" s="15">
        <f t="shared" si="2"/>
        <v>0.53588806350745</v>
      </c>
      <c r="AA10" s="31">
        <f t="shared" si="15"/>
        <v>2.9126999595638525E-2</v>
      </c>
      <c r="AB10" s="30">
        <f t="shared" si="8"/>
        <v>5.2032268018549988E-2</v>
      </c>
      <c r="AC10" s="15">
        <f t="shared" si="9"/>
        <v>-1.307436913220648</v>
      </c>
      <c r="AD10" s="31">
        <f t="shared" si="3"/>
        <v>-0.47763406431617295</v>
      </c>
      <c r="AE10" s="36">
        <f t="shared" si="4"/>
        <v>-5.2667206278559919E-3</v>
      </c>
      <c r="AF10" s="36">
        <f t="shared" si="5"/>
        <v>-8.6629649314890977E-2</v>
      </c>
      <c r="AG10" s="15"/>
      <c r="AH10" s="15"/>
      <c r="AI10" s="17">
        <v>0.4</v>
      </c>
      <c r="AK10" s="17" t="s">
        <v>62</v>
      </c>
      <c r="AL10" s="57">
        <v>0.41599999999999998</v>
      </c>
      <c r="AM10" s="17">
        <f>AL10-AY6</f>
        <v>-4.636000000000029E-3</v>
      </c>
      <c r="AN10" s="15">
        <f>AL10-AW6</f>
        <v>0.83219351749012405</v>
      </c>
      <c r="AO10" s="58"/>
      <c r="AR10" s="51"/>
      <c r="AS10" s="51"/>
      <c r="AT10" s="49"/>
      <c r="AU10" s="49"/>
      <c r="AV10" s="15"/>
      <c r="AW10" s="15"/>
      <c r="AX10" s="36"/>
      <c r="AY10">
        <v>0.427445903690712</v>
      </c>
      <c r="AZ10">
        <v>-0.40928744874252798</v>
      </c>
      <c r="BA10">
        <v>0.59179913507890203</v>
      </c>
      <c r="BB10" s="47">
        <v>0.90507996800688495</v>
      </c>
      <c r="BC10" s="47">
        <v>-0.94517551224997798</v>
      </c>
      <c r="BD10" s="47">
        <v>1.30863535694415</v>
      </c>
      <c r="BE10" s="7">
        <v>1.3477248477236099</v>
      </c>
      <c r="BF10" s="7">
        <v>-1.33818358306656</v>
      </c>
      <c r="BG10" s="7">
        <v>1.8992360482995501</v>
      </c>
      <c r="BH10" s="3">
        <v>0.432712624318568</v>
      </c>
      <c r="BI10" s="3">
        <v>-0.322657799427637</v>
      </c>
      <c r="BJ10" s="3">
        <v>0.53976686706035204</v>
      </c>
      <c r="BK10" s="15">
        <v>1.0709689999999999E-5</v>
      </c>
      <c r="BL10" s="16">
        <v>0.4</v>
      </c>
      <c r="BM10" s="7">
        <v>1.3477248477236099</v>
      </c>
      <c r="BN10" s="7">
        <v>-1.33818358306656</v>
      </c>
      <c r="BO10" s="7">
        <v>1.8992360482995501</v>
      </c>
      <c r="BP10" s="15">
        <v>-0.76886848988379797</v>
      </c>
      <c r="BQ10" s="15">
        <v>5.9196040000000003E-5</v>
      </c>
      <c r="BR10" s="15">
        <v>0.99996499999999999</v>
      </c>
      <c r="BS10" s="5">
        <v>0.90507996800688495</v>
      </c>
      <c r="BT10" s="5">
        <v>-0.94517551224997798</v>
      </c>
      <c r="BU10" s="5">
        <v>1.30863535694415</v>
      </c>
      <c r="BV10" s="15">
        <v>0.2090562</v>
      </c>
      <c r="BW10" s="15">
        <v>0.59714639999999997</v>
      </c>
      <c r="BX10" s="20">
        <v>0.41836667621661899</v>
      </c>
      <c r="BY10" s="20">
        <v>-0.41836667621661899</v>
      </c>
      <c r="BZ10" s="10">
        <v>0.90507996800688495</v>
      </c>
      <c r="CA10" s="10">
        <v>-0.94517551224997798</v>
      </c>
      <c r="CB10" s="10">
        <v>1.30863535694415</v>
      </c>
      <c r="CC10" s="15"/>
      <c r="CD10" s="13">
        <v>16</v>
      </c>
      <c r="CE10" s="13">
        <v>1</v>
      </c>
      <c r="CF10" s="13">
        <v>1</v>
      </c>
      <c r="CG10" s="13">
        <v>2</v>
      </c>
      <c r="CH10" s="13">
        <v>0.01</v>
      </c>
      <c r="CI10" s="13">
        <v>8</v>
      </c>
      <c r="CJ10" s="13">
        <v>15000</v>
      </c>
      <c r="CK10" s="13">
        <v>538.4</v>
      </c>
    </row>
    <row r="11" spans="1:89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7">
        <v>0.5</v>
      </c>
      <c r="G11" s="57">
        <v>0.42971599999999999</v>
      </c>
      <c r="H11" s="58">
        <v>-0.40701799999999999</v>
      </c>
      <c r="I11" s="57">
        <v>-0.42971571060000002</v>
      </c>
      <c r="J11" s="17">
        <v>0.4070176419</v>
      </c>
      <c r="K11" s="84">
        <f t="shared" si="16"/>
        <v>2.8944076496673077E-7</v>
      </c>
      <c r="L11" s="85">
        <f t="shared" si="17"/>
        <v>3.5812599497031528E-7</v>
      </c>
      <c r="M11" s="88">
        <f>ABS(G11)-ABS(AV11)</f>
        <v>-3.3266917804929963E-3</v>
      </c>
      <c r="N11" s="89">
        <f>ABS(H11)-ABS(AW11)</f>
        <v>1.3904623264909821E-3</v>
      </c>
      <c r="T11" s="15">
        <f t="shared" si="14"/>
        <v>-9.2164085226057013E-2</v>
      </c>
      <c r="U11" s="15">
        <f t="shared" si="18"/>
        <v>0.20171241190377698</v>
      </c>
      <c r="V11" s="30">
        <f>AY11+BH11</f>
        <v>0.87107448655430808</v>
      </c>
      <c r="W11" s="15">
        <f>AZ11+BI11</f>
        <v>-0.75453065431637101</v>
      </c>
      <c r="X11" s="31">
        <f t="shared" si="7"/>
        <v>5.8271916118968536E-2</v>
      </c>
      <c r="Y11" s="15">
        <f t="shared" si="1"/>
        <v>0.78890325657994609</v>
      </c>
      <c r="Z11" s="15">
        <f t="shared" si="2"/>
        <v>-0.43174098588923021</v>
      </c>
      <c r="AA11" s="31">
        <f t="shared" si="15"/>
        <v>0.17858113534535794</v>
      </c>
      <c r="AB11" s="30">
        <f t="shared" si="8"/>
        <v>3.0127658756357034E-2</v>
      </c>
      <c r="AC11" s="15">
        <f t="shared" si="9"/>
        <v>-6.2036426469699979E-2</v>
      </c>
      <c r="AD11" s="31">
        <f t="shared" si="3"/>
        <v>0.78890325657994609</v>
      </c>
      <c r="AE11" s="36">
        <f t="shared" si="4"/>
        <v>-1.1643065435837985E-2</v>
      </c>
      <c r="AF11" s="36">
        <f t="shared" si="5"/>
        <v>-5.9504629431639033E-2</v>
      </c>
      <c r="AG11" s="15">
        <f>AV11-AY11</f>
        <v>3.326981221257963E-3</v>
      </c>
      <c r="AH11" s="15">
        <f>AW11-AZ11</f>
        <v>1.3901042004960118E-3</v>
      </c>
      <c r="AI11" s="17">
        <v>0.5</v>
      </c>
      <c r="AK11" s="17" t="s">
        <v>75</v>
      </c>
      <c r="AL11" s="57">
        <v>-0.42</v>
      </c>
      <c r="AM11" s="17">
        <f>AL11-AZ6</f>
        <v>-3.9029999999999898E-3</v>
      </c>
      <c r="AO11" s="58"/>
      <c r="AR11" s="50">
        <f t="shared" ref="AR11" si="23">AV11-BB11</f>
        <v>0.79223023780120405</v>
      </c>
      <c r="AS11" s="50">
        <f t="shared" ref="AS11" si="24">AW11-BC11</f>
        <v>-0.4303508816887342</v>
      </c>
      <c r="AT11" s="48">
        <f t="shared" ref="AT11" si="25">AY11-AV11</f>
        <v>-3.326981221257963E-3</v>
      </c>
      <c r="AU11" s="48">
        <f t="shared" ref="AU11" si="26">AZ11-AW11</f>
        <v>-1.3901042004960118E-3</v>
      </c>
      <c r="AV11" s="15">
        <v>0.43304269178049298</v>
      </c>
      <c r="AW11" s="15">
        <v>-0.40562753767350901</v>
      </c>
      <c r="AX11" s="45">
        <v>0.59334616559270803</v>
      </c>
      <c r="AY11">
        <v>0.42971571055923502</v>
      </c>
      <c r="AZ11">
        <v>-0.40701764187400502</v>
      </c>
      <c r="BA11">
        <v>0.59187748115476002</v>
      </c>
      <c r="BB11" s="47">
        <v>-0.35918754602071101</v>
      </c>
      <c r="BC11" s="47">
        <v>2.4723344015225201E-2</v>
      </c>
      <c r="BD11" s="47">
        <v>0.36003741049462601</v>
      </c>
      <c r="BE11" s="7">
        <v>-0.63414752803858399</v>
      </c>
      <c r="BF11" s="7">
        <v>0.159562875592174</v>
      </c>
      <c r="BG11" s="7">
        <v>0.65391390762446</v>
      </c>
      <c r="BH11" s="3">
        <v>0.441358775995073</v>
      </c>
      <c r="BI11" s="3">
        <v>-0.34751301244236599</v>
      </c>
      <c r="BJ11" s="3">
        <v>0.56174982239840299</v>
      </c>
      <c r="BK11" s="15">
        <v>1.116719E-5</v>
      </c>
      <c r="BL11" s="16">
        <v>0.5</v>
      </c>
      <c r="BM11" s="7">
        <v>-0.63414752803858399</v>
      </c>
      <c r="BN11" s="7">
        <v>0.159562875592174</v>
      </c>
      <c r="BO11" s="7">
        <v>0.65391390762446</v>
      </c>
      <c r="BP11" s="15">
        <v>0.20171241190377698</v>
      </c>
      <c r="BQ11" s="15">
        <v>5.5661439999999998E-5</v>
      </c>
      <c r="BR11" s="15">
        <v>0.99996399999999996</v>
      </c>
      <c r="BS11" s="5">
        <v>-0.35918754602071101</v>
      </c>
      <c r="BT11" s="5">
        <v>2.4723344015225201E-2</v>
      </c>
      <c r="BU11" s="5">
        <v>0.36003741049462601</v>
      </c>
      <c r="BV11" s="15">
        <v>0.21294950000000001</v>
      </c>
      <c r="BW11" s="15">
        <v>0.92513860000000003</v>
      </c>
      <c r="BX11" s="20">
        <v>0.41836667621661899</v>
      </c>
      <c r="BY11" s="20">
        <v>-0.41836667621661899</v>
      </c>
      <c r="BZ11" s="10">
        <v>-0.35918754602071101</v>
      </c>
      <c r="CA11" s="10">
        <v>2.4723344015225201E-2</v>
      </c>
      <c r="CB11" s="10">
        <v>0.36003741049462601</v>
      </c>
      <c r="CC11" s="15"/>
      <c r="CD11" s="13">
        <v>16</v>
      </c>
      <c r="CE11" s="13">
        <v>1</v>
      </c>
      <c r="CF11" s="13">
        <v>1</v>
      </c>
      <c r="CG11" s="13">
        <v>2</v>
      </c>
      <c r="CH11" s="13">
        <v>0.01</v>
      </c>
      <c r="CI11" s="13">
        <v>8</v>
      </c>
      <c r="CJ11" s="13">
        <v>15000</v>
      </c>
      <c r="CK11" s="13">
        <v>561.20000000000005</v>
      </c>
    </row>
    <row r="12" spans="1:89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7">
        <v>0.6</v>
      </c>
      <c r="G12" s="57">
        <v>0.43198599999999998</v>
      </c>
      <c r="H12" s="58">
        <v>-0.404748</v>
      </c>
      <c r="I12" s="57">
        <v>-0.43198551740000002</v>
      </c>
      <c r="J12" s="17">
        <v>0.404747835</v>
      </c>
      <c r="K12" s="84">
        <f t="shared" si="16"/>
        <v>4.825722410006783E-7</v>
      </c>
      <c r="L12" s="85">
        <f t="shared" si="17"/>
        <v>1.6499451799267817E-7</v>
      </c>
      <c r="M12" s="82"/>
      <c r="N12" s="83"/>
      <c r="T12" s="15">
        <f t="shared" si="14"/>
        <v>-0.84354539986524113</v>
      </c>
      <c r="U12" s="15">
        <f t="shared" si="18"/>
        <v>-0.68426980158545092</v>
      </c>
      <c r="V12" s="30">
        <f>AY12+BH12</f>
        <v>0.86504763238912996</v>
      </c>
      <c r="W12" s="15">
        <f>AZ12+BI12</f>
        <v>-0.68273136885670693</v>
      </c>
      <c r="X12" s="31">
        <f t="shared" si="7"/>
        <v>9.1158131766211514E-2</v>
      </c>
      <c r="Y12" s="15">
        <f t="shared" si="1"/>
        <v>-0.72763073535445111</v>
      </c>
      <c r="Z12" s="15">
        <f t="shared" si="2"/>
        <v>-0.70903287522796798</v>
      </c>
      <c r="AA12" s="31">
        <f t="shared" si="15"/>
        <v>-0.71833180529120955</v>
      </c>
      <c r="AB12" s="30">
        <f t="shared" si="8"/>
        <v>7.736887001860604E-2</v>
      </c>
      <c r="AC12" s="15">
        <f t="shared" si="9"/>
        <v>-0.76617652984663509</v>
      </c>
      <c r="AD12" s="31">
        <f t="shared" si="3"/>
        <v>-0.72763073535445111</v>
      </c>
      <c r="AE12" s="36">
        <f t="shared" si="4"/>
        <v>-1.0765975336120004E-3</v>
      </c>
      <c r="AF12" s="36">
        <f t="shared" si="5"/>
        <v>-0.12676430115425702</v>
      </c>
      <c r="AG12" s="15"/>
      <c r="AH12" s="15"/>
      <c r="AI12" s="17">
        <v>0.6</v>
      </c>
      <c r="AL12" s="57"/>
      <c r="AO12" s="58"/>
      <c r="AR12" s="51"/>
      <c r="AS12" s="51"/>
      <c r="AT12" s="49"/>
      <c r="AU12" s="49"/>
      <c r="AV12" s="15"/>
      <c r="AW12" s="15"/>
      <c r="AX12" s="36"/>
      <c r="AY12">
        <v>0.43198551742775898</v>
      </c>
      <c r="AZ12">
        <v>-0.404747835005482</v>
      </c>
      <c r="BA12">
        <v>0.59197322338848501</v>
      </c>
      <c r="BB12" s="47">
        <v>1.15961625278221</v>
      </c>
      <c r="BC12" s="47">
        <v>0.30428504022248598</v>
      </c>
      <c r="BD12" s="47">
        <v>1.1988741549553299</v>
      </c>
      <c r="BE12" s="7">
        <v>1.29884440994618</v>
      </c>
      <c r="BF12" s="7">
        <v>0.39695585518314602</v>
      </c>
      <c r="BG12" s="7">
        <v>1.3581497532351201</v>
      </c>
      <c r="BH12" s="3">
        <v>0.43306211496137098</v>
      </c>
      <c r="BI12" s="3">
        <v>-0.27798353385122498</v>
      </c>
      <c r="BJ12" s="3">
        <v>0.51460435336987898</v>
      </c>
      <c r="BK12" s="15">
        <v>1.134407E-5</v>
      </c>
      <c r="BL12" s="16">
        <v>0.6</v>
      </c>
      <c r="BM12" s="7">
        <v>1.29884440994618</v>
      </c>
      <c r="BN12" s="7">
        <v>0.39695585518314602</v>
      </c>
      <c r="BO12" s="7">
        <v>1.3581497532351201</v>
      </c>
      <c r="BP12" s="15">
        <v>-0.68426980158545092</v>
      </c>
      <c r="BQ12" s="15">
        <v>4.9417360000000003E-5</v>
      </c>
      <c r="BR12" s="15">
        <v>0.99993200000000004</v>
      </c>
      <c r="BS12" s="5">
        <v>1.15961625278221</v>
      </c>
      <c r="BT12" s="5">
        <v>0.30428504022248598</v>
      </c>
      <c r="BU12" s="5">
        <v>1.1988741549553299</v>
      </c>
      <c r="BV12" s="15">
        <v>0.19559570000000001</v>
      </c>
      <c r="BW12" s="15">
        <v>1.328659</v>
      </c>
      <c r="BX12" s="20">
        <v>0.41836667621661899</v>
      </c>
      <c r="BY12" s="20">
        <v>-0.41836667621661899</v>
      </c>
      <c r="BZ12" s="10">
        <v>1.15961625278221</v>
      </c>
      <c r="CA12" s="10">
        <v>0.30428504022248598</v>
      </c>
      <c r="CB12" s="10">
        <v>1.1988741549553299</v>
      </c>
      <c r="CC12" s="15"/>
      <c r="CD12" s="13">
        <v>16</v>
      </c>
      <c r="CE12" s="13">
        <v>1</v>
      </c>
      <c r="CF12" s="13">
        <v>1</v>
      </c>
      <c r="CG12" s="13">
        <v>2</v>
      </c>
      <c r="CH12" s="13">
        <v>0.01</v>
      </c>
      <c r="CI12" s="13">
        <v>8</v>
      </c>
      <c r="CJ12" s="13">
        <v>15000</v>
      </c>
      <c r="CK12" s="13">
        <v>564.4</v>
      </c>
    </row>
    <row r="13" spans="1:89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7">
        <v>0.7</v>
      </c>
      <c r="G13" s="57">
        <v>0.434255</v>
      </c>
      <c r="H13" s="58">
        <v>-0.402478</v>
      </c>
      <c r="I13" s="57">
        <v>-0.43425532430000002</v>
      </c>
      <c r="J13" s="17">
        <v>0.4024780281</v>
      </c>
      <c r="K13" s="84">
        <f t="shared" si="16"/>
        <v>-3.242962819949291E-7</v>
      </c>
      <c r="L13" s="85">
        <f t="shared" si="17"/>
        <v>-2.813695998415966E-8</v>
      </c>
      <c r="M13" s="88">
        <f>ABS(G13)-ABS(AV13)</f>
        <v>2.7548712212659976E-3</v>
      </c>
      <c r="N13" s="89">
        <f>ABS(H13)-ABS(AW13)</f>
        <v>1.3128455341099854E-3</v>
      </c>
      <c r="T13" s="15">
        <f t="shared" si="14"/>
        <v>-1.4145697130045529</v>
      </c>
      <c r="U13" s="15">
        <f t="shared" si="18"/>
        <v>-1.1659008059386928</v>
      </c>
      <c r="V13" s="32">
        <f>AY13-BH13</f>
        <v>5.2653408476490138E-3</v>
      </c>
      <c r="W13" s="33">
        <f>AZ13-BI13</f>
        <v>-0.12426644537632198</v>
      </c>
      <c r="X13" s="34">
        <f t="shared" si="7"/>
        <v>-5.9500552264336481E-2</v>
      </c>
      <c r="Y13" s="33">
        <f t="shared" si="1"/>
        <v>-0.91896404012691801</v>
      </c>
      <c r="Z13" s="33">
        <f t="shared" si="2"/>
        <v>0.58839072757685906</v>
      </c>
      <c r="AA13" s="34">
        <f t="shared" si="15"/>
        <v>-0.16528665627502948</v>
      </c>
      <c r="AB13" s="30">
        <f t="shared" si="8"/>
        <v>8.0780094156347015E-2</v>
      </c>
      <c r="AC13" s="15">
        <f t="shared" si="9"/>
        <v>-1.3337896188482059</v>
      </c>
      <c r="AD13" s="31">
        <f t="shared" si="3"/>
        <v>-0.91896404012691801</v>
      </c>
      <c r="AE13" s="36">
        <f t="shared" si="4"/>
        <v>5.2653408476490138E-3</v>
      </c>
      <c r="AF13" s="36">
        <f t="shared" si="5"/>
        <v>-0.12426644537632198</v>
      </c>
      <c r="AG13" s="15">
        <f>AV13-AY13</f>
        <v>-2.7551955175479925E-3</v>
      </c>
      <c r="AH13" s="15">
        <f>AW13-AZ13</f>
        <v>1.3128736710699696E-3</v>
      </c>
      <c r="AI13" s="17">
        <v>0.7</v>
      </c>
      <c r="AL13" s="57"/>
      <c r="AO13" s="58"/>
      <c r="AR13" s="51"/>
      <c r="AS13" s="51"/>
      <c r="AT13" s="48">
        <f t="shared" ref="AT13" si="27">AY13-AV13</f>
        <v>2.7551955175479925E-3</v>
      </c>
      <c r="AU13" s="48">
        <f t="shared" ref="AU13" si="28">AZ13-AW13</f>
        <v>-1.3128736710699696E-3</v>
      </c>
      <c r="AV13" s="15">
        <v>0.431500128778734</v>
      </c>
      <c r="AW13" s="15">
        <v>-0.40116515446589002</v>
      </c>
      <c r="AX13" s="44">
        <v>0.58917386423169305</v>
      </c>
      <c r="AY13">
        <v>0.434255324296282</v>
      </c>
      <c r="AZ13">
        <v>-0.40247802813695999</v>
      </c>
      <c r="BA13">
        <v>0.59208635334103399</v>
      </c>
      <c r="BB13" s="47">
        <v>1.3532193644232</v>
      </c>
      <c r="BC13" s="47">
        <v>-0.99086875571381905</v>
      </c>
      <c r="BD13" s="47">
        <v>1.6772070651233799</v>
      </c>
      <c r="BE13" s="7">
        <v>1.47819152095449</v>
      </c>
      <c r="BF13" s="7">
        <v>-1.2344829231844801</v>
      </c>
      <c r="BG13" s="7">
        <v>1.92587597218924</v>
      </c>
      <c r="BH13" s="3">
        <v>0.42898998344863298</v>
      </c>
      <c r="BI13" s="3">
        <v>-0.27821158276063801</v>
      </c>
      <c r="BJ13" s="3">
        <v>0.51130625918468697</v>
      </c>
      <c r="BK13" s="15">
        <v>1.3134060000000001E-5</v>
      </c>
      <c r="BL13" s="16">
        <v>0.7</v>
      </c>
      <c r="BM13" s="7">
        <v>1.47819152095449</v>
      </c>
      <c r="BN13" s="7">
        <v>-1.2344829231844801</v>
      </c>
      <c r="BO13" s="7">
        <v>1.92587597218924</v>
      </c>
      <c r="BP13" s="15">
        <v>-1.1659008059386928</v>
      </c>
      <c r="BQ13" s="15">
        <v>6.0528790000000002E-5</v>
      </c>
      <c r="BR13" s="15">
        <v>0.99991200000000002</v>
      </c>
      <c r="BS13" s="5">
        <v>1.3532193644232</v>
      </c>
      <c r="BT13" s="5">
        <v>-0.99086875571381905</v>
      </c>
      <c r="BU13" s="5">
        <v>1.6772070651233799</v>
      </c>
      <c r="BV13" s="15">
        <v>0.17096130000000001</v>
      </c>
      <c r="BW13" s="15">
        <v>0.69584840000000003</v>
      </c>
      <c r="BX13" s="20">
        <v>0.41836667621661899</v>
      </c>
      <c r="BY13" s="20">
        <v>-0.41836667621661899</v>
      </c>
      <c r="BZ13" s="10">
        <v>1.3532193644232</v>
      </c>
      <c r="CA13" s="10">
        <v>-0.99086875571381905</v>
      </c>
      <c r="CB13" s="10">
        <v>1.6772070651233799</v>
      </c>
      <c r="CC13" s="15"/>
      <c r="CD13" s="13">
        <v>16</v>
      </c>
      <c r="CE13" s="13">
        <v>1</v>
      </c>
      <c r="CF13" s="13">
        <v>1</v>
      </c>
      <c r="CG13" s="13">
        <v>2</v>
      </c>
      <c r="CH13" s="13">
        <v>0.01</v>
      </c>
      <c r="CI13" s="13">
        <v>8</v>
      </c>
      <c r="CJ13" s="13">
        <v>15000</v>
      </c>
      <c r="CK13" s="13">
        <v>588</v>
      </c>
    </row>
    <row r="14" spans="1:89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7">
        <v>0.8</v>
      </c>
      <c r="G14" s="57">
        <v>0.436525</v>
      </c>
      <c r="H14" s="58">
        <v>-0.40020800000000001</v>
      </c>
      <c r="I14" s="57">
        <v>-0.43652513120000003</v>
      </c>
      <c r="J14" s="17">
        <v>0.4002082213</v>
      </c>
      <c r="K14" s="84">
        <f t="shared" si="16"/>
        <v>-1.31164805017292E-7</v>
      </c>
      <c r="L14" s="85">
        <f t="shared" si="17"/>
        <v>-2.2126843701730792E-7</v>
      </c>
      <c r="M14" s="82"/>
      <c r="N14" s="83"/>
      <c r="T14" s="15">
        <f t="shared" si="14"/>
        <v>-1.5429140289728069</v>
      </c>
      <c r="U14" s="15">
        <f t="shared" si="18"/>
        <v>-1.1908294650063769</v>
      </c>
      <c r="V14" s="15"/>
      <c r="W14" s="15"/>
      <c r="X14" s="15"/>
      <c r="Y14" s="15"/>
      <c r="Z14" s="15"/>
      <c r="AA14" s="15"/>
      <c r="AB14" s="30">
        <f t="shared" si="8"/>
        <v>0.18172808884532604</v>
      </c>
      <c r="AC14" s="15">
        <f t="shared" si="9"/>
        <v>-1.3611859401274811</v>
      </c>
      <c r="AD14" s="31">
        <f t="shared" si="3"/>
        <v>1.0560073451687024E-2</v>
      </c>
      <c r="AE14" s="15"/>
      <c r="AF14" s="15"/>
      <c r="AG14" s="15"/>
      <c r="AH14" s="15"/>
      <c r="AI14" s="17">
        <v>0.8</v>
      </c>
      <c r="AL14" s="57"/>
      <c r="AO14" s="58"/>
      <c r="AR14" s="51"/>
      <c r="AS14" s="51"/>
      <c r="AT14" s="49"/>
      <c r="AU14" s="49"/>
      <c r="AV14" s="15"/>
      <c r="AW14" s="15"/>
      <c r="AX14" s="15"/>
      <c r="AY14">
        <v>0.43652513116480501</v>
      </c>
      <c r="AZ14">
        <v>-0.40020822126843703</v>
      </c>
      <c r="BA14">
        <v>0.59221686104778903</v>
      </c>
      <c r="BB14" s="5">
        <v>0.42596505771311799</v>
      </c>
      <c r="BC14" s="5">
        <v>-1.5436236155310299</v>
      </c>
      <c r="BD14" s="5">
        <v>1.6013182372088399</v>
      </c>
      <c r="BE14" s="7">
        <v>0.36500845508625501</v>
      </c>
      <c r="BF14" s="7">
        <v>-1.9189974808099499</v>
      </c>
      <c r="BG14" s="7">
        <v>1.95340280117527</v>
      </c>
      <c r="BH14" s="3">
        <v>0.40284725419550899</v>
      </c>
      <c r="BI14" s="3">
        <v>-7.8836044366930799E-2</v>
      </c>
      <c r="BJ14" s="3">
        <v>0.41048877220246299</v>
      </c>
      <c r="BK14" s="15">
        <v>1.322406E-5</v>
      </c>
      <c r="BL14" s="16">
        <v>0.8</v>
      </c>
      <c r="BM14" s="7">
        <v>0.36500845508625501</v>
      </c>
      <c r="BN14" s="7">
        <v>-1.9189974808099499</v>
      </c>
      <c r="BO14" s="7">
        <v>1.95340280117527</v>
      </c>
      <c r="BP14" s="15">
        <v>-1.1908294650063769</v>
      </c>
      <c r="BQ14" s="15">
        <v>1.054128E-4</v>
      </c>
      <c r="BR14" s="15">
        <v>0.99988500000000002</v>
      </c>
      <c r="BS14" s="5">
        <v>0.42596505771311799</v>
      </c>
      <c r="BT14" s="5">
        <v>-1.5436236155310299</v>
      </c>
      <c r="BU14" s="5">
        <v>1.6013182372088399</v>
      </c>
      <c r="BV14" s="15">
        <v>0.14611350000000001</v>
      </c>
      <c r="BW14" s="15">
        <v>0.91485249999999996</v>
      </c>
      <c r="BX14" s="20">
        <v>0.41836667621661899</v>
      </c>
      <c r="BY14" s="20">
        <v>-0.41836667621661899</v>
      </c>
      <c r="BZ14" s="10">
        <v>0.42596505771311799</v>
      </c>
      <c r="CA14" s="10">
        <v>-1.5436236155310299</v>
      </c>
      <c r="CB14" s="10">
        <v>1.6013182372088399</v>
      </c>
      <c r="CC14" s="15"/>
      <c r="CD14" s="13">
        <v>16</v>
      </c>
      <c r="CE14" s="13">
        <v>1</v>
      </c>
      <c r="CF14" s="13">
        <v>1</v>
      </c>
      <c r="CG14" s="13">
        <v>2</v>
      </c>
      <c r="CH14" s="13">
        <v>0.01</v>
      </c>
      <c r="CI14" s="13">
        <v>8</v>
      </c>
      <c r="CJ14" s="13">
        <v>15000</v>
      </c>
      <c r="CK14" s="13">
        <v>582.9</v>
      </c>
    </row>
    <row r="15" spans="1:89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7">
        <v>0.9</v>
      </c>
      <c r="G15" s="57">
        <v>0.43879499999999999</v>
      </c>
      <c r="H15" s="58">
        <v>-0.39793800000000001</v>
      </c>
      <c r="I15" s="57">
        <v>-0.43879493800000002</v>
      </c>
      <c r="J15" s="17">
        <v>0.3979384144</v>
      </c>
      <c r="K15" s="84">
        <f t="shared" si="16"/>
        <v>6.1966672015856261E-8</v>
      </c>
      <c r="L15" s="85">
        <f t="shared" si="17"/>
        <v>-4.1439991399494502E-7</v>
      </c>
      <c r="M15" s="82"/>
      <c r="N15" s="83"/>
      <c r="T15" s="15">
        <f t="shared" si="14"/>
        <v>-1.166235658952806</v>
      </c>
      <c r="U15" s="15">
        <f t="shared" si="18"/>
        <v>-0.75154478443724593</v>
      </c>
      <c r="V15" s="15"/>
      <c r="W15" s="15"/>
      <c r="X15" s="15"/>
      <c r="Y15" s="15"/>
      <c r="Z15" s="15"/>
      <c r="AA15" s="15"/>
      <c r="AB15" s="30">
        <f t="shared" si="8"/>
        <v>5.451557479979896E-2</v>
      </c>
      <c r="AC15" s="15">
        <f t="shared" si="9"/>
        <v>-1.1117200841530068</v>
      </c>
      <c r="AD15" s="31">
        <f t="shared" si="3"/>
        <v>0.84393645245891991</v>
      </c>
      <c r="AE15" s="15"/>
      <c r="AF15" s="15"/>
      <c r="AG15" s="15"/>
      <c r="AH15" s="15"/>
      <c r="AI15" s="17">
        <v>0.9</v>
      </c>
      <c r="AL15" s="57"/>
      <c r="AO15" s="58"/>
      <c r="AR15" s="51"/>
      <c r="AS15" s="51"/>
      <c r="AT15" s="49"/>
      <c r="AU15" s="49"/>
      <c r="AV15" s="15"/>
      <c r="AW15" s="15"/>
      <c r="AX15" s="15"/>
      <c r="AY15">
        <v>0.43879493803332797</v>
      </c>
      <c r="AZ15">
        <v>-0.39793841439991401</v>
      </c>
      <c r="BA15">
        <v>0.59236473502293296</v>
      </c>
      <c r="BB15" s="5">
        <v>-0.40514151442559199</v>
      </c>
      <c r="BC15" s="5">
        <v>-1.22409031440323</v>
      </c>
      <c r="BD15" s="5">
        <v>1.2893939446603799</v>
      </c>
      <c r="BE15" s="7">
        <v>-1.09647851053595</v>
      </c>
      <c r="BF15" s="7">
        <v>-1.30446922036466</v>
      </c>
      <c r="BG15" s="7">
        <v>1.7040848191759399</v>
      </c>
      <c r="BH15" s="3">
        <v>0.44753086447989698</v>
      </c>
      <c r="BI15" s="3">
        <v>-0.29832506513969997</v>
      </c>
      <c r="BJ15" s="3">
        <v>0.537849160223134</v>
      </c>
      <c r="BK15" s="15">
        <v>2.0992099999999998E-5</v>
      </c>
      <c r="BL15" s="16">
        <v>0.9</v>
      </c>
      <c r="BM15" s="7">
        <v>-1.09647851053595</v>
      </c>
      <c r="BN15" s="7">
        <v>-1.30446922036466</v>
      </c>
      <c r="BO15" s="7">
        <v>1.7040848191759399</v>
      </c>
      <c r="BP15" s="15">
        <v>-0.75154478443724593</v>
      </c>
      <c r="BQ15" s="15">
        <v>2.008685E-4</v>
      </c>
      <c r="BR15" s="15">
        <v>0.99987599999999999</v>
      </c>
      <c r="BS15" s="5">
        <v>-0.40514151442559199</v>
      </c>
      <c r="BT15" s="5">
        <v>-1.22409031440323</v>
      </c>
      <c r="BU15" s="5">
        <v>1.2893939446603799</v>
      </c>
      <c r="BV15" s="15">
        <v>0.12389749999999999</v>
      </c>
      <c r="BW15" s="15">
        <v>1.181179</v>
      </c>
      <c r="BX15" s="20">
        <v>0.41836667621661899</v>
      </c>
      <c r="BY15" s="20">
        <v>-0.41836667621661899</v>
      </c>
      <c r="BZ15" s="10">
        <v>-0.40514151442559199</v>
      </c>
      <c r="CA15" s="10">
        <v>-1.22409031440323</v>
      </c>
      <c r="CB15" s="10">
        <v>1.2893939446603799</v>
      </c>
      <c r="CC15" s="15"/>
      <c r="CD15" s="13">
        <v>16</v>
      </c>
      <c r="CE15" s="13">
        <v>1</v>
      </c>
      <c r="CF15" s="13">
        <v>1</v>
      </c>
      <c r="CG15" s="13">
        <v>2</v>
      </c>
      <c r="CH15" s="13">
        <v>0.01</v>
      </c>
      <c r="CI15" s="13">
        <v>8</v>
      </c>
      <c r="CJ15" s="13">
        <v>15000</v>
      </c>
      <c r="CK15" s="13">
        <v>587.9</v>
      </c>
    </row>
    <row r="16" spans="1:89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7">
        <v>1</v>
      </c>
      <c r="G16" s="57">
        <v>0.44106499999999998</v>
      </c>
      <c r="H16" s="58">
        <v>-0.39566899999999999</v>
      </c>
      <c r="I16" s="57">
        <v>-0.44106474490000003</v>
      </c>
      <c r="J16" s="17">
        <v>0.39566860749999999</v>
      </c>
      <c r="K16" s="84">
        <f t="shared" si="16"/>
        <v>2.5509814899349337E-7</v>
      </c>
      <c r="L16" s="85">
        <f t="shared" si="17"/>
        <v>3.9246860900066238E-7</v>
      </c>
      <c r="M16" s="88">
        <f>ABS(G16)-ABS(AV16)</f>
        <v>5.5101502541939906E-3</v>
      </c>
      <c r="N16" s="89">
        <f>ABS(H16)-ABS(AW16)</f>
        <v>2.3578596767609983E-3</v>
      </c>
      <c r="T16" s="15">
        <f t="shared" si="14"/>
        <v>-0.72293426116734394</v>
      </c>
      <c r="U16" s="15">
        <f t="shared" si="18"/>
        <v>-0.51616790447968208</v>
      </c>
      <c r="V16" s="15"/>
      <c r="W16" s="15"/>
      <c r="X16" s="15"/>
      <c r="Y16" s="15"/>
      <c r="Z16" s="15"/>
      <c r="AA16" s="15"/>
      <c r="AB16" s="30">
        <f t="shared" si="8"/>
        <v>0.16305248967747893</v>
      </c>
      <c r="AC16" s="15">
        <f t="shared" si="9"/>
        <v>-0.55988177148986507</v>
      </c>
      <c r="AD16" s="31">
        <f t="shared" si="3"/>
        <v>1.194906694961106</v>
      </c>
      <c r="AE16" s="15"/>
      <c r="AF16" s="15"/>
      <c r="AG16" s="15">
        <f>AV16-AY16</f>
        <v>-5.5098951560449971E-3</v>
      </c>
      <c r="AH16" s="15">
        <f>AW16-AZ16</f>
        <v>2.3574672081519976E-3</v>
      </c>
      <c r="AI16" s="17">
        <v>1</v>
      </c>
      <c r="AL16" s="57"/>
      <c r="AO16" s="58"/>
      <c r="AR16" s="50">
        <f t="shared" ref="AR16" si="29">AV16-BB16</f>
        <v>1.189396799805061</v>
      </c>
      <c r="AS16" s="50">
        <f t="shared" ref="AS16" si="30">AW16-BC16</f>
        <v>0.17762448958478905</v>
      </c>
      <c r="AT16" s="48">
        <f t="shared" ref="AT16" si="31">AY16-AV16</f>
        <v>5.5098951560449971E-3</v>
      </c>
      <c r="AU16" s="48">
        <f t="shared" ref="AU16" si="32">AZ16-AW16</f>
        <v>-2.3574672081519976E-3</v>
      </c>
      <c r="AV16" s="15">
        <v>0.43555484974580599</v>
      </c>
      <c r="AW16" s="15">
        <v>-0.39331114032323899</v>
      </c>
      <c r="AX16" s="45">
        <v>0.586857461603292</v>
      </c>
      <c r="AY16">
        <v>0.44106474490185099</v>
      </c>
      <c r="AZ16">
        <v>-0.39566860753139099</v>
      </c>
      <c r="BA16">
        <v>0.59252996226449495</v>
      </c>
      <c r="BB16" s="5">
        <v>-0.75384195005925503</v>
      </c>
      <c r="BC16" s="5">
        <v>-0.57093562990802804</v>
      </c>
      <c r="BD16" s="5">
        <v>0.94564537706669805</v>
      </c>
      <c r="BE16" s="7">
        <v>0.23895537712982301</v>
      </c>
      <c r="BF16" s="7">
        <v>-1.1273655715141699</v>
      </c>
      <c r="BG16" s="7">
        <v>1.15241173375436</v>
      </c>
      <c r="BH16" s="3">
        <v>0.38875603774941703</v>
      </c>
      <c r="BI16" s="3">
        <v>-0.18253668829335301</v>
      </c>
      <c r="BJ16" s="3">
        <v>0.42947747258701602</v>
      </c>
      <c r="BK16" s="15">
        <v>1.370807E-5</v>
      </c>
      <c r="BL16" s="16">
        <v>1</v>
      </c>
      <c r="BM16" s="7">
        <v>0.23895537712982301</v>
      </c>
      <c r="BN16" s="7">
        <v>-1.1273655715141699</v>
      </c>
      <c r="BO16" s="7">
        <v>1.15241173375436</v>
      </c>
      <c r="BP16" s="15">
        <v>-0.51616790447968208</v>
      </c>
      <c r="BQ16" s="15">
        <v>1.005259E-4</v>
      </c>
      <c r="BR16" s="15">
        <v>0.99990699999999999</v>
      </c>
      <c r="BS16" s="5">
        <v>-0.75384195005925503</v>
      </c>
      <c r="BT16" s="5">
        <v>-0.57093562990802804</v>
      </c>
      <c r="BU16" s="5">
        <v>0.94564537706669805</v>
      </c>
      <c r="BV16" s="15">
        <v>0.1050461</v>
      </c>
      <c r="BW16" s="15">
        <v>1.276173</v>
      </c>
      <c r="BX16" s="20">
        <v>0.41836667621661899</v>
      </c>
      <c r="BY16" s="20">
        <v>-0.41836667621661899</v>
      </c>
      <c r="BZ16" s="10">
        <v>-0.75384195005925503</v>
      </c>
      <c r="CA16" s="10">
        <v>-0.57093562990802804</v>
      </c>
      <c r="CB16" s="10">
        <v>0.94564537706669805</v>
      </c>
      <c r="CC16" s="15"/>
      <c r="CD16" s="13">
        <v>16</v>
      </c>
      <c r="CE16" s="13">
        <v>1</v>
      </c>
      <c r="CF16" s="13">
        <v>1</v>
      </c>
      <c r="CG16" s="13">
        <v>2</v>
      </c>
      <c r="CH16" s="13">
        <v>0.01</v>
      </c>
      <c r="CI16" s="13">
        <v>8</v>
      </c>
      <c r="CJ16" s="13">
        <v>15000</v>
      </c>
      <c r="CK16" s="13">
        <v>594.29999999999995</v>
      </c>
    </row>
    <row r="17" spans="1:89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G17" s="57">
        <v>0.44333499999999998</v>
      </c>
      <c r="H17" s="58">
        <v>-0.393399</v>
      </c>
      <c r="I17" s="57"/>
      <c r="K17" s="82"/>
      <c r="L17" s="83"/>
      <c r="M17" s="82"/>
      <c r="N17" s="83"/>
      <c r="P17">
        <v>1.2</v>
      </c>
      <c r="T17" s="15">
        <f t="shared" si="14"/>
        <v>-0.19082299014612497</v>
      </c>
      <c r="U17" s="15">
        <f t="shared" si="18"/>
        <v>-0.20263556713091696</v>
      </c>
      <c r="V17" s="15"/>
      <c r="W17" s="15"/>
      <c r="X17" s="15"/>
      <c r="Y17" s="15"/>
      <c r="Z17" s="15"/>
      <c r="AA17" s="15"/>
      <c r="AB17" s="30">
        <f t="shared" si="8"/>
        <v>9.329743291963305E-2</v>
      </c>
      <c r="AC17" s="15">
        <f t="shared" si="9"/>
        <v>-9.7525557226491921E-2</v>
      </c>
      <c r="AD17" s="31">
        <f t="shared" si="3"/>
        <v>1.1437122908510671</v>
      </c>
      <c r="AE17" s="15"/>
      <c r="AF17" s="15"/>
      <c r="AG17" s="15"/>
      <c r="AH17" s="15"/>
      <c r="AI17" s="17">
        <v>1.1000000000000001</v>
      </c>
      <c r="AL17" s="57"/>
      <c r="AO17" s="58"/>
      <c r="AU17" s="17">
        <v>1.2</v>
      </c>
      <c r="AV17" s="17">
        <v>-0.43800563248688701</v>
      </c>
      <c r="AW17" s="17">
        <v>0.38806765140185501</v>
      </c>
      <c r="AY17">
        <v>0.44333455177037401</v>
      </c>
      <c r="AZ17">
        <v>-0.39339880066286798</v>
      </c>
      <c r="BA17">
        <v>0.59271252826005005</v>
      </c>
      <c r="BB17" s="5">
        <v>-0.70037773908069301</v>
      </c>
      <c r="BC17" s="5">
        <v>4.8437127047911602E-2</v>
      </c>
      <c r="BD17" s="5">
        <v>0.70205066247133396</v>
      </c>
      <c r="BE17" s="7">
        <v>0.298975925923744</v>
      </c>
      <c r="BF17" s="7">
        <v>-0.62212700501920504</v>
      </c>
      <c r="BG17" s="7">
        <v>0.69023808548654197</v>
      </c>
      <c r="BH17" s="3">
        <v>0.43364537005112902</v>
      </c>
      <c r="BI17" s="3">
        <v>-0.24772389970912501</v>
      </c>
      <c r="BJ17" s="3">
        <v>0.499415095340417</v>
      </c>
      <c r="BK17" s="15">
        <v>1.947085E-5</v>
      </c>
      <c r="BL17" s="16">
        <v>1.1000000000000001</v>
      </c>
      <c r="BM17" s="7">
        <v>0.298975925923744</v>
      </c>
      <c r="BN17" s="7">
        <v>-0.62212700501920504</v>
      </c>
      <c r="BO17" s="7">
        <v>0.69023808548654197</v>
      </c>
      <c r="BP17" s="15">
        <v>-0.20263556713091696</v>
      </c>
      <c r="BQ17" s="15">
        <v>1.9880749999999999E-4</v>
      </c>
      <c r="BR17" s="15">
        <v>0.99987099999999995</v>
      </c>
      <c r="BS17" s="5">
        <v>-0.70037773908069301</v>
      </c>
      <c r="BT17" s="5">
        <v>4.8437127047911602E-2</v>
      </c>
      <c r="BU17" s="5">
        <v>0.70205066247133396</v>
      </c>
      <c r="BV17" s="15">
        <v>8.9406239999999998E-2</v>
      </c>
      <c r="BW17" s="15">
        <v>1.669478</v>
      </c>
      <c r="BX17" s="20">
        <v>0.41836667621661899</v>
      </c>
      <c r="BY17" s="20">
        <v>-0.41836667621661899</v>
      </c>
      <c r="BZ17" s="10">
        <v>-0.70037773908069301</v>
      </c>
      <c r="CA17" s="10">
        <v>4.8437127047911602E-2</v>
      </c>
      <c r="CB17" s="10">
        <v>0.70205066247133396</v>
      </c>
      <c r="CC17" s="15"/>
      <c r="CD17" s="13">
        <v>16</v>
      </c>
      <c r="CE17" s="13">
        <v>1</v>
      </c>
      <c r="CF17" s="13">
        <v>1</v>
      </c>
      <c r="CG17" s="13">
        <v>2</v>
      </c>
      <c r="CH17" s="13">
        <v>0.01</v>
      </c>
      <c r="CI17" s="13">
        <v>8</v>
      </c>
      <c r="CJ17" s="13">
        <v>15000</v>
      </c>
      <c r="CK17" s="13">
        <v>567.6</v>
      </c>
    </row>
    <row r="18" spans="1:89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G18" s="57">
        <v>0.46376299999999998</v>
      </c>
      <c r="H18" s="58">
        <v>-0.372971</v>
      </c>
      <c r="I18" s="57"/>
      <c r="K18" s="82"/>
      <c r="L18" s="83"/>
      <c r="M18" s="82"/>
      <c r="N18" s="83"/>
      <c r="P18">
        <v>1.5</v>
      </c>
      <c r="T18" s="15">
        <f t="shared" si="14"/>
        <v>-0.66740646093593603</v>
      </c>
      <c r="U18" s="15">
        <f t="shared" si="18"/>
        <v>-1.281747772931958</v>
      </c>
      <c r="V18" s="15"/>
      <c r="W18" s="15"/>
      <c r="X18" s="15"/>
      <c r="Y18" s="15"/>
      <c r="Z18" s="15"/>
      <c r="AA18" s="15"/>
      <c r="AB18" s="30">
        <f t="shared" si="8"/>
        <v>0.28826167677646702</v>
      </c>
      <c r="AC18" s="15">
        <f t="shared" si="9"/>
        <v>-0.37914478415946895</v>
      </c>
      <c r="AD18" s="31">
        <f t="shared" si="3"/>
        <v>-1.116417224803828</v>
      </c>
      <c r="AE18" s="15"/>
      <c r="AF18" s="15"/>
      <c r="AG18" s="15"/>
      <c r="AH18" s="15"/>
      <c r="AI18" s="17">
        <v>2</v>
      </c>
      <c r="AL18" s="57"/>
      <c r="AO18" s="58"/>
      <c r="AU18" s="17">
        <v>1.5</v>
      </c>
      <c r="AV18" s="17">
        <v>-0.44109460221624802</v>
      </c>
      <c r="AW18" s="17">
        <v>0.38030972186100698</v>
      </c>
      <c r="AY18">
        <v>0.46376281358708199</v>
      </c>
      <c r="AZ18">
        <v>-0.37297053884615999</v>
      </c>
      <c r="BA18">
        <v>0.59513273318932902</v>
      </c>
      <c r="BB18" s="5">
        <v>1.5801800383909099</v>
      </c>
      <c r="BC18" s="5">
        <v>0.16352624015679401</v>
      </c>
      <c r="BD18" s="5">
        <v>1.58861882934482</v>
      </c>
      <c r="BE18" s="7">
        <v>0.76259002379749896</v>
      </c>
      <c r="BF18" s="7">
        <v>-0.60636056634305102</v>
      </c>
      <c r="BG18" s="7">
        <v>0.97427751734879797</v>
      </c>
      <c r="BH18" s="3">
        <v>0.27992729188315002</v>
      </c>
      <c r="BI18" s="3">
        <v>-0.12574003548159199</v>
      </c>
      <c r="BJ18" s="3">
        <v>0.306871056412862</v>
      </c>
      <c r="BK18" s="15">
        <v>1.4754719999999999E-5</v>
      </c>
      <c r="BL18" s="16">
        <v>2</v>
      </c>
      <c r="BM18" s="7">
        <v>0.76259002379749896</v>
      </c>
      <c r="BN18" s="7">
        <v>-0.60636056634305102</v>
      </c>
      <c r="BO18" s="7">
        <v>0.97427751734879797</v>
      </c>
      <c r="BP18" s="15">
        <v>-1.281747772931958</v>
      </c>
      <c r="BQ18" s="15">
        <v>2.605253E-4</v>
      </c>
      <c r="BR18" s="15">
        <v>0.99976299999999996</v>
      </c>
      <c r="BS18" s="5">
        <v>1.5801800383909099</v>
      </c>
      <c r="BT18" s="5">
        <v>0.16352624015679401</v>
      </c>
      <c r="BU18" s="5">
        <v>1.58861882934482</v>
      </c>
      <c r="BV18" s="15">
        <v>2.6561689999999999E-2</v>
      </c>
      <c r="BW18" s="15">
        <v>1.171138</v>
      </c>
      <c r="BX18" s="20">
        <v>0.41836667621661899</v>
      </c>
      <c r="BY18" s="20">
        <v>-0.41836667621661899</v>
      </c>
      <c r="BZ18" s="10">
        <v>1.5801800383909099</v>
      </c>
      <c r="CA18" s="10">
        <v>0.16352624015679401</v>
      </c>
      <c r="CB18" s="10">
        <v>1.58861882934482</v>
      </c>
      <c r="CC18" s="15"/>
      <c r="CD18" s="13">
        <v>16</v>
      </c>
      <c r="CE18" s="13">
        <v>1</v>
      </c>
      <c r="CF18" s="13">
        <v>1</v>
      </c>
      <c r="CG18" s="13">
        <v>2</v>
      </c>
      <c r="CH18" s="13">
        <v>0.01</v>
      </c>
      <c r="CI18" s="13">
        <v>8</v>
      </c>
      <c r="CJ18" s="13">
        <v>15000</v>
      </c>
      <c r="CK18" s="13">
        <v>571.70000000000005</v>
      </c>
    </row>
    <row r="19" spans="1:89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G19" s="57">
        <v>0.48646099999999998</v>
      </c>
      <c r="H19" s="58">
        <v>-0.35027200000000003</v>
      </c>
      <c r="I19" s="57"/>
      <c r="K19" s="82"/>
      <c r="L19" s="83"/>
      <c r="M19" s="82"/>
      <c r="N19" s="83"/>
      <c r="P19">
        <v>2</v>
      </c>
      <c r="T19" s="15">
        <f t="shared" si="14"/>
        <v>-1.363905243264959</v>
      </c>
      <c r="U19" s="15">
        <f t="shared" si="18"/>
        <v>-1.2800812362153591</v>
      </c>
      <c r="V19" s="15"/>
      <c r="W19" s="15"/>
      <c r="X19" s="15"/>
      <c r="Y19" s="15"/>
      <c r="Z19" s="15"/>
      <c r="AA19" s="15"/>
      <c r="AB19" s="30">
        <f t="shared" si="8"/>
        <v>6.9619278707717003E-2</v>
      </c>
      <c r="AC19" s="15">
        <f t="shared" si="9"/>
        <v>-1.294285964557242</v>
      </c>
      <c r="AD19" s="31">
        <f t="shared" si="3"/>
        <v>-1.064998484757508</v>
      </c>
      <c r="AE19" s="15"/>
      <c r="AF19" s="15"/>
      <c r="AG19" s="15"/>
      <c r="AH19" s="15"/>
      <c r="AI19" s="17">
        <v>3</v>
      </c>
      <c r="AL19" s="57"/>
      <c r="AO19" s="58"/>
      <c r="AU19" s="17">
        <v>2</v>
      </c>
      <c r="AV19" s="17">
        <v>-0.44497868717495698</v>
      </c>
      <c r="AW19" s="17">
        <v>0.367827515089311</v>
      </c>
      <c r="AY19">
        <v>0.48646088227231199</v>
      </c>
      <c r="AZ19">
        <v>-0.35027247016092999</v>
      </c>
      <c r="BA19">
        <v>0.59944557161913803</v>
      </c>
      <c r="BB19" s="5">
        <v>1.55145936702982</v>
      </c>
      <c r="BC19" s="5">
        <v>-0.93206174497467897</v>
      </c>
      <c r="BD19" s="5">
        <v>1.8099075291267801</v>
      </c>
      <c r="BE19" s="7">
        <v>1.88712470203465</v>
      </c>
      <c r="BF19" s="7">
        <v>0.15804901163740101</v>
      </c>
      <c r="BG19" s="7">
        <v>1.89373153617638</v>
      </c>
      <c r="BH19" s="3">
        <v>0.44467422076545299</v>
      </c>
      <c r="BI19" s="3">
        <v>-0.28806377427037899</v>
      </c>
      <c r="BJ19" s="3">
        <v>0.52982629291142103</v>
      </c>
      <c r="BK19" s="15">
        <v>4.128381E-5</v>
      </c>
      <c r="BL19" s="16">
        <v>3</v>
      </c>
      <c r="BM19" s="7">
        <v>1.88712470203465</v>
      </c>
      <c r="BN19" s="7">
        <v>0.15804901163740101</v>
      </c>
      <c r="BO19" s="7">
        <v>1.89373153617638</v>
      </c>
      <c r="BP19" s="15">
        <v>-1.2800812362153591</v>
      </c>
      <c r="BQ19" s="15">
        <v>5.4041460000000001E-4</v>
      </c>
      <c r="BR19" s="15">
        <v>0.99931599999999998</v>
      </c>
      <c r="BS19" s="5">
        <v>1.55145936702982</v>
      </c>
      <c r="BT19" s="5">
        <v>-0.93206174497467897</v>
      </c>
      <c r="BU19" s="5">
        <v>1.8099075291267801</v>
      </c>
      <c r="BV19" s="15">
        <v>9.7190530000000001E-3</v>
      </c>
      <c r="BW19" s="15">
        <v>0.70750040000000003</v>
      </c>
      <c r="BX19" s="20">
        <v>0.41836667621661899</v>
      </c>
      <c r="BY19" s="20">
        <v>-0.41836667621661899</v>
      </c>
      <c r="BZ19" s="10">
        <v>1.55145936702982</v>
      </c>
      <c r="CA19" s="10">
        <v>-0.93206174497467897</v>
      </c>
      <c r="CB19" s="10">
        <v>1.8099075291267801</v>
      </c>
      <c r="CC19" s="15"/>
      <c r="CD19" s="13">
        <v>16</v>
      </c>
      <c r="CE19" s="13">
        <v>1</v>
      </c>
      <c r="CF19" s="13">
        <v>1</v>
      </c>
      <c r="CG19" s="13">
        <v>2</v>
      </c>
      <c r="CH19" s="13">
        <v>0.01</v>
      </c>
      <c r="CI19" s="13">
        <v>8</v>
      </c>
      <c r="CJ19" s="13">
        <v>15000</v>
      </c>
      <c r="CK19" s="13">
        <v>569</v>
      </c>
    </row>
    <row r="20" spans="1:89" ht="15" thickBot="1" x14ac:dyDescent="0.35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G20" s="57">
        <v>0.50915900000000003</v>
      </c>
      <c r="H20" s="58">
        <v>-0.32757399999999998</v>
      </c>
      <c r="I20" s="57"/>
      <c r="K20" s="82"/>
      <c r="L20" s="83"/>
      <c r="M20" s="82"/>
      <c r="N20" s="83"/>
      <c r="P20">
        <v>2.5</v>
      </c>
      <c r="T20" s="15">
        <f t="shared" si="14"/>
        <v>-1.3271502024764159</v>
      </c>
      <c r="U20" s="15">
        <f t="shared" si="18"/>
        <v>-1.537312238142396</v>
      </c>
      <c r="V20" s="15"/>
      <c r="W20" s="15"/>
      <c r="X20" s="15"/>
      <c r="Y20" s="15"/>
      <c r="Z20" s="15"/>
      <c r="AA20" s="15"/>
      <c r="AB20" s="30">
        <f t="shared" si="8"/>
        <v>0.45485082130591303</v>
      </c>
      <c r="AC20" s="15">
        <f t="shared" si="9"/>
        <v>-0.87229938117050287</v>
      </c>
      <c r="AD20" s="31">
        <f t="shared" si="3"/>
        <v>-0.49461237992392693</v>
      </c>
      <c r="AE20" s="15"/>
      <c r="AF20" s="15"/>
      <c r="AG20" s="15"/>
      <c r="AH20" s="15"/>
      <c r="AI20" s="17">
        <v>4</v>
      </c>
      <c r="AL20" s="59"/>
      <c r="AM20" s="60"/>
      <c r="AN20" s="60"/>
      <c r="AO20" s="61"/>
      <c r="AU20" s="17">
        <v>2.5</v>
      </c>
      <c r="AV20" s="17">
        <v>-0.447514126706968</v>
      </c>
      <c r="AW20" s="17">
        <v>0.35600662252677101</v>
      </c>
      <c r="AY20">
        <v>0.50915895095754304</v>
      </c>
      <c r="AZ20">
        <v>-0.327574401475699</v>
      </c>
      <c r="BA20">
        <v>0.60543193328593703</v>
      </c>
      <c r="BB20" s="5">
        <v>1.00377133088147</v>
      </c>
      <c r="BC20" s="5">
        <v>-1.3569919221159401</v>
      </c>
      <c r="BD20" s="5">
        <v>1.68789335012242</v>
      </c>
      <c r="BE20" s="7">
        <v>0.13921922245985499</v>
      </c>
      <c r="BF20" s="7">
        <v>-1.4711586745904801</v>
      </c>
      <c r="BG20" s="7">
        <v>1.4777313144564399</v>
      </c>
      <c r="BH20" s="3">
        <v>8.9165534081367695E-2</v>
      </c>
      <c r="BI20" s="3">
        <v>-0.12134322732285099</v>
      </c>
      <c r="BJ20" s="3">
        <v>0.150581111980024</v>
      </c>
      <c r="BK20" s="35">
        <v>0.36657911413458599</v>
      </c>
      <c r="BL20" s="16">
        <v>4</v>
      </c>
      <c r="BM20" s="7">
        <v>0.13921922245985499</v>
      </c>
      <c r="BN20" s="7">
        <v>-1.4711586745904801</v>
      </c>
      <c r="BO20" s="7">
        <v>1.4777313144564399</v>
      </c>
      <c r="BP20" s="15">
        <v>-1.537312238142396</v>
      </c>
      <c r="BQ20" s="15">
        <v>2.982808E-4</v>
      </c>
      <c r="BR20" s="15">
        <v>0.999668</v>
      </c>
      <c r="BS20" s="5">
        <v>1.00377133088147</v>
      </c>
      <c r="BT20" s="5">
        <v>-1.3569919221159401</v>
      </c>
      <c r="BU20" s="5">
        <v>1.68789335012242</v>
      </c>
      <c r="BV20" s="15">
        <v>5.3214699999999997E-2</v>
      </c>
      <c r="BW20" s="15">
        <v>0.91078800000000004</v>
      </c>
      <c r="BX20" s="20">
        <v>0.41836667621661899</v>
      </c>
      <c r="BY20" s="20">
        <v>-0.41836667621661899</v>
      </c>
      <c r="BZ20" s="10">
        <v>1.00377133088147</v>
      </c>
      <c r="CA20" s="10">
        <v>-1.3569919221159401</v>
      </c>
      <c r="CB20" s="10">
        <v>1.68789335012242</v>
      </c>
      <c r="CC20" s="15"/>
      <c r="CD20" s="13">
        <v>16</v>
      </c>
      <c r="CE20" s="13">
        <v>1</v>
      </c>
      <c r="CF20" s="13">
        <v>1</v>
      </c>
      <c r="CG20" s="13">
        <v>2</v>
      </c>
      <c r="CH20" s="13">
        <v>0.01</v>
      </c>
      <c r="CI20" s="13">
        <v>8</v>
      </c>
      <c r="CJ20" s="13">
        <v>15000</v>
      </c>
      <c r="CK20" s="13">
        <v>637.5</v>
      </c>
    </row>
    <row r="21" spans="1:89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G21" s="59">
        <v>0.59995100000000001</v>
      </c>
      <c r="H21" s="61">
        <v>-0.23678199999999999</v>
      </c>
      <c r="I21" s="59"/>
      <c r="J21" s="60"/>
      <c r="K21" s="86"/>
      <c r="L21" s="87"/>
      <c r="M21" s="86"/>
      <c r="N21" s="87"/>
      <c r="P21">
        <v>3</v>
      </c>
      <c r="T21" s="15">
        <f t="shared" si="14"/>
        <v>-0.99676046677572394</v>
      </c>
      <c r="U21" s="15">
        <f t="shared" si="18"/>
        <v>-0.95750232152093395</v>
      </c>
      <c r="V21" s="15"/>
      <c r="W21" s="15"/>
      <c r="X21" s="15"/>
      <c r="Y21" s="15"/>
      <c r="Z21" s="15"/>
      <c r="AA21" s="15"/>
      <c r="AB21" s="32">
        <f t="shared" si="8"/>
        <v>0.35337106037435506</v>
      </c>
      <c r="AC21" s="33">
        <f t="shared" si="9"/>
        <v>-0.64338940640136888</v>
      </c>
      <c r="AD21" s="34">
        <f t="shared" si="3"/>
        <v>0.87984731705269204</v>
      </c>
      <c r="AE21" s="15"/>
      <c r="AF21" s="15"/>
      <c r="AG21" s="15"/>
      <c r="AH21" s="15"/>
      <c r="AI21" s="17">
        <v>8</v>
      </c>
      <c r="AU21" s="17">
        <v>3</v>
      </c>
      <c r="AV21" s="17">
        <v>-0.44918247897674202</v>
      </c>
      <c r="AW21" s="17">
        <v>0.34489034517107903</v>
      </c>
      <c r="AY21">
        <v>0.59995122569846604</v>
      </c>
      <c r="AZ21">
        <v>-0.236782126734776</v>
      </c>
      <c r="BA21">
        <v>0.64498623920060105</v>
      </c>
      <c r="BB21" s="5">
        <v>-0.279896091354226</v>
      </c>
      <c r="BC21" s="5">
        <v>-1.21735479943943</v>
      </c>
      <c r="BD21" s="5">
        <v>1.2491175003471799</v>
      </c>
      <c r="BE21" s="7">
        <v>-1.28663475804626</v>
      </c>
      <c r="BF21" s="7">
        <v>-6.6953741998137903E-2</v>
      </c>
      <c r="BG21" s="7">
        <v>1.2883756456019699</v>
      </c>
      <c r="BH21" s="3">
        <v>0.28774808947310299</v>
      </c>
      <c r="BI21" s="3">
        <v>4.73333870163824E-2</v>
      </c>
      <c r="BJ21" s="3">
        <v>0.29161517882624599</v>
      </c>
      <c r="BK21" s="15">
        <v>2.2044449999999999E-5</v>
      </c>
      <c r="BL21" s="16">
        <v>8</v>
      </c>
      <c r="BM21" s="7">
        <v>-1.28663475804626</v>
      </c>
      <c r="BN21" s="7">
        <v>-6.6953741998137903E-2</v>
      </c>
      <c r="BO21" s="7">
        <v>1.2883756456019699</v>
      </c>
      <c r="BP21" s="15">
        <v>-0.95750232152093395</v>
      </c>
      <c r="BQ21" s="15">
        <v>6.1093859999999999E-4</v>
      </c>
      <c r="BR21" s="15">
        <v>0.99940200000000001</v>
      </c>
      <c r="BS21" s="5">
        <v>-0.279896091354226</v>
      </c>
      <c r="BT21" s="5">
        <v>-1.21735479943943</v>
      </c>
      <c r="BU21" s="5">
        <v>1.2491175003471799</v>
      </c>
      <c r="BV21" s="15">
        <v>0.18083740000000001</v>
      </c>
      <c r="BW21" s="15">
        <v>1.109774</v>
      </c>
      <c r="BX21" s="20">
        <v>0.41836667621661899</v>
      </c>
      <c r="BY21" s="20">
        <v>-0.41836667621661899</v>
      </c>
      <c r="BZ21" s="10">
        <v>-0.279896091354226</v>
      </c>
      <c r="CA21" s="10">
        <v>-1.21735479943943</v>
      </c>
      <c r="CB21" s="10">
        <v>1.2491175003471799</v>
      </c>
      <c r="CC21" s="15"/>
      <c r="CD21" s="13">
        <v>16</v>
      </c>
      <c r="CE21" s="13">
        <v>1</v>
      </c>
      <c r="CF21" s="13">
        <v>1</v>
      </c>
      <c r="CG21" s="13">
        <v>2</v>
      </c>
      <c r="CH21" s="13">
        <v>0.01</v>
      </c>
      <c r="CI21" s="13">
        <v>8</v>
      </c>
      <c r="CJ21" s="13">
        <v>15000</v>
      </c>
      <c r="CK21" s="13">
        <v>562.9</v>
      </c>
    </row>
    <row r="22" spans="1:89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>
        <v>3.5</v>
      </c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>
        <v>3.5</v>
      </c>
      <c r="AV22" s="17">
        <v>-0.45005276745616701</v>
      </c>
      <c r="AW22" s="17">
        <v>0.33445548967958799</v>
      </c>
      <c r="AX22" s="17"/>
      <c r="AY22"/>
      <c r="AZ22"/>
      <c r="BA22" s="17"/>
      <c r="BE22" s="17"/>
      <c r="BF22" s="17"/>
      <c r="BG22" s="17"/>
      <c r="BM22" s="17"/>
      <c r="BN22" s="17"/>
      <c r="BO22" s="17"/>
    </row>
    <row r="23" spans="1:89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>
        <v>4</v>
      </c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>
        <v>4</v>
      </c>
      <c r="AV23" s="17">
        <v>-0.45044746315328099</v>
      </c>
      <c r="AW23" s="17">
        <v>0.32465732939870401</v>
      </c>
      <c r="AX23" s="17"/>
      <c r="AY23" s="25" t="s">
        <v>56</v>
      </c>
      <c r="AZ23" s="17"/>
      <c r="BA23" s="17"/>
      <c r="BD23" s="17" t="s">
        <v>34</v>
      </c>
      <c r="BJ23" s="22" t="s">
        <v>35</v>
      </c>
      <c r="BP23" s="17"/>
      <c r="BQ23" s="17"/>
      <c r="BU23" s="17" t="s">
        <v>34</v>
      </c>
    </row>
    <row r="24" spans="1:89" x14ac:dyDescent="0.3">
      <c r="D24" s="17" t="s">
        <v>33</v>
      </c>
      <c r="P24">
        <v>4.5</v>
      </c>
      <c r="AF24" s="17" t="s">
        <v>60</v>
      </c>
      <c r="AU24" s="17">
        <v>4.5</v>
      </c>
      <c r="AV24" s="17">
        <v>-0.45037891546436598</v>
      </c>
      <c r="AW24" s="17">
        <v>0.315439056579013</v>
      </c>
      <c r="AY24" s="25" t="s">
        <v>44</v>
      </c>
      <c r="AZ24" s="25" t="s">
        <v>45</v>
      </c>
      <c r="BA24" s="25" t="s">
        <v>30</v>
      </c>
      <c r="BB24" s="13"/>
      <c r="BC24" s="13"/>
      <c r="BD24" s="13"/>
      <c r="BE24" s="17"/>
      <c r="BF24" s="17"/>
      <c r="BH24" s="13"/>
      <c r="BI24" s="13"/>
      <c r="BJ24" s="4" t="s">
        <v>11</v>
      </c>
      <c r="BK24" s="4" t="s">
        <v>12</v>
      </c>
      <c r="BM24" s="17"/>
      <c r="BN24" s="17"/>
      <c r="BP24" s="6" t="s">
        <v>31</v>
      </c>
      <c r="BQ24" s="6" t="s">
        <v>29</v>
      </c>
      <c r="BR24" s="6" t="s">
        <v>30</v>
      </c>
      <c r="BS24" s="13"/>
      <c r="BT24" s="13"/>
      <c r="BU24" s="13"/>
      <c r="BV24" s="4" t="s">
        <v>11</v>
      </c>
      <c r="BW24" s="4" t="s">
        <v>12</v>
      </c>
      <c r="BX24" s="4" t="s">
        <v>13</v>
      </c>
      <c r="BZ24" s="19" t="s">
        <v>17</v>
      </c>
      <c r="CA24" s="13"/>
      <c r="CB24" s="13"/>
    </row>
    <row r="25" spans="1:89" x14ac:dyDescent="0.3">
      <c r="D25" s="17">
        <v>1</v>
      </c>
      <c r="E25" s="17">
        <v>0</v>
      </c>
      <c r="P25">
        <v>5</v>
      </c>
      <c r="AF25" s="17">
        <v>0</v>
      </c>
      <c r="AG25" s="17" t="s">
        <v>80</v>
      </c>
      <c r="AU25" s="17">
        <v>5</v>
      </c>
      <c r="AV25" s="17">
        <v>-0.44999321179351298</v>
      </c>
      <c r="AW25" s="17">
        <v>0.30674892465553799</v>
      </c>
      <c r="AY25" s="25">
        <v>0.30752200000000002</v>
      </c>
      <c r="AZ25" s="25">
        <v>-0.30752200000000002</v>
      </c>
      <c r="BA25" s="25">
        <v>0.43490099999999998</v>
      </c>
      <c r="BB25" s="18">
        <f>BA25-BJ25</f>
        <v>0.12738728588613696</v>
      </c>
      <c r="BC25" s="14"/>
      <c r="BD25" s="18">
        <f>BJ25-BA25</f>
        <v>-0.12738728588613696</v>
      </c>
      <c r="BE25" s="15">
        <f t="shared" ref="BE25:BE42" si="33">BD25-BJ25</f>
        <v>-0.43490099999999998</v>
      </c>
      <c r="BF25" s="23">
        <f>BJ25-BP25</f>
        <v>6.6059891677840432E-3</v>
      </c>
      <c r="BH25" s="24">
        <f>BL25-BX25</f>
        <v>-7.2164496600635175E-16</v>
      </c>
      <c r="BI25" s="13"/>
      <c r="BJ25" s="17">
        <v>0.30751371411386302</v>
      </c>
      <c r="BK25" s="13">
        <v>-0.30753560602694202</v>
      </c>
      <c r="BL25" s="15">
        <f>SQRT(BK25^2+BJ25^2)</f>
        <v>0.43490554531123327</v>
      </c>
      <c r="BM25" s="15">
        <f t="shared" ref="BM25:BM42" si="34">BL25-BR25</f>
        <v>-3.7351285365692655E-3</v>
      </c>
      <c r="BN25" s="23">
        <f>BR25-BX25</f>
        <v>3.7351285365685438E-3</v>
      </c>
      <c r="BP25" s="11">
        <v>0.30090772494607898</v>
      </c>
      <c r="BQ25" s="11">
        <v>-0.319155419539492</v>
      </c>
      <c r="BR25" s="15">
        <f>SQRT(BQ25^2+BP25^2)</f>
        <v>0.43864067384780253</v>
      </c>
      <c r="BS25" s="18">
        <f>BR25-BX25</f>
        <v>3.7351285365685438E-3</v>
      </c>
      <c r="BT25" s="14"/>
      <c r="BU25" s="18">
        <f>BX25-BR25</f>
        <v>-3.7351285365685438E-3</v>
      </c>
      <c r="BV25" s="12">
        <v>0.30751371411386302</v>
      </c>
      <c r="BW25" s="12">
        <v>-0.30753560602694202</v>
      </c>
      <c r="BX25" s="12">
        <v>0.43490554531123399</v>
      </c>
      <c r="BY25" s="15">
        <f>SQRT(BV25^2+BW25^2)</f>
        <v>0.43490554531123327</v>
      </c>
      <c r="BZ25" s="21">
        <v>-0.30752150772800002</v>
      </c>
      <c r="CA25" s="14" t="e">
        <f>SQRT(BZ25^2+#REF!^2)</f>
        <v>#REF!</v>
      </c>
      <c r="CB25" s="13"/>
    </row>
    <row r="26" spans="1:89" x14ac:dyDescent="0.3">
      <c r="D26" s="17">
        <v>1</v>
      </c>
      <c r="E26" s="17">
        <v>0.05</v>
      </c>
      <c r="P26">
        <v>6</v>
      </c>
      <c r="AF26" s="17">
        <v>0.05</v>
      </c>
      <c r="AU26" s="17">
        <v>6</v>
      </c>
      <c r="AV26" s="17">
        <v>-0.44843870180900097</v>
      </c>
      <c r="AW26" s="17">
        <v>0.29075226824371603</v>
      </c>
      <c r="AY26" s="25">
        <v>0.30796899999999999</v>
      </c>
      <c r="AZ26" s="25">
        <v>-0.30707400000000001</v>
      </c>
      <c r="BA26" s="25">
        <v>0.43490200000000001</v>
      </c>
      <c r="BB26" s="18">
        <f t="shared" ref="BB26:BB42" si="35">BA26-BJ26</f>
        <v>0.126977500297343</v>
      </c>
      <c r="BC26" s="13"/>
      <c r="BD26" s="13"/>
      <c r="BE26" s="15">
        <f t="shared" si="33"/>
        <v>-0.30792449970265701</v>
      </c>
      <c r="BF26" s="23">
        <f t="shared" ref="BF26:BF42" si="36">BJ26-BP26</f>
        <v>3.9502148617703015E-2</v>
      </c>
      <c r="BH26" s="24">
        <f t="shared" ref="BH26:BH42" si="37">BL26-BX26</f>
        <v>-8.3266726846886741E-16</v>
      </c>
      <c r="BI26" s="13"/>
      <c r="BJ26" s="17">
        <v>0.30792449970265701</v>
      </c>
      <c r="BK26" s="13">
        <v>-0.30701084731864298</v>
      </c>
      <c r="BL26" s="15">
        <f t="shared" ref="BL26:BL42" si="38">SQRT(BK26^2+BJ26^2)</f>
        <v>0.43482543381044619</v>
      </c>
      <c r="BM26" s="15">
        <f t="shared" si="34"/>
        <v>5.817509501963386E-2</v>
      </c>
      <c r="BN26" s="23">
        <f t="shared" ref="BN26:BN42" si="39">BR26-BX26</f>
        <v>-5.8175095019634693E-2</v>
      </c>
      <c r="BP26" s="11">
        <v>0.26842235108495399</v>
      </c>
      <c r="BQ26" s="11">
        <v>-0.26422512967024803</v>
      </c>
      <c r="BR26" s="15">
        <f t="shared" ref="BR26:BR42" si="40">SQRT(BQ26^2+BP26^2)</f>
        <v>0.37665033879081233</v>
      </c>
      <c r="BS26" s="18">
        <f t="shared" ref="BS26:BS42" si="41">BR26-BX26</f>
        <v>-5.8175095019634693E-2</v>
      </c>
      <c r="BT26" s="13"/>
      <c r="BU26" s="13"/>
      <c r="BV26" s="12">
        <v>0.30792449970265701</v>
      </c>
      <c r="BW26" s="12">
        <v>-0.30701084731864298</v>
      </c>
      <c r="BX26" s="12">
        <v>0.43482543381044703</v>
      </c>
      <c r="BZ26" s="13"/>
      <c r="CA26" s="13"/>
      <c r="CB26" s="13"/>
    </row>
    <row r="27" spans="1:89" ht="16.2" customHeight="1" x14ac:dyDescent="0.3">
      <c r="D27" s="17">
        <v>1</v>
      </c>
      <c r="E27" s="17">
        <v>0.1</v>
      </c>
      <c r="P27">
        <v>7</v>
      </c>
      <c r="AF27" s="17">
        <v>0.1</v>
      </c>
      <c r="AG27" s="75" t="s">
        <v>77</v>
      </c>
      <c r="AH27" s="75" t="s">
        <v>78</v>
      </c>
      <c r="AI27" s="75" t="s">
        <v>79</v>
      </c>
      <c r="AU27" s="17">
        <v>7</v>
      </c>
      <c r="AV27" s="17">
        <v>-0.44620101997047201</v>
      </c>
      <c r="AW27" s="17">
        <v>0.276389489854313</v>
      </c>
      <c r="AY27" s="25">
        <v>0.308417</v>
      </c>
      <c r="AZ27" s="25">
        <v>-0.30662600000000001</v>
      </c>
      <c r="BA27" s="25">
        <v>0.43490299999999998</v>
      </c>
      <c r="BB27" s="18">
        <f t="shared" si="35"/>
        <v>0.12663263819217596</v>
      </c>
      <c r="BC27" s="13"/>
      <c r="BD27" s="13"/>
      <c r="BE27" s="15">
        <f t="shared" si="33"/>
        <v>-0.30827036180782402</v>
      </c>
      <c r="BF27" s="23">
        <f t="shared" si="36"/>
        <v>-5.8512146189332981E-2</v>
      </c>
      <c r="BH27" s="24">
        <f t="shared" si="37"/>
        <v>0</v>
      </c>
      <c r="BI27" s="13"/>
      <c r="BJ27" s="17">
        <v>0.30827036180782402</v>
      </c>
      <c r="BK27" s="13">
        <v>-0.30712646009599198</v>
      </c>
      <c r="BL27" s="15">
        <f t="shared" si="38"/>
        <v>0.43515201764466366</v>
      </c>
      <c r="BM27" s="15">
        <f t="shared" si="34"/>
        <v>-0.29533191024897626</v>
      </c>
      <c r="BN27" s="23">
        <f t="shared" si="39"/>
        <v>0.29533191024897593</v>
      </c>
      <c r="BP27" s="11">
        <v>0.366782507997157</v>
      </c>
      <c r="BQ27" s="11">
        <v>-0.63172570055225397</v>
      </c>
      <c r="BR27" s="15">
        <f t="shared" si="40"/>
        <v>0.73048392789363992</v>
      </c>
      <c r="BS27" s="18">
        <f t="shared" si="41"/>
        <v>0.29533191024897593</v>
      </c>
      <c r="BT27" s="13"/>
      <c r="BU27" s="13"/>
      <c r="BV27" s="12">
        <v>0.30827036180782402</v>
      </c>
      <c r="BW27" s="12">
        <v>-0.30712646009599198</v>
      </c>
      <c r="BX27" s="12">
        <v>0.43515201764466399</v>
      </c>
      <c r="BZ27" s="13"/>
      <c r="CA27" s="13"/>
      <c r="CB27" s="13"/>
    </row>
    <row r="28" spans="1:89" x14ac:dyDescent="0.3">
      <c r="D28" s="17">
        <v>1</v>
      </c>
      <c r="E28" s="17">
        <v>0.15</v>
      </c>
      <c r="P28">
        <v>8</v>
      </c>
      <c r="AF28" s="17">
        <v>0.15</v>
      </c>
      <c r="AG28" s="76">
        <v>0</v>
      </c>
      <c r="AH28" s="76">
        <v>-0.41836667620000001</v>
      </c>
      <c r="AI28" s="76">
        <v>0.41836667620000001</v>
      </c>
      <c r="AU28" s="17">
        <v>8</v>
      </c>
      <c r="AV28" s="17">
        <v>-0.443539950690576</v>
      </c>
      <c r="AW28" s="17">
        <v>0.26338438428719102</v>
      </c>
      <c r="AY28" s="25">
        <v>0.308865</v>
      </c>
      <c r="AZ28" s="25">
        <v>-0.30617800000000001</v>
      </c>
      <c r="BA28" s="25">
        <v>0.43490499999999999</v>
      </c>
      <c r="BB28" s="18">
        <f t="shared" si="35"/>
        <v>0.11800622863544996</v>
      </c>
      <c r="BC28" s="13"/>
      <c r="BD28" s="13"/>
      <c r="BE28" s="15">
        <f t="shared" si="33"/>
        <v>-0.31689877136455002</v>
      </c>
      <c r="BF28" s="23">
        <f t="shared" si="36"/>
        <v>-0.70256242650362999</v>
      </c>
      <c r="BH28" s="24">
        <f t="shared" si="37"/>
        <v>0</v>
      </c>
      <c r="BI28" s="13"/>
      <c r="BJ28" s="17">
        <v>0.31689877136455002</v>
      </c>
      <c r="BK28" s="13">
        <v>-0.29740570589188903</v>
      </c>
      <c r="BL28" s="15">
        <f t="shared" si="38"/>
        <v>0.43459749790974883</v>
      </c>
      <c r="BM28" s="15">
        <f t="shared" si="34"/>
        <v>-0.79786988594604913</v>
      </c>
      <c r="BN28" s="23">
        <f t="shared" si="39"/>
        <v>0.79786988594604902</v>
      </c>
      <c r="BP28" s="11">
        <v>1.01946119786818</v>
      </c>
      <c r="BQ28" s="11">
        <v>0.69258553140354495</v>
      </c>
      <c r="BR28" s="15">
        <f t="shared" si="40"/>
        <v>1.232467383855798</v>
      </c>
      <c r="BS28" s="18">
        <f t="shared" si="41"/>
        <v>0.79786988594604902</v>
      </c>
      <c r="BT28" s="13"/>
      <c r="BU28" s="13"/>
      <c r="BV28" s="12">
        <v>0.31689877136455002</v>
      </c>
      <c r="BW28" s="12">
        <v>-0.29740570589188903</v>
      </c>
      <c r="BX28" s="12">
        <v>0.434597497909749</v>
      </c>
      <c r="BZ28" s="13"/>
      <c r="CA28" s="13"/>
      <c r="CB28" s="13"/>
    </row>
    <row r="29" spans="1:89" x14ac:dyDescent="0.3">
      <c r="D29" s="17">
        <v>1</v>
      </c>
      <c r="E29" s="17">
        <v>0.2</v>
      </c>
      <c r="AF29" s="17">
        <v>0.2</v>
      </c>
      <c r="AG29" s="76">
        <v>0.1</v>
      </c>
      <c r="AH29" s="76">
        <v>-0.42063648310000001</v>
      </c>
      <c r="AI29" s="76">
        <v>0.41609686930000001</v>
      </c>
      <c r="AY29" s="25">
        <v>0.30931199999999998</v>
      </c>
      <c r="AZ29" s="25">
        <v>-0.30573099999999998</v>
      </c>
      <c r="BA29" s="25">
        <v>0.43490800000000002</v>
      </c>
      <c r="BB29" s="18">
        <f t="shared" si="35"/>
        <v>0.12327836511748003</v>
      </c>
      <c r="BC29" s="13"/>
      <c r="BD29" s="13"/>
      <c r="BE29" s="15">
        <f t="shared" si="33"/>
        <v>-0.31162963488251999</v>
      </c>
      <c r="BF29" s="23">
        <f t="shared" si="36"/>
        <v>-0.25844765482566706</v>
      </c>
      <c r="BH29" s="24">
        <f t="shared" si="37"/>
        <v>-7.2164496600635175E-16</v>
      </c>
      <c r="BI29" s="13"/>
      <c r="BJ29" s="17">
        <v>0.31162963488251999</v>
      </c>
      <c r="BK29" s="13">
        <v>-0.35540013675900101</v>
      </c>
      <c r="BL29" s="15">
        <f t="shared" si="38"/>
        <v>0.47267566739290628</v>
      </c>
      <c r="BM29" s="15">
        <f t="shared" si="34"/>
        <v>-0.97959487007113633</v>
      </c>
      <c r="BN29" s="23">
        <f t="shared" si="39"/>
        <v>0.97959487007113555</v>
      </c>
      <c r="BP29" s="11">
        <v>0.57007728970818705</v>
      </c>
      <c r="BQ29" s="11">
        <v>-1.3357026606790401</v>
      </c>
      <c r="BR29" s="15">
        <f t="shared" si="40"/>
        <v>1.4522705374640426</v>
      </c>
      <c r="BS29" s="18">
        <f t="shared" si="41"/>
        <v>0.97959487007113555</v>
      </c>
      <c r="BT29" s="13"/>
      <c r="BU29" s="13"/>
      <c r="BV29" s="12">
        <v>0.31162963488251999</v>
      </c>
      <c r="BW29" s="12">
        <v>-0.35540013675900101</v>
      </c>
      <c r="BX29" s="12">
        <v>0.47267566739290701</v>
      </c>
      <c r="BZ29" s="13"/>
      <c r="CA29" s="13"/>
      <c r="CB29" s="13"/>
    </row>
    <row r="30" spans="1:89" x14ac:dyDescent="0.3">
      <c r="D30" s="17">
        <v>1</v>
      </c>
      <c r="E30" s="17">
        <v>0.3</v>
      </c>
      <c r="AG30" s="76">
        <v>0.15</v>
      </c>
      <c r="AH30" s="76">
        <v>-0.42177138650000001</v>
      </c>
      <c r="AI30" s="76">
        <v>0.41496196590000001</v>
      </c>
      <c r="BB30" s="18">
        <f t="shared" si="35"/>
        <v>-0.158238165852533</v>
      </c>
      <c r="BC30" s="13"/>
      <c r="BD30" s="13"/>
      <c r="BE30" s="15">
        <f t="shared" si="33"/>
        <v>-0.158238165852533</v>
      </c>
      <c r="BF30" s="23">
        <f t="shared" si="36"/>
        <v>0.706922715767207</v>
      </c>
      <c r="BH30" s="24">
        <f t="shared" si="37"/>
        <v>5.2735593669694936E-16</v>
      </c>
      <c r="BI30" s="13"/>
      <c r="BJ30" s="17">
        <v>0.158238165852533</v>
      </c>
      <c r="BK30" s="13">
        <v>-0.16667417251261499</v>
      </c>
      <c r="BL30" s="15">
        <f t="shared" si="38"/>
        <v>0.22982514421868352</v>
      </c>
      <c r="BM30" s="15">
        <f t="shared" si="34"/>
        <v>-0.43647319000971208</v>
      </c>
      <c r="BN30" s="23">
        <f t="shared" si="39"/>
        <v>0.43647319000971257</v>
      </c>
      <c r="BP30" s="11">
        <v>-0.54868454991467397</v>
      </c>
      <c r="BQ30" s="11">
        <v>0.378019490080163</v>
      </c>
      <c r="BR30" s="15">
        <f t="shared" si="40"/>
        <v>0.66629833422839557</v>
      </c>
      <c r="BS30" s="18">
        <f t="shared" si="41"/>
        <v>0.43647319000971257</v>
      </c>
      <c r="BT30" s="13"/>
      <c r="BU30" s="13"/>
      <c r="BV30" s="12">
        <v>0.158238165852533</v>
      </c>
      <c r="BW30" s="12">
        <v>-0.16667417251261499</v>
      </c>
      <c r="BX30" s="12">
        <v>0.229825144218683</v>
      </c>
      <c r="BZ30" s="13"/>
      <c r="CA30" s="13"/>
      <c r="CB30" s="13"/>
    </row>
    <row r="31" spans="1:89" x14ac:dyDescent="0.3">
      <c r="D31" s="17">
        <v>1</v>
      </c>
      <c r="E31" s="17">
        <v>0.4</v>
      </c>
      <c r="AG31" s="76">
        <v>0.2</v>
      </c>
      <c r="AH31" s="76">
        <v>-0.42290629000000002</v>
      </c>
      <c r="AI31" s="76">
        <v>0.41382706250000001</v>
      </c>
      <c r="BB31" s="18">
        <f t="shared" si="35"/>
        <v>-0.178161431444501</v>
      </c>
      <c r="BC31" s="13"/>
      <c r="BD31" s="13"/>
      <c r="BE31" s="15">
        <f t="shared" si="33"/>
        <v>-0.178161431444501</v>
      </c>
      <c r="BF31" s="23">
        <f t="shared" si="36"/>
        <v>0.17243123837390503</v>
      </c>
      <c r="BH31" s="24">
        <f t="shared" si="37"/>
        <v>0</v>
      </c>
      <c r="BI31" s="13"/>
      <c r="BJ31" s="17">
        <v>0.178161431444501</v>
      </c>
      <c r="BK31" s="13">
        <v>-0.68112296377902704</v>
      </c>
      <c r="BL31" s="15">
        <f t="shared" si="38"/>
        <v>0.70403834230919515</v>
      </c>
      <c r="BM31" s="15">
        <f t="shared" si="34"/>
        <v>-0.68890813594088929</v>
      </c>
      <c r="BN31" s="23">
        <f t="shared" si="39"/>
        <v>0.6889081359408894</v>
      </c>
      <c r="BP31" s="11">
        <v>5.7301930705959802E-3</v>
      </c>
      <c r="BQ31" s="11">
        <v>-1.39293469199266</v>
      </c>
      <c r="BR31" s="15">
        <f t="shared" si="40"/>
        <v>1.3929464782500844</v>
      </c>
      <c r="BS31" s="18">
        <f t="shared" si="41"/>
        <v>0.6889081359408894</v>
      </c>
      <c r="BT31" s="13"/>
      <c r="BU31" s="13"/>
      <c r="BV31" s="12">
        <v>0.178161431444501</v>
      </c>
      <c r="BW31" s="12">
        <v>-0.68112296377902704</v>
      </c>
      <c r="BX31" s="12">
        <v>0.70403834230919504</v>
      </c>
      <c r="BZ31" s="13"/>
      <c r="CA31" s="13"/>
      <c r="CB31" s="13"/>
    </row>
    <row r="32" spans="1:89" x14ac:dyDescent="0.3">
      <c r="D32" s="17">
        <v>1</v>
      </c>
      <c r="E32" s="17">
        <v>0.5</v>
      </c>
      <c r="AG32" s="76">
        <v>0.3</v>
      </c>
      <c r="AH32" s="76">
        <v>-0.42517609680000001</v>
      </c>
      <c r="AI32" s="76">
        <v>0.4115572556</v>
      </c>
      <c r="BB32" s="18">
        <f t="shared" si="35"/>
        <v>-8.1018078323665796E-2</v>
      </c>
      <c r="BC32" s="13"/>
      <c r="BD32" s="13"/>
      <c r="BE32" s="15">
        <f t="shared" si="33"/>
        <v>-8.1018078323665796E-2</v>
      </c>
      <c r="BF32" s="23">
        <f t="shared" si="36"/>
        <v>0.1685443334704767</v>
      </c>
      <c r="BH32" s="24">
        <f t="shared" si="37"/>
        <v>0</v>
      </c>
      <c r="BI32" s="13"/>
      <c r="BJ32" s="17">
        <v>8.1018078323665796E-2</v>
      </c>
      <c r="BK32" s="13">
        <v>-0.83197708377727997</v>
      </c>
      <c r="BL32" s="15">
        <f t="shared" si="38"/>
        <v>0.83591255340843329</v>
      </c>
      <c r="BM32" s="15">
        <f t="shared" si="34"/>
        <v>-0.57166209832239057</v>
      </c>
      <c r="BN32" s="23">
        <f t="shared" si="39"/>
        <v>0.5716620983223909</v>
      </c>
      <c r="BP32" s="11">
        <v>-8.7526255146810894E-2</v>
      </c>
      <c r="BQ32" s="11">
        <v>-1.40485072333509</v>
      </c>
      <c r="BR32" s="15">
        <f t="shared" si="40"/>
        <v>1.4075746517308239</v>
      </c>
      <c r="BS32" s="18">
        <f t="shared" si="41"/>
        <v>0.5716620983223909</v>
      </c>
      <c r="BT32" s="13"/>
      <c r="BU32" s="13"/>
      <c r="BV32" s="12">
        <v>8.1018078323665796E-2</v>
      </c>
      <c r="BW32" s="12">
        <v>-0.83197708377727997</v>
      </c>
      <c r="BX32" s="12">
        <v>0.83591255340843296</v>
      </c>
      <c r="BZ32" s="13"/>
      <c r="CA32" s="13"/>
      <c r="CB32" s="13"/>
    </row>
    <row r="33" spans="1:80" x14ac:dyDescent="0.3">
      <c r="D33" s="17">
        <v>1</v>
      </c>
      <c r="E33" s="17">
        <v>0.6</v>
      </c>
      <c r="AG33" s="76">
        <v>0.4</v>
      </c>
      <c r="AH33" s="76">
        <v>-0.42744590370000002</v>
      </c>
      <c r="AI33" s="76">
        <v>0.4092874487</v>
      </c>
      <c r="AV33" s="17" t="s">
        <v>90</v>
      </c>
      <c r="BB33" s="18">
        <f t="shared" si="35"/>
        <v>-1.03015285007262</v>
      </c>
      <c r="BC33" s="13"/>
      <c r="BD33" s="13"/>
      <c r="BE33" s="15">
        <f t="shared" si="33"/>
        <v>-1.03015285007262</v>
      </c>
      <c r="BF33" s="23">
        <f t="shared" si="36"/>
        <v>-0.46974524405401996</v>
      </c>
      <c r="BH33" s="24">
        <f t="shared" si="37"/>
        <v>0</v>
      </c>
      <c r="BI33" s="13"/>
      <c r="BJ33" s="17">
        <v>1.03015285007262</v>
      </c>
      <c r="BK33" s="13">
        <v>-0.25665637333119901</v>
      </c>
      <c r="BL33" s="15">
        <f t="shared" si="38"/>
        <v>1.0616437201266091</v>
      </c>
      <c r="BM33" s="15">
        <f t="shared" si="34"/>
        <v>-0.45900963052278687</v>
      </c>
      <c r="BN33" s="23">
        <f t="shared" si="39"/>
        <v>0.45900963052278598</v>
      </c>
      <c r="BP33" s="11">
        <v>1.49989809412664</v>
      </c>
      <c r="BQ33" s="11">
        <v>-0.250384344711301</v>
      </c>
      <c r="BR33" s="15">
        <f t="shared" si="40"/>
        <v>1.520653350649396</v>
      </c>
      <c r="BS33" s="18">
        <f t="shared" si="41"/>
        <v>0.45900963052278598</v>
      </c>
      <c r="BT33" s="13"/>
      <c r="BU33" s="13"/>
      <c r="BV33" s="12">
        <v>1.03015285007262</v>
      </c>
      <c r="BW33" s="12">
        <v>-0.25665637333119901</v>
      </c>
      <c r="BX33" s="12">
        <v>1.06164372012661</v>
      </c>
      <c r="BZ33" s="13"/>
      <c r="CA33" s="13"/>
      <c r="CB33" s="13"/>
    </row>
    <row r="34" spans="1:80" x14ac:dyDescent="0.3">
      <c r="D34" s="17">
        <v>1</v>
      </c>
      <c r="E34" s="17">
        <v>0.7</v>
      </c>
      <c r="AG34" s="76">
        <v>0.5</v>
      </c>
      <c r="AH34" s="76">
        <v>-0.42971571060000002</v>
      </c>
      <c r="AI34" s="76">
        <v>0.4070176419</v>
      </c>
      <c r="BB34" s="18">
        <f t="shared" si="35"/>
        <v>0.49989492822739301</v>
      </c>
      <c r="BC34" s="13"/>
      <c r="BD34" s="13"/>
      <c r="BE34" s="15">
        <f t="shared" si="33"/>
        <v>0.49989492822739301</v>
      </c>
      <c r="BF34" s="23">
        <f t="shared" si="36"/>
        <v>0.27247955108650102</v>
      </c>
      <c r="BH34" s="24">
        <f t="shared" si="37"/>
        <v>0</v>
      </c>
      <c r="BI34" s="13"/>
      <c r="BJ34" s="17">
        <v>-0.49989492822739301</v>
      </c>
      <c r="BK34" s="13">
        <v>-0.44545698486931101</v>
      </c>
      <c r="BL34" s="15">
        <f t="shared" si="38"/>
        <v>0.66957215043363927</v>
      </c>
      <c r="BM34" s="15">
        <f t="shared" si="34"/>
        <v>-0.25675965893024089</v>
      </c>
      <c r="BN34" s="23">
        <f t="shared" si="39"/>
        <v>0.25675965893024111</v>
      </c>
      <c r="BP34" s="11">
        <v>-0.77237447931389402</v>
      </c>
      <c r="BQ34" s="11">
        <v>-0.51139836208571399</v>
      </c>
      <c r="BR34" s="15">
        <f t="shared" si="40"/>
        <v>0.92633180936388015</v>
      </c>
      <c r="BS34" s="18">
        <f t="shared" si="41"/>
        <v>0.25675965893024111</v>
      </c>
      <c r="BT34" s="13"/>
      <c r="BU34" s="13"/>
      <c r="BV34" s="12">
        <v>-0.49989492822739301</v>
      </c>
      <c r="BW34" s="12">
        <v>-0.44545698486931101</v>
      </c>
      <c r="BX34" s="12">
        <v>0.66957215043363905</v>
      </c>
      <c r="BZ34" s="13"/>
      <c r="CA34" s="13"/>
      <c r="CB34" s="13"/>
    </row>
    <row r="35" spans="1:80" x14ac:dyDescent="0.3">
      <c r="D35" s="17">
        <v>1</v>
      </c>
      <c r="E35" s="17">
        <v>0.8</v>
      </c>
      <c r="AG35" s="76">
        <v>0.6</v>
      </c>
      <c r="AH35" s="76">
        <v>-0.43198551740000002</v>
      </c>
      <c r="AI35" s="76">
        <v>0.404747835</v>
      </c>
      <c r="BB35" s="18">
        <f t="shared" si="35"/>
        <v>-0.76934193755625901</v>
      </c>
      <c r="BC35" s="13"/>
      <c r="BD35" s="13"/>
      <c r="BE35" s="15">
        <f t="shared" si="33"/>
        <v>-0.76934193755625901</v>
      </c>
      <c r="BF35" s="23">
        <f t="shared" si="36"/>
        <v>-0.10198276640812298</v>
      </c>
      <c r="BH35" s="24">
        <f t="shared" si="37"/>
        <v>0</v>
      </c>
      <c r="BI35" s="13"/>
      <c r="BJ35" s="17">
        <v>0.76934193755625901</v>
      </c>
      <c r="BK35" s="13">
        <v>0.48248284653412998</v>
      </c>
      <c r="BL35" s="15">
        <f t="shared" si="38"/>
        <v>0.90811712575113102</v>
      </c>
      <c r="BM35" s="15">
        <f t="shared" si="34"/>
        <v>-0.1795301904237373</v>
      </c>
      <c r="BN35" s="23">
        <f t="shared" si="39"/>
        <v>0.1795301904237373</v>
      </c>
      <c r="BP35" s="11">
        <v>0.871324703964382</v>
      </c>
      <c r="BQ35" s="11">
        <v>0.65097614752291499</v>
      </c>
      <c r="BR35" s="15">
        <f t="shared" si="40"/>
        <v>1.0876473161748683</v>
      </c>
      <c r="BS35" s="18">
        <f t="shared" si="41"/>
        <v>0.1795301904237373</v>
      </c>
      <c r="BT35" s="13"/>
      <c r="BU35" s="13"/>
      <c r="BV35" s="12">
        <v>0.76934193755625901</v>
      </c>
      <c r="BW35" s="12">
        <v>0.48248284653412998</v>
      </c>
      <c r="BX35" s="12">
        <v>0.90811712575113102</v>
      </c>
      <c r="BZ35" s="13"/>
      <c r="CA35" s="13"/>
      <c r="CB35" s="13"/>
    </row>
    <row r="36" spans="1:80" x14ac:dyDescent="0.3">
      <c r="D36" s="17">
        <v>1</v>
      </c>
      <c r="E36" s="17">
        <v>0.9</v>
      </c>
      <c r="AG36" s="76">
        <v>0.7</v>
      </c>
      <c r="AH36" s="76">
        <v>-0.43425532430000002</v>
      </c>
      <c r="AI36" s="76">
        <v>0.4024780281</v>
      </c>
      <c r="BB36" s="18">
        <f t="shared" si="35"/>
        <v>-1.0352627315682701</v>
      </c>
      <c r="BC36" s="13"/>
      <c r="BD36" s="13"/>
      <c r="BE36" s="15">
        <f t="shared" si="33"/>
        <v>-1.0352627315682701</v>
      </c>
      <c r="BF36" s="23">
        <f t="shared" si="36"/>
        <v>-9.9216292444179954E-2</v>
      </c>
      <c r="BH36" s="24">
        <f t="shared" si="37"/>
        <v>0</v>
      </c>
      <c r="BI36" s="13"/>
      <c r="BJ36" s="17">
        <v>1.0352627315682701</v>
      </c>
      <c r="BK36" s="13">
        <v>-0.93884585193734604</v>
      </c>
      <c r="BL36" s="15">
        <f t="shared" si="38"/>
        <v>1.3975694820201809</v>
      </c>
      <c r="BM36" s="15">
        <f t="shared" si="34"/>
        <v>-0.21656179816249677</v>
      </c>
      <c r="BN36" s="23">
        <f t="shared" si="39"/>
        <v>0.21656179816249765</v>
      </c>
      <c r="BP36" s="11">
        <v>1.13447902401245</v>
      </c>
      <c r="BQ36" s="11">
        <v>-1.1482060502104701</v>
      </c>
      <c r="BR36" s="15">
        <f t="shared" si="40"/>
        <v>1.6141312801826777</v>
      </c>
      <c r="BS36" s="18">
        <f t="shared" si="41"/>
        <v>0.21656179816249765</v>
      </c>
      <c r="BT36" s="13"/>
      <c r="BU36" s="13"/>
      <c r="BV36" s="12">
        <v>1.0352627315682701</v>
      </c>
      <c r="BW36" s="12">
        <v>-0.93884585193734604</v>
      </c>
      <c r="BX36" s="12">
        <v>1.3975694820201801</v>
      </c>
      <c r="BZ36" s="13"/>
      <c r="CA36" s="13"/>
      <c r="CB36" s="13"/>
    </row>
    <row r="37" spans="1:80" x14ac:dyDescent="0.3">
      <c r="D37" s="17">
        <v>1</v>
      </c>
      <c r="E37" s="17">
        <v>1</v>
      </c>
      <c r="AG37" s="76">
        <v>0.8</v>
      </c>
      <c r="AH37" s="76">
        <v>-0.43652513120000003</v>
      </c>
      <c r="AI37" s="76">
        <v>0.4002082213</v>
      </c>
      <c r="BB37" s="18">
        <f t="shared" si="35"/>
        <v>0.22992529647193599</v>
      </c>
      <c r="BC37" s="13"/>
      <c r="BD37" s="13"/>
      <c r="BE37" s="15">
        <f t="shared" si="33"/>
        <v>0.22992529647193599</v>
      </c>
      <c r="BF37" s="23">
        <f t="shared" si="36"/>
        <v>9.8807992447594029E-2</v>
      </c>
      <c r="BH37" s="24">
        <f t="shared" si="37"/>
        <v>1.7763568394002505E-15</v>
      </c>
      <c r="BI37" s="13"/>
      <c r="BJ37" s="17">
        <v>-0.22992529647193599</v>
      </c>
      <c r="BK37" s="13">
        <v>-1.14351229870103</v>
      </c>
      <c r="BL37" s="15">
        <f t="shared" si="38"/>
        <v>1.1663987393847017</v>
      </c>
      <c r="BM37" s="15">
        <f t="shared" si="34"/>
        <v>-4.7935370049976944E-2</v>
      </c>
      <c r="BN37" s="23">
        <f t="shared" si="39"/>
        <v>4.7935370049978721E-2</v>
      </c>
      <c r="BP37" s="11">
        <v>-0.32873328891953002</v>
      </c>
      <c r="BQ37" s="11">
        <v>-1.16899176818858</v>
      </c>
      <c r="BR37" s="15">
        <f t="shared" si="40"/>
        <v>1.2143341094346787</v>
      </c>
      <c r="BS37" s="18">
        <f t="shared" si="41"/>
        <v>4.7935370049978721E-2</v>
      </c>
      <c r="BT37" s="13"/>
      <c r="BU37" s="13"/>
      <c r="BV37" s="12">
        <v>-0.22992529647193599</v>
      </c>
      <c r="BW37" s="12">
        <v>-1.14351229870103</v>
      </c>
      <c r="BX37" s="12">
        <v>1.1663987393847</v>
      </c>
      <c r="BZ37" s="13"/>
      <c r="CA37" s="13"/>
      <c r="CB37" s="13"/>
    </row>
    <row r="38" spans="1:80" x14ac:dyDescent="0.3">
      <c r="D38" s="17">
        <v>1</v>
      </c>
      <c r="E38" s="17">
        <v>1.1000000000000001</v>
      </c>
      <c r="AG38" s="76">
        <v>0.9</v>
      </c>
      <c r="AH38" s="76">
        <v>-0.43879493800000002</v>
      </c>
      <c r="AI38" s="76">
        <v>0.3979384144</v>
      </c>
      <c r="BB38" s="18">
        <f t="shared" si="35"/>
        <v>0.70798155275093599</v>
      </c>
      <c r="BC38" s="13"/>
      <c r="BD38" s="13"/>
      <c r="BE38" s="15">
        <f t="shared" si="33"/>
        <v>0.70798155275093599</v>
      </c>
      <c r="BF38" s="23">
        <f t="shared" si="36"/>
        <v>-4.513386348603543E-5</v>
      </c>
      <c r="BH38" s="24">
        <f t="shared" si="37"/>
        <v>0</v>
      </c>
      <c r="BI38" s="13"/>
      <c r="BJ38" s="17">
        <v>-0.70798155275093599</v>
      </c>
      <c r="BK38" s="13">
        <v>-0.128362412243583</v>
      </c>
      <c r="BL38" s="15">
        <f t="shared" si="38"/>
        <v>0.71952400092882085</v>
      </c>
      <c r="BM38" s="15">
        <f t="shared" si="34"/>
        <v>7.3095095250550468E-3</v>
      </c>
      <c r="BN38" s="23">
        <f t="shared" si="39"/>
        <v>-7.3095095250551578E-3</v>
      </c>
      <c r="BP38" s="11">
        <v>-0.70793641888744996</v>
      </c>
      <c r="BQ38" s="11">
        <v>-7.7945548803877704E-2</v>
      </c>
      <c r="BR38" s="15">
        <f t="shared" si="40"/>
        <v>0.7122144914037658</v>
      </c>
      <c r="BS38" s="18">
        <f t="shared" si="41"/>
        <v>-7.3095095250551578E-3</v>
      </c>
      <c r="BT38" s="13"/>
      <c r="BU38" s="13"/>
      <c r="BV38" s="12">
        <v>-0.70798155275093599</v>
      </c>
      <c r="BW38" s="12">
        <v>-0.128362412243583</v>
      </c>
      <c r="BX38" s="12">
        <v>0.71952400092882096</v>
      </c>
      <c r="BZ38" s="13"/>
      <c r="CA38" s="13"/>
      <c r="CB38" s="13"/>
    </row>
    <row r="39" spans="1:80" x14ac:dyDescent="0.3">
      <c r="D39" s="17">
        <v>1</v>
      </c>
      <c r="E39" s="17">
        <v>2</v>
      </c>
      <c r="AG39" s="76">
        <v>1</v>
      </c>
      <c r="AH39" s="76">
        <v>-0.44106474490000003</v>
      </c>
      <c r="AI39" s="76">
        <v>0.39566860749999999</v>
      </c>
      <c r="BB39" s="18">
        <f t="shared" si="35"/>
        <v>0.399900989440299</v>
      </c>
      <c r="BC39" s="13"/>
      <c r="BD39" s="13"/>
      <c r="BE39" s="15">
        <f t="shared" si="33"/>
        <v>0.399900989440299</v>
      </c>
      <c r="BF39" s="23">
        <f t="shared" si="36"/>
        <v>0.687177661150431</v>
      </c>
      <c r="BH39" s="24">
        <f t="shared" si="37"/>
        <v>7.3274719625260332E-15</v>
      </c>
      <c r="BI39" s="13"/>
      <c r="BJ39" s="17">
        <v>-0.399900989440299</v>
      </c>
      <c r="BK39" s="13">
        <v>-1.15921498375423</v>
      </c>
      <c r="BL39" s="15">
        <f t="shared" si="38"/>
        <v>1.2262545330866874</v>
      </c>
      <c r="BM39" s="15">
        <f t="shared" si="34"/>
        <v>-0.31053801398962677</v>
      </c>
      <c r="BN39" s="23">
        <f t="shared" si="39"/>
        <v>0.3105380139896341</v>
      </c>
      <c r="BP39" s="11">
        <v>-1.0870786505907299</v>
      </c>
      <c r="BQ39" s="11">
        <v>-1.08627406310707</v>
      </c>
      <c r="BR39" s="15">
        <f t="shared" si="40"/>
        <v>1.5367925470763142</v>
      </c>
      <c r="BS39" s="18">
        <f t="shared" si="41"/>
        <v>0.3105380139896341</v>
      </c>
      <c r="BT39" s="13"/>
      <c r="BU39" s="13"/>
      <c r="BV39" s="12">
        <v>-0.399900989440299</v>
      </c>
      <c r="BW39" s="12">
        <v>-1.15921498375423</v>
      </c>
      <c r="BX39" s="12">
        <v>1.2262545330866801</v>
      </c>
      <c r="BZ39" s="13"/>
      <c r="CA39" s="13"/>
      <c r="CB39" s="13"/>
    </row>
    <row r="40" spans="1:80" x14ac:dyDescent="0.3">
      <c r="D40" s="17">
        <v>1</v>
      </c>
      <c r="E40" s="17">
        <v>3</v>
      </c>
      <c r="BB40" s="18">
        <f t="shared" si="35"/>
        <v>-4.7864493687262404E-3</v>
      </c>
      <c r="BC40" s="13"/>
      <c r="BD40" s="13"/>
      <c r="BE40" s="15">
        <f t="shared" si="33"/>
        <v>-4.7864493687262404E-3</v>
      </c>
      <c r="BF40" s="23">
        <f t="shared" si="36"/>
        <v>-0.92258099903502278</v>
      </c>
      <c r="BH40" s="24">
        <f t="shared" si="37"/>
        <v>0</v>
      </c>
      <c r="BI40" s="13"/>
      <c r="BJ40" s="17">
        <v>4.7864493687262404E-3</v>
      </c>
      <c r="BK40" s="13">
        <v>0.82175618867133704</v>
      </c>
      <c r="BL40" s="15">
        <f t="shared" si="38"/>
        <v>0.82177012827018814</v>
      </c>
      <c r="BM40" s="15">
        <f t="shared" si="34"/>
        <v>-1.0214116298278069</v>
      </c>
      <c r="BN40" s="23">
        <f t="shared" si="39"/>
        <v>1.0214116298278069</v>
      </c>
      <c r="BP40" s="11">
        <v>0.92736744840374896</v>
      </c>
      <c r="BQ40" s="11">
        <v>1.59289315681446</v>
      </c>
      <c r="BR40" s="15">
        <f t="shared" si="40"/>
        <v>1.843181758097995</v>
      </c>
      <c r="BS40" s="18">
        <f t="shared" si="41"/>
        <v>1.0214116298278069</v>
      </c>
      <c r="BT40" s="13"/>
      <c r="BU40" s="13"/>
      <c r="BV40" s="12">
        <v>4.7864493687262404E-3</v>
      </c>
      <c r="BW40" s="12">
        <v>0.82175618867133704</v>
      </c>
      <c r="BX40" s="12">
        <v>0.82177012827018803</v>
      </c>
      <c r="BZ40" s="13"/>
      <c r="CA40" s="13"/>
      <c r="CB40" s="13"/>
    </row>
    <row r="41" spans="1:80" x14ac:dyDescent="0.3">
      <c r="D41" s="17">
        <v>1</v>
      </c>
      <c r="E41" s="17">
        <v>4</v>
      </c>
      <c r="BB41" s="18">
        <f t="shared" si="35"/>
        <v>-1.19360888306646</v>
      </c>
      <c r="BC41" s="13"/>
      <c r="BD41" s="13"/>
      <c r="BE41" s="15">
        <f t="shared" si="33"/>
        <v>-1.19360888306646</v>
      </c>
      <c r="BF41" s="23">
        <f t="shared" si="36"/>
        <v>-0.73891400627056014</v>
      </c>
      <c r="BH41" s="24">
        <f t="shared" si="37"/>
        <v>-8.4376949871511897E-15</v>
      </c>
      <c r="BI41" s="13"/>
      <c r="BJ41" s="17">
        <v>1.19360888306646</v>
      </c>
      <c r="BK41" s="13">
        <v>0.496629044835463</v>
      </c>
      <c r="BL41" s="15">
        <f t="shared" si="38"/>
        <v>1.2928041514124815</v>
      </c>
      <c r="BM41" s="15">
        <f t="shared" si="34"/>
        <v>-0.64131133535788676</v>
      </c>
      <c r="BN41" s="23">
        <f t="shared" si="39"/>
        <v>0.64131133535787832</v>
      </c>
      <c r="BP41" s="11">
        <v>1.9325228893370201</v>
      </c>
      <c r="BQ41" s="11">
        <v>-7.8472914776207103E-2</v>
      </c>
      <c r="BR41" s="15">
        <f t="shared" si="40"/>
        <v>1.9341154867703683</v>
      </c>
      <c r="BS41" s="18">
        <f t="shared" si="41"/>
        <v>0.64131133535787832</v>
      </c>
      <c r="BT41" s="13"/>
      <c r="BU41" s="13"/>
      <c r="BV41" s="12">
        <v>1.19360888306646</v>
      </c>
      <c r="BW41" s="12">
        <v>0.496629044835463</v>
      </c>
      <c r="BX41" s="12">
        <v>1.2928041514124899</v>
      </c>
      <c r="BZ41" s="13"/>
      <c r="CA41" s="13"/>
      <c r="CB41" s="13"/>
    </row>
    <row r="42" spans="1:80" x14ac:dyDescent="0.3">
      <c r="D42" s="17">
        <v>1</v>
      </c>
      <c r="E42" s="17">
        <v>8</v>
      </c>
      <c r="BB42" s="18">
        <f t="shared" si="35"/>
        <v>-1.45090533050273</v>
      </c>
      <c r="BC42" s="13"/>
      <c r="BD42" s="13"/>
      <c r="BE42" s="15">
        <f t="shared" si="33"/>
        <v>-1.45090533050273</v>
      </c>
      <c r="BF42" s="23">
        <f t="shared" si="36"/>
        <v>-0.21421387912547996</v>
      </c>
      <c r="BH42" s="24">
        <f t="shared" si="37"/>
        <v>4.8849813083506888E-15</v>
      </c>
      <c r="BI42" s="13"/>
      <c r="BJ42" s="17">
        <v>1.45090533050273</v>
      </c>
      <c r="BK42" s="13">
        <v>-0.65282312338162096</v>
      </c>
      <c r="BL42" s="15">
        <f t="shared" si="38"/>
        <v>1.5910073250940648</v>
      </c>
      <c r="BM42" s="15">
        <f t="shared" si="34"/>
        <v>-8.2268233429405369E-2</v>
      </c>
      <c r="BN42" s="23">
        <f t="shared" si="39"/>
        <v>8.2268233429410254E-2</v>
      </c>
      <c r="BP42" s="11">
        <v>1.6651192096282099</v>
      </c>
      <c r="BQ42" s="11">
        <v>-0.16501246158747199</v>
      </c>
      <c r="BR42" s="15">
        <f t="shared" si="40"/>
        <v>1.6732755585234702</v>
      </c>
      <c r="BS42" s="18">
        <f t="shared" si="41"/>
        <v>8.2268233429410254E-2</v>
      </c>
      <c r="BT42" s="13"/>
      <c r="BU42" s="13"/>
      <c r="BV42" s="12">
        <v>1.45090533050273</v>
      </c>
      <c r="BW42" s="12">
        <v>-0.65282312338162096</v>
      </c>
      <c r="BX42" s="12">
        <v>1.59100732509406</v>
      </c>
      <c r="BZ42" s="13"/>
      <c r="CA42" s="13"/>
      <c r="CB42" s="13"/>
    </row>
    <row r="43" spans="1:80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E43" s="17"/>
      <c r="BF43" s="17"/>
      <c r="BG43" s="8"/>
      <c r="BM43" s="17"/>
      <c r="BN43" s="17"/>
      <c r="BO43" s="8"/>
      <c r="BP43" s="17"/>
    </row>
    <row r="44" spans="1:80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E44" s="17"/>
      <c r="BF44" s="17"/>
      <c r="BG44" s="17"/>
      <c r="BM44" s="17"/>
      <c r="BN44" s="17"/>
      <c r="BO44" s="17"/>
    </row>
    <row r="45" spans="1:80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E45" s="13" t="s">
        <v>41</v>
      </c>
      <c r="BM45" s="13" t="s">
        <v>41</v>
      </c>
      <c r="BQ45" s="17"/>
      <c r="BR45" s="17"/>
    </row>
    <row r="46" spans="1:80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Q46" s="17"/>
      <c r="BR46" s="17"/>
    </row>
    <row r="47" spans="1:80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 t="s">
        <v>30</v>
      </c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 t="s">
        <v>21</v>
      </c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BE47" s="13" t="s">
        <v>38</v>
      </c>
      <c r="BF47" s="13" t="s">
        <v>37</v>
      </c>
      <c r="BG47" s="3">
        <v>0.59154030956589698</v>
      </c>
      <c r="BM47" s="13" t="s">
        <v>38</v>
      </c>
      <c r="BN47" s="13" t="s">
        <v>37</v>
      </c>
      <c r="BO47" s="3">
        <v>0.59154030956589698</v>
      </c>
      <c r="BQ47" s="17"/>
      <c r="BR47" s="17"/>
    </row>
    <row r="48" spans="1:80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>
        <v>0.43490099999999998</v>
      </c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>
        <v>1</v>
      </c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BE48" s="13" t="s">
        <v>39</v>
      </c>
      <c r="BG48" s="13">
        <v>0.59199999999999997</v>
      </c>
      <c r="BM48" s="13" t="s">
        <v>39</v>
      </c>
      <c r="BO48" s="13">
        <v>0.59199999999999997</v>
      </c>
      <c r="BQ48" s="17"/>
      <c r="BR48" s="17"/>
    </row>
    <row r="49" spans="1:70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>
        <v>0.43490200000000001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>
        <v>1</v>
      </c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BE49" s="13" t="s">
        <v>40</v>
      </c>
      <c r="BF49" s="13" t="s">
        <v>36</v>
      </c>
      <c r="BG49" s="13">
        <v>0.59242910402239002</v>
      </c>
      <c r="BM49" s="13" t="s">
        <v>40</v>
      </c>
      <c r="BN49" s="13" t="s">
        <v>36</v>
      </c>
      <c r="BO49" s="13">
        <v>0.59242910402239002</v>
      </c>
      <c r="BQ49" s="17"/>
      <c r="BR49" s="17"/>
    </row>
    <row r="50" spans="1:70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>
        <v>0.43490299999999998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>
        <v>1</v>
      </c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BG50" s="13">
        <v>-0.364877719018873</v>
      </c>
      <c r="BO50" s="13">
        <v>-0.364877719018873</v>
      </c>
      <c r="BP50" s="13">
        <v>3.5277430225033601E-2</v>
      </c>
      <c r="BQ50" s="13">
        <v>0.36657911413458599</v>
      </c>
      <c r="BR50" s="17"/>
    </row>
    <row r="51" spans="1:70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>
        <v>0.43490499999999999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>
        <v>1</v>
      </c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BE51" s="17"/>
      <c r="BF51" s="17"/>
      <c r="BG51" s="17"/>
      <c r="BM51" s="17"/>
      <c r="BN51" s="17"/>
      <c r="BO51" s="17"/>
    </row>
    <row r="52" spans="1:70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>
        <v>0.43490800000000002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>
        <v>1</v>
      </c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BE52" s="17"/>
      <c r="BF52" s="17"/>
      <c r="BG52" s="17"/>
      <c r="BM52" s="17"/>
      <c r="BN52" s="17"/>
      <c r="BO52" s="17"/>
    </row>
    <row r="53" spans="1:70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>
        <v>0.59165999999999996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>
        <v>2</v>
      </c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BE53" s="17"/>
      <c r="BF53" s="17"/>
      <c r="BG53" s="17"/>
      <c r="BM53" s="17"/>
      <c r="BN53" s="17"/>
      <c r="BO53" s="17"/>
    </row>
    <row r="54" spans="1:70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>
        <v>0.59166200000000002</v>
      </c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>
        <v>2</v>
      </c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BE54" s="17"/>
      <c r="BF54" s="17"/>
      <c r="BG54" s="17"/>
      <c r="BM54" s="17"/>
      <c r="BN54" s="17"/>
      <c r="BO54" s="17"/>
    </row>
    <row r="55" spans="1:70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>
        <v>0.591669</v>
      </c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>
        <v>2</v>
      </c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BE55" s="17"/>
      <c r="BF55" s="17"/>
      <c r="BG55" s="17"/>
      <c r="BM55" s="17"/>
      <c r="BN55" s="17"/>
      <c r="BO55" s="17"/>
    </row>
    <row r="56" spans="1:70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>
        <v>0.59167899999999995</v>
      </c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>
        <v>2</v>
      </c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BE56" s="17"/>
      <c r="BF56" s="17"/>
      <c r="BG56" s="17"/>
      <c r="BM56" s="17"/>
      <c r="BN56" s="17"/>
      <c r="BO56" s="17"/>
    </row>
    <row r="57" spans="1:70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>
        <v>0.59169499999999997</v>
      </c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>
        <v>2</v>
      </c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BE57" s="17"/>
      <c r="BF57" s="17"/>
      <c r="BG57" s="17"/>
      <c r="BM57" s="17"/>
      <c r="BN57" s="17"/>
      <c r="BO57" s="17"/>
    </row>
    <row r="58" spans="1:70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E58" s="17"/>
      <c r="BF58" s="17"/>
      <c r="BG58" s="17"/>
      <c r="BM58" s="17"/>
      <c r="BN58" s="17"/>
      <c r="BO58" s="17"/>
    </row>
    <row r="59" spans="1:70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43" t="s">
        <v>21</v>
      </c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17"/>
      <c r="AW59" s="17"/>
      <c r="AX59" s="17"/>
      <c r="AY59" s="17"/>
      <c r="AZ59" s="17"/>
      <c r="BA59" s="17"/>
      <c r="BE59" s="17"/>
      <c r="BF59" s="17"/>
      <c r="BG59" s="17"/>
      <c r="BM59" s="17"/>
      <c r="BN59" s="17"/>
      <c r="BO59" s="17"/>
    </row>
    <row r="60" spans="1:70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43">
        <v>1</v>
      </c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17"/>
      <c r="AW60" s="17"/>
      <c r="AX60" s="17"/>
      <c r="AY60" s="17"/>
      <c r="AZ60" s="17"/>
      <c r="BA60" s="17"/>
      <c r="BE60" s="17"/>
      <c r="BF60" s="17"/>
      <c r="BG60" s="17"/>
      <c r="BM60" s="17"/>
      <c r="BN60" s="17"/>
      <c r="BO60" s="17"/>
    </row>
    <row r="61" spans="1:70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43">
        <v>1</v>
      </c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17"/>
      <c r="AW61" s="17"/>
      <c r="AX61" s="17"/>
      <c r="AY61" s="17"/>
      <c r="AZ61" s="17"/>
      <c r="BA61" s="17"/>
      <c r="BE61" s="17"/>
      <c r="BF61" s="17"/>
      <c r="BG61" s="17"/>
      <c r="BM61" s="17"/>
      <c r="BN61" s="17"/>
      <c r="BO61" s="17"/>
    </row>
    <row r="62" spans="1:70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43">
        <v>1</v>
      </c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17"/>
      <c r="AW62" s="17"/>
      <c r="AX62" s="17"/>
      <c r="AY62" s="17"/>
      <c r="AZ62" s="17"/>
      <c r="BA62" s="17"/>
      <c r="BE62" s="17"/>
      <c r="BF62" s="17"/>
      <c r="BG62" s="17"/>
      <c r="BM62" s="17"/>
      <c r="BN62" s="17"/>
      <c r="BO62" s="17"/>
    </row>
    <row r="63" spans="1:70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43">
        <v>1</v>
      </c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17"/>
      <c r="AW63" s="17"/>
      <c r="AX63" s="17"/>
      <c r="AY63" s="17"/>
      <c r="AZ63" s="17"/>
      <c r="BA63" s="17"/>
      <c r="BE63" s="17"/>
      <c r="BF63" s="17"/>
      <c r="BG63" s="17"/>
      <c r="BM63" s="17"/>
      <c r="BN63" s="17"/>
      <c r="BO63" s="17"/>
    </row>
    <row r="64" spans="1:70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43">
        <v>1</v>
      </c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17"/>
      <c r="AW64" s="17"/>
      <c r="AX64" s="17"/>
      <c r="AY64" s="17"/>
      <c r="AZ64" s="17"/>
      <c r="BA64" s="17"/>
      <c r="BE64" s="17"/>
      <c r="BF64" s="17"/>
      <c r="BG64" s="17"/>
      <c r="BM64" s="17"/>
      <c r="BN64" s="17"/>
      <c r="BO64" s="17"/>
    </row>
    <row r="65" spans="1:67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43">
        <v>2</v>
      </c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17"/>
      <c r="AW65" s="17"/>
      <c r="AX65" s="17"/>
      <c r="AY65" s="17"/>
      <c r="AZ65" s="17"/>
      <c r="BA65" s="17"/>
      <c r="BE65" s="17"/>
      <c r="BF65" s="17"/>
      <c r="BG65" s="17"/>
      <c r="BM65" s="17"/>
      <c r="BN65" s="17"/>
      <c r="BO65" s="17"/>
    </row>
    <row r="66" spans="1:67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43">
        <v>2</v>
      </c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17"/>
      <c r="AW66" s="17"/>
      <c r="AX66" s="17"/>
      <c r="AY66" s="17"/>
      <c r="AZ66" s="17"/>
      <c r="BA66" s="17"/>
      <c r="BE66" s="17"/>
      <c r="BF66" s="17"/>
      <c r="BG66" s="17"/>
      <c r="BM66" s="17"/>
      <c r="BN66" s="17"/>
      <c r="BO66" s="17"/>
    </row>
    <row r="67" spans="1:67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43">
        <v>2</v>
      </c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17"/>
      <c r="AW67" s="17"/>
      <c r="AX67" s="17"/>
      <c r="AY67" s="17"/>
      <c r="AZ67" s="17"/>
      <c r="BA67" s="17"/>
      <c r="BE67" s="17"/>
      <c r="BF67" s="17"/>
      <c r="BG67" s="17"/>
      <c r="BM67" s="17"/>
      <c r="BN67" s="17"/>
      <c r="BO67" s="17"/>
    </row>
    <row r="68" spans="1:67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43">
        <v>2</v>
      </c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17"/>
      <c r="AW68" s="17"/>
      <c r="AX68" s="17"/>
      <c r="AY68" s="17"/>
      <c r="AZ68" s="17"/>
      <c r="BA68" s="17"/>
      <c r="BE68" s="17"/>
      <c r="BF68" s="17"/>
      <c r="BG68" s="17"/>
      <c r="BM68" s="17"/>
      <c r="BN68" s="17"/>
      <c r="BO68" s="17"/>
    </row>
    <row r="69" spans="1:67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43">
        <v>2</v>
      </c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17"/>
      <c r="AW69" s="17"/>
      <c r="AX69" s="17"/>
      <c r="AY69" s="17"/>
      <c r="AZ69" s="17"/>
      <c r="BA69" s="17"/>
      <c r="BE69" s="17"/>
      <c r="BF69" s="17"/>
      <c r="BG69" s="17"/>
      <c r="BM69" s="17"/>
      <c r="BN69" s="17"/>
      <c r="BO69" s="17"/>
    </row>
    <row r="70" spans="1:67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E70" s="17"/>
      <c r="BF70" s="17"/>
      <c r="BG70" s="17"/>
      <c r="BM70" s="17"/>
      <c r="BN70" s="17"/>
      <c r="BO70" s="17"/>
    </row>
    <row r="71" spans="1:67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E71" s="17"/>
      <c r="BF71" s="17"/>
      <c r="BG71" s="17"/>
      <c r="BM71" s="17"/>
      <c r="BN71" s="17"/>
      <c r="BO71" s="17"/>
    </row>
    <row r="72" spans="1:67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E72" s="17"/>
      <c r="BF72" s="17"/>
      <c r="BG72" s="17"/>
      <c r="BM72" s="17"/>
      <c r="BN72" s="17"/>
      <c r="BO72" s="17"/>
    </row>
    <row r="73" spans="1:67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E73" s="17"/>
      <c r="BF73" s="17"/>
      <c r="BG73" s="17"/>
      <c r="BM73" s="17"/>
      <c r="BN73" s="17"/>
      <c r="BO73" s="17"/>
    </row>
    <row r="74" spans="1:67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E74" s="17"/>
      <c r="BF74" s="17"/>
      <c r="BG74" s="17"/>
      <c r="BM74" s="17"/>
      <c r="BN74" s="17"/>
      <c r="BO74" s="17"/>
    </row>
    <row r="75" spans="1:67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E75" s="17"/>
      <c r="BF75" s="17"/>
      <c r="BG75" s="17"/>
      <c r="BM75" s="17"/>
      <c r="BN75" s="17"/>
      <c r="BO75" s="17"/>
    </row>
    <row r="76" spans="1:67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E76" s="17"/>
      <c r="BF76" s="17"/>
      <c r="BG76" s="17"/>
      <c r="BM76" s="17"/>
      <c r="BN76" s="17"/>
      <c r="BO76" s="17"/>
    </row>
    <row r="77" spans="1:67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E77" s="17"/>
      <c r="BF77" s="17"/>
      <c r="BG77" s="17"/>
      <c r="BM77" s="17"/>
      <c r="BN77" s="17"/>
      <c r="BO77" s="17"/>
    </row>
    <row r="78" spans="1:67" x14ac:dyDescent="0.3">
      <c r="BH78" s="13"/>
      <c r="BI78" s="13"/>
      <c r="BJ78" s="13"/>
    </row>
    <row r="79" spans="1:67" x14ac:dyDescent="0.3">
      <c r="BH79" s="13"/>
      <c r="BI79" s="13"/>
      <c r="BJ79" s="13"/>
    </row>
    <row r="80" spans="1:67" x14ac:dyDescent="0.3">
      <c r="BH80" s="13"/>
      <c r="BI80" s="13"/>
      <c r="BJ80" s="13"/>
    </row>
    <row r="81" spans="60:62" x14ac:dyDescent="0.3">
      <c r="BH81" s="13"/>
      <c r="BI81" s="13"/>
      <c r="BJ81" s="13"/>
    </row>
    <row r="82" spans="60:62" x14ac:dyDescent="0.3">
      <c r="BH82" s="13"/>
      <c r="BI82" s="13"/>
      <c r="BJ82" s="13"/>
    </row>
    <row r="83" spans="60:62" x14ac:dyDescent="0.3">
      <c r="BH83" s="13"/>
      <c r="BI83" s="13"/>
      <c r="BJ83" s="13"/>
    </row>
    <row r="84" spans="60:62" x14ac:dyDescent="0.3">
      <c r="BH84" s="13"/>
      <c r="BI84" s="13"/>
      <c r="BJ84" s="13"/>
    </row>
    <row r="85" spans="60:62" x14ac:dyDescent="0.3">
      <c r="BH85" s="13"/>
      <c r="BI85" s="13"/>
      <c r="BJ85" s="13"/>
    </row>
    <row r="86" spans="60:62" x14ac:dyDescent="0.3">
      <c r="BH86" s="13"/>
      <c r="BI86" s="13"/>
      <c r="BJ86" s="13"/>
    </row>
    <row r="87" spans="60:62" x14ac:dyDescent="0.3">
      <c r="BH87" s="13"/>
      <c r="BI87" s="13"/>
      <c r="BJ87" s="13"/>
    </row>
    <row r="88" spans="60:62" x14ac:dyDescent="0.3">
      <c r="BH88" s="13"/>
      <c r="BI88" s="13"/>
      <c r="BJ88" s="13"/>
    </row>
    <row r="89" spans="60:62" x14ac:dyDescent="0.3">
      <c r="BH89" s="13"/>
      <c r="BI89" s="13"/>
      <c r="BJ89" s="13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0FBF-538C-443C-B11A-6439CE8C063C}">
  <dimension ref="A1:Y65"/>
  <sheetViews>
    <sheetView workbookViewId="0">
      <selection activeCell="A2" sqref="A2:A65"/>
    </sheetView>
  </sheetViews>
  <sheetFormatPr defaultRowHeight="14.4" x14ac:dyDescent="0.3"/>
  <cols>
    <col min="7" max="7" width="12.21875" customWidth="1"/>
    <col min="9" max="9" width="12.21875" customWidth="1"/>
  </cols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 s="44">
        <v>-0.41780845290741098</v>
      </c>
      <c r="H2" s="44">
        <v>0.41836309733543903</v>
      </c>
      <c r="I2" s="44">
        <v>0.59126270348550403</v>
      </c>
      <c r="J2" s="44">
        <v>3.7043029999999998E-9</v>
      </c>
      <c r="K2" s="44">
        <v>8.0200870000000003E-12</v>
      </c>
      <c r="L2">
        <v>1</v>
      </c>
      <c r="M2" s="44">
        <v>0.41836667621661899</v>
      </c>
      <c r="N2" s="44">
        <v>-0.41836667621661899</v>
      </c>
      <c r="O2">
        <v>15000</v>
      </c>
      <c r="P2">
        <v>16</v>
      </c>
      <c r="Q2">
        <v>1</v>
      </c>
      <c r="R2">
        <v>1</v>
      </c>
      <c r="S2">
        <v>2</v>
      </c>
      <c r="T2">
        <v>0.01</v>
      </c>
      <c r="U2">
        <v>16</v>
      </c>
      <c r="V2">
        <v>0</v>
      </c>
      <c r="W2">
        <v>0</v>
      </c>
      <c r="X2">
        <v>491.9</v>
      </c>
      <c r="Y2" t="s">
        <v>98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 s="44">
        <v>0.417861702687848</v>
      </c>
      <c r="H3" s="44">
        <v>-0.41843066752020502</v>
      </c>
      <c r="I3" s="44">
        <v>0.59134814288589099</v>
      </c>
      <c r="J3" s="44">
        <v>3.7916119999999997E-9</v>
      </c>
      <c r="K3" s="44">
        <v>4.1412460000000001E-12</v>
      </c>
      <c r="L3">
        <v>1</v>
      </c>
      <c r="M3" s="44">
        <v>0.41836667621661899</v>
      </c>
      <c r="N3" s="44">
        <v>-0.41836667621661899</v>
      </c>
      <c r="O3">
        <v>15000</v>
      </c>
      <c r="P3">
        <v>16</v>
      </c>
      <c r="Q3">
        <v>1</v>
      </c>
      <c r="R3">
        <v>1</v>
      </c>
      <c r="S3">
        <v>2</v>
      </c>
      <c r="T3">
        <v>0.01</v>
      </c>
      <c r="U3">
        <v>16</v>
      </c>
      <c r="V3">
        <v>0</v>
      </c>
      <c r="W3">
        <v>0</v>
      </c>
      <c r="X3">
        <v>458.2</v>
      </c>
      <c r="Y3" t="s">
        <v>99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 s="44">
        <v>-0.41783636269690799</v>
      </c>
      <c r="H4" s="44">
        <v>0.41846257303435103</v>
      </c>
      <c r="I4" s="44">
        <v>0.59135281433532705</v>
      </c>
      <c r="J4" s="44">
        <v>3.6474900000000002E-9</v>
      </c>
      <c r="K4" s="44">
        <v>5.3182339999999999E-12</v>
      </c>
      <c r="L4">
        <v>1</v>
      </c>
      <c r="M4" s="44">
        <v>0.41836667621661899</v>
      </c>
      <c r="N4" s="44">
        <v>-0.41836667621661899</v>
      </c>
      <c r="O4">
        <v>15000</v>
      </c>
      <c r="P4">
        <v>16</v>
      </c>
      <c r="Q4">
        <v>1</v>
      </c>
      <c r="R4">
        <v>1</v>
      </c>
      <c r="S4">
        <v>2</v>
      </c>
      <c r="T4">
        <v>0.01</v>
      </c>
      <c r="U4">
        <v>16</v>
      </c>
      <c r="V4">
        <v>0</v>
      </c>
      <c r="W4">
        <v>0</v>
      </c>
      <c r="X4">
        <v>451.7</v>
      </c>
      <c r="Y4" t="s">
        <v>100</v>
      </c>
    </row>
    <row r="5" spans="1:25" x14ac:dyDescent="0.3">
      <c r="A5">
        <v>0.05</v>
      </c>
      <c r="B5">
        <v>42</v>
      </c>
      <c r="C5">
        <v>1</v>
      </c>
      <c r="D5">
        <v>0.05</v>
      </c>
      <c r="E5" t="s">
        <v>26</v>
      </c>
      <c r="F5">
        <v>0</v>
      </c>
      <c r="G5" s="45">
        <v>-0.41888723604943401</v>
      </c>
      <c r="H5" s="44">
        <v>0.41713875947696</v>
      </c>
      <c r="I5" s="45">
        <v>0.59116094355353999</v>
      </c>
      <c r="J5" s="44">
        <v>6.8352619999999998E-6</v>
      </c>
      <c r="K5" s="44">
        <v>1.272085E-5</v>
      </c>
      <c r="L5">
        <v>0.99998799999999999</v>
      </c>
      <c r="M5" s="44">
        <v>0.41836667621661899</v>
      </c>
      <c r="N5" s="44">
        <v>-0.41836667621661899</v>
      </c>
      <c r="O5">
        <v>6000</v>
      </c>
      <c r="P5">
        <v>16</v>
      </c>
      <c r="Q5">
        <v>1</v>
      </c>
      <c r="R5">
        <v>1</v>
      </c>
      <c r="S5">
        <v>2</v>
      </c>
      <c r="T5">
        <v>0.01</v>
      </c>
      <c r="U5">
        <v>16</v>
      </c>
      <c r="V5">
        <v>0</v>
      </c>
      <c r="W5">
        <v>0</v>
      </c>
      <c r="X5">
        <v>195.5</v>
      </c>
      <c r="Y5" t="s">
        <v>101</v>
      </c>
    </row>
    <row r="6" spans="1:25" x14ac:dyDescent="0.3">
      <c r="A6">
        <v>0.05</v>
      </c>
      <c r="B6">
        <v>45</v>
      </c>
      <c r="C6">
        <v>1</v>
      </c>
      <c r="D6">
        <v>0.05</v>
      </c>
      <c r="E6" t="s">
        <v>26</v>
      </c>
      <c r="F6">
        <v>0</v>
      </c>
      <c r="G6" s="45">
        <v>0.41888896960595501</v>
      </c>
      <c r="H6" s="44">
        <v>-0.41735356748021502</v>
      </c>
      <c r="I6" s="45">
        <v>0.59131376539532898</v>
      </c>
      <c r="J6" s="44">
        <v>6.2727479999999997E-6</v>
      </c>
      <c r="K6" s="44">
        <v>9.4622590000000004E-6</v>
      </c>
      <c r="L6">
        <v>0.99998900000000002</v>
      </c>
      <c r="M6" s="44">
        <v>0.41836667621661899</v>
      </c>
      <c r="N6" s="44">
        <v>-0.41836667621661899</v>
      </c>
      <c r="O6">
        <v>6000</v>
      </c>
      <c r="P6">
        <v>16</v>
      </c>
      <c r="Q6">
        <v>1</v>
      </c>
      <c r="R6">
        <v>1</v>
      </c>
      <c r="S6">
        <v>2</v>
      </c>
      <c r="T6">
        <v>0.01</v>
      </c>
      <c r="U6">
        <v>16</v>
      </c>
      <c r="V6">
        <v>0</v>
      </c>
      <c r="W6">
        <v>0</v>
      </c>
      <c r="X6">
        <v>183.4</v>
      </c>
      <c r="Y6" t="s">
        <v>102</v>
      </c>
    </row>
    <row r="7" spans="1:25" x14ac:dyDescent="0.3">
      <c r="A7">
        <v>0.05</v>
      </c>
      <c r="B7">
        <v>99</v>
      </c>
      <c r="C7">
        <v>1</v>
      </c>
      <c r="D7">
        <v>0.05</v>
      </c>
      <c r="E7" t="s">
        <v>26</v>
      </c>
      <c r="F7">
        <v>0</v>
      </c>
      <c r="G7" s="45">
        <v>-0.41894260579363501</v>
      </c>
      <c r="H7" s="44">
        <v>0.41718057512771201</v>
      </c>
      <c r="I7" s="45">
        <v>0.59122968397489095</v>
      </c>
      <c r="J7" s="44">
        <v>6.876082E-6</v>
      </c>
      <c r="K7" s="44">
        <v>9.4305480000000002E-6</v>
      </c>
      <c r="L7">
        <v>0.99998699999999996</v>
      </c>
      <c r="M7" s="44">
        <v>0.41836667621661899</v>
      </c>
      <c r="N7" s="44">
        <v>-0.41836667621661899</v>
      </c>
      <c r="O7">
        <v>6000</v>
      </c>
      <c r="P7">
        <v>16</v>
      </c>
      <c r="Q7">
        <v>1</v>
      </c>
      <c r="R7">
        <v>1</v>
      </c>
      <c r="S7">
        <v>2</v>
      </c>
      <c r="T7">
        <v>0.01</v>
      </c>
      <c r="U7">
        <v>16</v>
      </c>
      <c r="V7">
        <v>0</v>
      </c>
      <c r="W7">
        <v>0</v>
      </c>
      <c r="X7">
        <v>178.6</v>
      </c>
      <c r="Y7" t="s">
        <v>103</v>
      </c>
    </row>
    <row r="8" spans="1:25" x14ac:dyDescent="0.3">
      <c r="A8">
        <v>0.1</v>
      </c>
      <c r="B8">
        <v>42</v>
      </c>
      <c r="C8">
        <v>2</v>
      </c>
      <c r="D8">
        <v>0.1</v>
      </c>
      <c r="E8" t="s">
        <v>26</v>
      </c>
      <c r="F8">
        <v>0.05</v>
      </c>
      <c r="G8" s="44">
        <v>-0.41985514395877999</v>
      </c>
      <c r="H8" s="44">
        <v>0.41619351749012401</v>
      </c>
      <c r="I8" s="44">
        <v>0.59118134773472897</v>
      </c>
      <c r="J8" s="44">
        <v>1.273738E-5</v>
      </c>
      <c r="K8" s="44">
        <v>4.7224020000000002E-5</v>
      </c>
      <c r="L8">
        <v>0.99995800000000001</v>
      </c>
      <c r="M8" s="44">
        <v>0.41836667621661899</v>
      </c>
      <c r="N8" s="44">
        <v>-0.41836667621661899</v>
      </c>
      <c r="O8">
        <v>6000</v>
      </c>
      <c r="P8">
        <v>16</v>
      </c>
      <c r="Q8">
        <v>1</v>
      </c>
      <c r="R8">
        <v>1</v>
      </c>
      <c r="S8">
        <v>2</v>
      </c>
      <c r="T8">
        <v>0.01</v>
      </c>
      <c r="U8">
        <v>16</v>
      </c>
      <c r="V8">
        <v>0</v>
      </c>
      <c r="W8">
        <v>0</v>
      </c>
      <c r="X8">
        <v>200.7</v>
      </c>
      <c r="Y8" t="s">
        <v>104</v>
      </c>
    </row>
    <row r="9" spans="1:25" x14ac:dyDescent="0.3">
      <c r="A9">
        <v>0.1</v>
      </c>
      <c r="B9">
        <v>45</v>
      </c>
      <c r="C9">
        <v>2</v>
      </c>
      <c r="D9">
        <v>0.1</v>
      </c>
      <c r="E9" t="s">
        <v>26</v>
      </c>
      <c r="F9">
        <v>0.05</v>
      </c>
      <c r="G9" s="44">
        <v>0.41992406119997899</v>
      </c>
      <c r="H9" s="44">
        <v>-0.416237163741142</v>
      </c>
      <c r="I9" s="44">
        <v>0.59126101990064694</v>
      </c>
      <c r="J9" s="44">
        <v>1.210061E-5</v>
      </c>
      <c r="K9" s="44">
        <v>3.7124759999999998E-5</v>
      </c>
      <c r="L9">
        <v>0.99995900000000004</v>
      </c>
      <c r="M9" s="44">
        <v>0.41836667621661899</v>
      </c>
      <c r="N9" s="44">
        <v>-0.41836667621661899</v>
      </c>
      <c r="O9">
        <v>6000</v>
      </c>
      <c r="P9">
        <v>16</v>
      </c>
      <c r="Q9">
        <v>1</v>
      </c>
      <c r="R9">
        <v>1</v>
      </c>
      <c r="S9">
        <v>2</v>
      </c>
      <c r="T9">
        <v>0.01</v>
      </c>
      <c r="U9">
        <v>16</v>
      </c>
      <c r="V9">
        <v>0</v>
      </c>
      <c r="W9">
        <v>0</v>
      </c>
      <c r="X9">
        <v>183.2</v>
      </c>
      <c r="Y9" t="s">
        <v>105</v>
      </c>
    </row>
    <row r="10" spans="1:25" x14ac:dyDescent="0.3">
      <c r="A10">
        <v>0.1</v>
      </c>
      <c r="B10">
        <v>99</v>
      </c>
      <c r="C10">
        <v>2</v>
      </c>
      <c r="D10">
        <v>0.1</v>
      </c>
      <c r="E10" t="s">
        <v>26</v>
      </c>
      <c r="F10">
        <v>0.05</v>
      </c>
      <c r="G10" s="44">
        <v>-0.41995995686236998</v>
      </c>
      <c r="H10" s="44">
        <v>0.41615913924433701</v>
      </c>
      <c r="I10" s="44">
        <v>0.591231591294335</v>
      </c>
      <c r="J10" s="44">
        <v>1.309457E-5</v>
      </c>
      <c r="K10" s="44">
        <v>3.407139E-5</v>
      </c>
      <c r="L10">
        <v>0.99995199999999995</v>
      </c>
      <c r="M10" s="44">
        <v>0.41836667621661899</v>
      </c>
      <c r="N10" s="44">
        <v>-0.41836667621661899</v>
      </c>
      <c r="O10">
        <v>6000</v>
      </c>
      <c r="P10">
        <v>16</v>
      </c>
      <c r="Q10">
        <v>1</v>
      </c>
      <c r="R10">
        <v>1</v>
      </c>
      <c r="S10">
        <v>2</v>
      </c>
      <c r="T10">
        <v>0.01</v>
      </c>
      <c r="U10">
        <v>16</v>
      </c>
      <c r="V10">
        <v>0</v>
      </c>
      <c r="W10">
        <v>0</v>
      </c>
      <c r="X10">
        <v>181.6</v>
      </c>
      <c r="Y10" t="s">
        <v>106</v>
      </c>
    </row>
    <row r="11" spans="1:25" x14ac:dyDescent="0.3">
      <c r="A11">
        <v>0.2</v>
      </c>
      <c r="B11">
        <v>42</v>
      </c>
      <c r="C11">
        <v>3</v>
      </c>
      <c r="D11">
        <v>0.2</v>
      </c>
      <c r="E11" t="s">
        <v>26</v>
      </c>
      <c r="F11">
        <v>0.1</v>
      </c>
      <c r="G11" s="45">
        <v>-0.43903701064051498</v>
      </c>
      <c r="H11" s="44">
        <v>0.40568558198158</v>
      </c>
      <c r="I11" s="45">
        <v>0.59777444587393702</v>
      </c>
      <c r="J11" s="44">
        <v>2.3557860000000001E-5</v>
      </c>
      <c r="K11" s="44">
        <v>1.6229570000000001E-4</v>
      </c>
      <c r="L11">
        <v>0.999861</v>
      </c>
      <c r="M11" s="44">
        <v>0.41836667621661899</v>
      </c>
      <c r="N11" s="44">
        <v>-0.41836667621661899</v>
      </c>
      <c r="O11">
        <v>6000</v>
      </c>
      <c r="P11">
        <v>16</v>
      </c>
      <c r="Q11">
        <v>1</v>
      </c>
      <c r="R11">
        <v>1</v>
      </c>
      <c r="S11">
        <v>2</v>
      </c>
      <c r="T11">
        <v>0.01</v>
      </c>
      <c r="U11">
        <v>16</v>
      </c>
      <c r="V11">
        <v>0</v>
      </c>
      <c r="W11">
        <v>0</v>
      </c>
      <c r="X11">
        <v>195.3</v>
      </c>
      <c r="Y11" t="s">
        <v>107</v>
      </c>
    </row>
    <row r="12" spans="1:25" x14ac:dyDescent="0.3">
      <c r="A12">
        <v>0.2</v>
      </c>
      <c r="B12">
        <v>45</v>
      </c>
      <c r="C12">
        <v>3</v>
      </c>
      <c r="D12">
        <v>0.2</v>
      </c>
      <c r="E12" t="s">
        <v>26</v>
      </c>
      <c r="F12">
        <v>0.1</v>
      </c>
      <c r="G12" s="45">
        <v>0.42664488970324799</v>
      </c>
      <c r="H12" s="44">
        <v>-0.41183409228427598</v>
      </c>
      <c r="I12" s="45">
        <v>0.592986662141325</v>
      </c>
      <c r="J12" s="44">
        <v>2.3094329999999999E-5</v>
      </c>
      <c r="K12" s="44">
        <v>1.3049890000000001E-4</v>
      </c>
      <c r="L12">
        <v>0.99985100000000005</v>
      </c>
      <c r="M12" s="44">
        <v>0.41836667621661899</v>
      </c>
      <c r="N12" s="44">
        <v>-0.41836667621661899</v>
      </c>
      <c r="O12">
        <v>6000</v>
      </c>
      <c r="P12">
        <v>16</v>
      </c>
      <c r="Q12">
        <v>1</v>
      </c>
      <c r="R12">
        <v>1</v>
      </c>
      <c r="S12">
        <v>2</v>
      </c>
      <c r="T12">
        <v>0.01</v>
      </c>
      <c r="U12">
        <v>16</v>
      </c>
      <c r="V12">
        <v>0</v>
      </c>
      <c r="W12">
        <v>0</v>
      </c>
      <c r="X12">
        <v>185.9</v>
      </c>
      <c r="Y12" t="s">
        <v>108</v>
      </c>
    </row>
    <row r="13" spans="1:25" x14ac:dyDescent="0.3">
      <c r="A13">
        <v>0.2</v>
      </c>
      <c r="B13">
        <v>99</v>
      </c>
      <c r="C13">
        <v>3</v>
      </c>
      <c r="D13">
        <v>0.2</v>
      </c>
      <c r="E13" t="s">
        <v>26</v>
      </c>
      <c r="F13">
        <v>0.1</v>
      </c>
      <c r="G13" s="45">
        <v>-0.433744546607023</v>
      </c>
      <c r="H13" s="44">
        <v>0.41066141677132501</v>
      </c>
      <c r="I13" s="45">
        <v>0.59730823779348896</v>
      </c>
      <c r="J13" s="44">
        <v>2.4632609999999999E-5</v>
      </c>
      <c r="K13" s="44">
        <v>1.174299E-4</v>
      </c>
      <c r="L13">
        <v>0.999834</v>
      </c>
      <c r="M13" s="44">
        <v>0.41836667621661899</v>
      </c>
      <c r="N13" s="44">
        <v>-0.41836667621661899</v>
      </c>
      <c r="O13">
        <v>6000</v>
      </c>
      <c r="P13">
        <v>16</v>
      </c>
      <c r="Q13">
        <v>1</v>
      </c>
      <c r="R13">
        <v>1</v>
      </c>
      <c r="S13">
        <v>2</v>
      </c>
      <c r="T13">
        <v>0.01</v>
      </c>
      <c r="U13">
        <v>16</v>
      </c>
      <c r="V13">
        <v>0</v>
      </c>
      <c r="W13">
        <v>0</v>
      </c>
      <c r="X13">
        <v>180.3</v>
      </c>
      <c r="Y13" t="s">
        <v>109</v>
      </c>
    </row>
    <row r="14" spans="1:25" x14ac:dyDescent="0.3">
      <c r="A14">
        <v>0.35</v>
      </c>
      <c r="B14">
        <v>42</v>
      </c>
      <c r="C14">
        <v>4</v>
      </c>
      <c r="D14">
        <v>0.35</v>
      </c>
      <c r="E14" t="s">
        <v>26</v>
      </c>
      <c r="F14">
        <v>0.2</v>
      </c>
      <c r="G14" s="44">
        <v>-0.44893966386915402</v>
      </c>
      <c r="H14" s="44">
        <v>0.40219077750913501</v>
      </c>
      <c r="I14" s="44">
        <v>0.60274724662029899</v>
      </c>
      <c r="J14" s="44">
        <v>3.8473409999999997E-5</v>
      </c>
      <c r="K14" s="44">
        <v>4.3871440000000002E-4</v>
      </c>
      <c r="L14">
        <v>0.99963400000000002</v>
      </c>
      <c r="M14" s="44">
        <v>0.41836667621661899</v>
      </c>
      <c r="N14" s="44">
        <v>-0.41836667621661899</v>
      </c>
      <c r="O14">
        <v>6000</v>
      </c>
      <c r="P14">
        <v>16</v>
      </c>
      <c r="Q14">
        <v>1</v>
      </c>
      <c r="R14">
        <v>1</v>
      </c>
      <c r="S14">
        <v>2</v>
      </c>
      <c r="T14">
        <v>0.01</v>
      </c>
      <c r="U14">
        <v>16</v>
      </c>
      <c r="V14">
        <v>0</v>
      </c>
      <c r="W14">
        <v>0</v>
      </c>
      <c r="X14">
        <v>202.6</v>
      </c>
      <c r="Y14" t="s">
        <v>110</v>
      </c>
    </row>
    <row r="15" spans="1:25" x14ac:dyDescent="0.3">
      <c r="A15">
        <v>0.35</v>
      </c>
      <c r="B15">
        <v>45</v>
      </c>
      <c r="C15">
        <v>4</v>
      </c>
      <c r="D15">
        <v>0.35</v>
      </c>
      <c r="E15" t="s">
        <v>26</v>
      </c>
      <c r="F15">
        <v>0.2</v>
      </c>
      <c r="G15" s="44">
        <v>0.432285434529256</v>
      </c>
      <c r="H15" s="44">
        <v>-0.40865743508126101</v>
      </c>
      <c r="I15" s="44">
        <v>0.59487107523676397</v>
      </c>
      <c r="J15" s="44">
        <v>3.8549479999999999E-5</v>
      </c>
      <c r="K15" s="44">
        <v>3.5571799999999998E-4</v>
      </c>
      <c r="L15">
        <v>0.99958999999999998</v>
      </c>
      <c r="M15" s="44">
        <v>0.41836667621661899</v>
      </c>
      <c r="N15" s="44">
        <v>-0.41836667621661899</v>
      </c>
      <c r="O15">
        <v>6000</v>
      </c>
      <c r="P15">
        <v>16</v>
      </c>
      <c r="Q15">
        <v>1</v>
      </c>
      <c r="R15">
        <v>1</v>
      </c>
      <c r="S15">
        <v>2</v>
      </c>
      <c r="T15">
        <v>0.01</v>
      </c>
      <c r="U15">
        <v>16</v>
      </c>
      <c r="V15">
        <v>0</v>
      </c>
      <c r="W15">
        <v>0</v>
      </c>
      <c r="X15">
        <v>189.4</v>
      </c>
      <c r="Y15" t="s">
        <v>111</v>
      </c>
    </row>
    <row r="16" spans="1:25" x14ac:dyDescent="0.3">
      <c r="A16">
        <v>0.35</v>
      </c>
      <c r="B16">
        <v>99</v>
      </c>
      <c r="C16">
        <v>4</v>
      </c>
      <c r="D16">
        <v>0.35</v>
      </c>
      <c r="E16" t="s">
        <v>26</v>
      </c>
      <c r="F16">
        <v>0.2</v>
      </c>
      <c r="G16" s="44">
        <v>-0.44331946046350401</v>
      </c>
      <c r="H16" s="44">
        <v>0.40588573414644202</v>
      </c>
      <c r="I16" s="44">
        <v>0.60106187136537603</v>
      </c>
      <c r="J16" s="44">
        <v>4.0457309999999997E-5</v>
      </c>
      <c r="K16" s="44">
        <v>3.1393589999999998E-4</v>
      </c>
      <c r="L16">
        <v>0.99955700000000003</v>
      </c>
      <c r="M16" s="44">
        <v>0.41836667621661899</v>
      </c>
      <c r="N16" s="44">
        <v>-0.41836667621661899</v>
      </c>
      <c r="O16">
        <v>6000</v>
      </c>
      <c r="P16">
        <v>16</v>
      </c>
      <c r="Q16">
        <v>1</v>
      </c>
      <c r="R16">
        <v>1</v>
      </c>
      <c r="S16">
        <v>2</v>
      </c>
      <c r="T16">
        <v>0.01</v>
      </c>
      <c r="U16">
        <v>16</v>
      </c>
      <c r="V16">
        <v>0</v>
      </c>
      <c r="W16">
        <v>0</v>
      </c>
      <c r="X16">
        <v>180.3</v>
      </c>
      <c r="Y16" t="s">
        <v>112</v>
      </c>
    </row>
    <row r="17" spans="1:25" x14ac:dyDescent="0.3">
      <c r="A17">
        <v>0.5</v>
      </c>
      <c r="B17">
        <v>42</v>
      </c>
      <c r="C17">
        <v>5</v>
      </c>
      <c r="D17">
        <v>0.5</v>
      </c>
      <c r="E17" t="s">
        <v>26</v>
      </c>
      <c r="F17">
        <v>0.35</v>
      </c>
      <c r="G17" s="45">
        <v>-0.43304269178049298</v>
      </c>
      <c r="H17" s="44">
        <v>0.40562753767350901</v>
      </c>
      <c r="I17" s="45">
        <v>0.59334616559270803</v>
      </c>
      <c r="J17" s="44">
        <v>5.2162240000000003E-5</v>
      </c>
      <c r="K17" s="44">
        <v>8.5848520000000005E-4</v>
      </c>
      <c r="L17">
        <v>0.99929800000000002</v>
      </c>
      <c r="M17" s="44">
        <v>0.41836667621661899</v>
      </c>
      <c r="N17" s="44">
        <v>-0.41836667621661899</v>
      </c>
      <c r="O17">
        <v>6000</v>
      </c>
      <c r="P17">
        <v>16</v>
      </c>
      <c r="Q17">
        <v>1</v>
      </c>
      <c r="R17">
        <v>1</v>
      </c>
      <c r="S17">
        <v>2</v>
      </c>
      <c r="T17">
        <v>0.01</v>
      </c>
      <c r="U17">
        <v>16</v>
      </c>
      <c r="V17">
        <v>0</v>
      </c>
      <c r="W17">
        <v>0</v>
      </c>
      <c r="X17">
        <v>188</v>
      </c>
      <c r="Y17" t="s">
        <v>113</v>
      </c>
    </row>
    <row r="18" spans="1:25" x14ac:dyDescent="0.3">
      <c r="A18">
        <v>0.5</v>
      </c>
      <c r="B18">
        <v>45</v>
      </c>
      <c r="C18">
        <v>5</v>
      </c>
      <c r="D18">
        <v>0.5</v>
      </c>
      <c r="E18" t="s">
        <v>26</v>
      </c>
      <c r="F18">
        <v>0.35</v>
      </c>
      <c r="G18" s="45">
        <v>0.42788127040707002</v>
      </c>
      <c r="H18" s="44">
        <v>-0.406380205875432</v>
      </c>
      <c r="I18" s="45">
        <v>0.59010783191932603</v>
      </c>
      <c r="J18" s="44">
        <v>5.2697210000000002E-5</v>
      </c>
      <c r="K18" s="44">
        <v>6.9496749999999996E-4</v>
      </c>
      <c r="L18">
        <v>0.99923099999999998</v>
      </c>
      <c r="M18" s="44">
        <v>0.41836667621661899</v>
      </c>
      <c r="N18" s="44">
        <v>-0.41836667621661899</v>
      </c>
      <c r="O18">
        <v>6000</v>
      </c>
      <c r="P18">
        <v>16</v>
      </c>
      <c r="Q18">
        <v>1</v>
      </c>
      <c r="R18">
        <v>1</v>
      </c>
      <c r="S18">
        <v>2</v>
      </c>
      <c r="T18">
        <v>0.01</v>
      </c>
      <c r="U18">
        <v>16</v>
      </c>
      <c r="V18">
        <v>0</v>
      </c>
      <c r="W18">
        <v>0</v>
      </c>
      <c r="X18">
        <v>193.8</v>
      </c>
      <c r="Y18" t="s">
        <v>114</v>
      </c>
    </row>
    <row r="19" spans="1:25" x14ac:dyDescent="0.3">
      <c r="A19">
        <v>0.5</v>
      </c>
      <c r="B19">
        <v>99</v>
      </c>
      <c r="C19">
        <v>5</v>
      </c>
      <c r="D19">
        <v>0.5</v>
      </c>
      <c r="E19" t="s">
        <v>26</v>
      </c>
      <c r="F19">
        <v>0.35</v>
      </c>
      <c r="G19" s="45">
        <v>-0.42967951915956698</v>
      </c>
      <c r="H19" s="44">
        <v>0.40607711413696002</v>
      </c>
      <c r="I19" s="45">
        <v>0.59120479684369798</v>
      </c>
      <c r="J19" s="44">
        <v>5.4391129999999997E-5</v>
      </c>
      <c r="K19" s="44">
        <v>6.0000880000000002E-4</v>
      </c>
      <c r="L19">
        <v>0.99916400000000005</v>
      </c>
      <c r="M19" s="44">
        <v>0.41836667621661899</v>
      </c>
      <c r="N19" s="44">
        <v>-0.41836667621661899</v>
      </c>
      <c r="O19">
        <v>6000</v>
      </c>
      <c r="P19">
        <v>16</v>
      </c>
      <c r="Q19">
        <v>1</v>
      </c>
      <c r="R19">
        <v>1</v>
      </c>
      <c r="S19">
        <v>2</v>
      </c>
      <c r="T19">
        <v>0.01</v>
      </c>
      <c r="U19">
        <v>16</v>
      </c>
      <c r="V19">
        <v>0</v>
      </c>
      <c r="W19">
        <v>0</v>
      </c>
      <c r="X19">
        <v>176.7</v>
      </c>
      <c r="Y19" t="s">
        <v>115</v>
      </c>
    </row>
    <row r="20" spans="1:25" x14ac:dyDescent="0.3">
      <c r="A20">
        <v>0.7</v>
      </c>
      <c r="B20">
        <v>42</v>
      </c>
      <c r="C20">
        <v>6</v>
      </c>
      <c r="D20">
        <v>0.7</v>
      </c>
      <c r="E20" t="s">
        <v>26</v>
      </c>
      <c r="F20">
        <v>0.5</v>
      </c>
      <c r="G20" s="44">
        <v>-0.431500128778734</v>
      </c>
      <c r="H20" s="44">
        <v>0.40116515446589002</v>
      </c>
      <c r="I20" s="44">
        <v>0.58917386423169305</v>
      </c>
      <c r="J20" s="44">
        <v>6.9473980000000005E-5</v>
      </c>
      <c r="K20" s="44">
        <v>1.595401E-3</v>
      </c>
      <c r="L20">
        <v>0.99871900000000002</v>
      </c>
      <c r="M20" s="44">
        <v>0.41836667621661899</v>
      </c>
      <c r="N20" s="44">
        <v>-0.41836667621661899</v>
      </c>
      <c r="O20">
        <v>6000</v>
      </c>
      <c r="P20">
        <v>16</v>
      </c>
      <c r="Q20">
        <v>1</v>
      </c>
      <c r="R20">
        <v>1</v>
      </c>
      <c r="S20">
        <v>2</v>
      </c>
      <c r="T20">
        <v>0.01</v>
      </c>
      <c r="U20">
        <v>16</v>
      </c>
      <c r="V20">
        <v>0</v>
      </c>
      <c r="W20">
        <v>0</v>
      </c>
      <c r="X20">
        <v>184.8</v>
      </c>
      <c r="Y20" t="s">
        <v>116</v>
      </c>
    </row>
    <row r="21" spans="1:25" x14ac:dyDescent="0.3">
      <c r="A21">
        <v>0.7</v>
      </c>
      <c r="B21">
        <v>45</v>
      </c>
      <c r="C21">
        <v>6</v>
      </c>
      <c r="D21">
        <v>0.7</v>
      </c>
      <c r="E21" t="s">
        <v>26</v>
      </c>
      <c r="F21">
        <v>0.5</v>
      </c>
      <c r="G21" s="44">
        <v>0.43117503273391</v>
      </c>
      <c r="H21" s="44">
        <v>-0.40119649738707203</v>
      </c>
      <c r="I21" s="44">
        <v>0.58895716174331703</v>
      </c>
      <c r="J21" s="44">
        <v>7.0277459999999996E-5</v>
      </c>
      <c r="K21" s="44">
        <v>1.2759430000000001E-3</v>
      </c>
      <c r="L21">
        <v>0.99863999999999997</v>
      </c>
      <c r="M21" s="44">
        <v>0.41836667621661899</v>
      </c>
      <c r="N21" s="44">
        <v>-0.41836667621661899</v>
      </c>
      <c r="O21">
        <v>6000</v>
      </c>
      <c r="P21">
        <v>16</v>
      </c>
      <c r="Q21">
        <v>1</v>
      </c>
      <c r="R21">
        <v>1</v>
      </c>
      <c r="S21">
        <v>2</v>
      </c>
      <c r="T21">
        <v>0.01</v>
      </c>
      <c r="U21">
        <v>16</v>
      </c>
      <c r="V21">
        <v>0</v>
      </c>
      <c r="W21">
        <v>0</v>
      </c>
      <c r="X21">
        <v>181.8</v>
      </c>
      <c r="Y21" t="s">
        <v>117</v>
      </c>
    </row>
    <row r="22" spans="1:25" x14ac:dyDescent="0.3">
      <c r="A22">
        <v>0.7</v>
      </c>
      <c r="B22">
        <v>99</v>
      </c>
      <c r="C22">
        <v>6</v>
      </c>
      <c r="D22">
        <v>0.7</v>
      </c>
      <c r="E22" t="s">
        <v>26</v>
      </c>
      <c r="F22">
        <v>0.5</v>
      </c>
      <c r="G22" s="44">
        <v>-0.43120113200294802</v>
      </c>
      <c r="H22" s="44">
        <v>0.401135370284742</v>
      </c>
      <c r="I22" s="44">
        <v>0.58893463264958501</v>
      </c>
      <c r="J22" s="44">
        <v>7.2134840000000002E-5</v>
      </c>
      <c r="K22" s="44">
        <v>1.1272540000000001E-3</v>
      </c>
      <c r="L22">
        <v>0.99850399999999995</v>
      </c>
      <c r="M22" s="44">
        <v>0.41836667621661899</v>
      </c>
      <c r="N22" s="44">
        <v>-0.41836667621661899</v>
      </c>
      <c r="O22">
        <v>6000</v>
      </c>
      <c r="P22">
        <v>16</v>
      </c>
      <c r="Q22">
        <v>1</v>
      </c>
      <c r="R22">
        <v>1</v>
      </c>
      <c r="S22">
        <v>2</v>
      </c>
      <c r="T22">
        <v>0.01</v>
      </c>
      <c r="U22">
        <v>16</v>
      </c>
      <c r="V22">
        <v>0</v>
      </c>
      <c r="W22">
        <v>0</v>
      </c>
      <c r="X22">
        <v>178.9</v>
      </c>
      <c r="Y22" t="s">
        <v>118</v>
      </c>
    </row>
    <row r="23" spans="1:25" x14ac:dyDescent="0.3">
      <c r="A23">
        <v>1</v>
      </c>
      <c r="B23">
        <v>42</v>
      </c>
      <c r="C23">
        <v>7</v>
      </c>
      <c r="D23">
        <v>1</v>
      </c>
      <c r="E23" t="s">
        <v>26</v>
      </c>
      <c r="F23">
        <v>0.7</v>
      </c>
      <c r="G23" s="45">
        <v>-0.43555484974580599</v>
      </c>
      <c r="H23" s="44">
        <v>0.39331114032323899</v>
      </c>
      <c r="I23" s="45">
        <v>0.586857461603292</v>
      </c>
      <c r="J23" s="44">
        <v>9.2327610000000001E-5</v>
      </c>
      <c r="K23" s="44">
        <v>2.971946E-3</v>
      </c>
      <c r="L23">
        <v>0.99768400000000002</v>
      </c>
      <c r="M23" s="44">
        <v>0.41836667621661899</v>
      </c>
      <c r="N23" s="44">
        <v>-0.41836667621661899</v>
      </c>
      <c r="O23">
        <v>6000</v>
      </c>
      <c r="P23">
        <v>16</v>
      </c>
      <c r="Q23">
        <v>1</v>
      </c>
      <c r="R23">
        <v>1</v>
      </c>
      <c r="S23">
        <v>2</v>
      </c>
      <c r="T23">
        <v>0.01</v>
      </c>
      <c r="U23">
        <v>16</v>
      </c>
      <c r="V23">
        <v>0</v>
      </c>
      <c r="W23">
        <v>0</v>
      </c>
      <c r="X23">
        <v>181.1</v>
      </c>
      <c r="Y23" t="s">
        <v>119</v>
      </c>
    </row>
    <row r="24" spans="1:25" x14ac:dyDescent="0.3">
      <c r="A24">
        <v>1</v>
      </c>
      <c r="B24">
        <v>45</v>
      </c>
      <c r="C24">
        <v>7</v>
      </c>
      <c r="D24">
        <v>1</v>
      </c>
      <c r="E24" t="s">
        <v>26</v>
      </c>
      <c r="F24">
        <v>0.7</v>
      </c>
      <c r="G24" s="45">
        <v>0.43550224567240903</v>
      </c>
      <c r="H24" s="44">
        <v>-0.39333255427296698</v>
      </c>
      <c r="I24" s="45">
        <v>0.58683277365584097</v>
      </c>
      <c r="J24" s="44">
        <v>9.3353129999999994E-5</v>
      </c>
      <c r="K24" s="44">
        <v>2.3560619999999999E-3</v>
      </c>
      <c r="L24">
        <v>0.99758899999999995</v>
      </c>
      <c r="M24" s="44">
        <v>0.41836667621661899</v>
      </c>
      <c r="N24" s="44">
        <v>-0.41836667621661899</v>
      </c>
      <c r="O24">
        <v>6000</v>
      </c>
      <c r="P24">
        <v>16</v>
      </c>
      <c r="Q24">
        <v>1</v>
      </c>
      <c r="R24">
        <v>1</v>
      </c>
      <c r="S24">
        <v>2</v>
      </c>
      <c r="T24">
        <v>0.01</v>
      </c>
      <c r="U24">
        <v>16</v>
      </c>
      <c r="V24">
        <v>0</v>
      </c>
      <c r="W24">
        <v>0</v>
      </c>
      <c r="X24">
        <v>177.2</v>
      </c>
      <c r="Y24" t="s">
        <v>120</v>
      </c>
    </row>
    <row r="25" spans="1:25" x14ac:dyDescent="0.3">
      <c r="A25">
        <v>1</v>
      </c>
      <c r="B25">
        <v>99</v>
      </c>
      <c r="C25">
        <v>7</v>
      </c>
      <c r="D25">
        <v>1</v>
      </c>
      <c r="E25" t="s">
        <v>26</v>
      </c>
      <c r="F25">
        <v>0.7</v>
      </c>
      <c r="G25" s="45">
        <v>-0.43552151167157499</v>
      </c>
      <c r="H25" s="44">
        <v>0.393260909247444</v>
      </c>
      <c r="I25" s="45">
        <v>0.58679905408139499</v>
      </c>
      <c r="J25" s="44">
        <v>9.5814800000000003E-5</v>
      </c>
      <c r="K25" s="44">
        <v>2.1568590000000001E-3</v>
      </c>
      <c r="L25">
        <v>0.99733899999999998</v>
      </c>
      <c r="M25" s="44">
        <v>0.41836667621661899</v>
      </c>
      <c r="N25" s="44">
        <v>-0.41836667621661899</v>
      </c>
      <c r="O25">
        <v>6000</v>
      </c>
      <c r="P25">
        <v>16</v>
      </c>
      <c r="Q25">
        <v>1</v>
      </c>
      <c r="R25">
        <v>1</v>
      </c>
      <c r="S25">
        <v>2</v>
      </c>
      <c r="T25">
        <v>0.01</v>
      </c>
      <c r="U25">
        <v>16</v>
      </c>
      <c r="V25">
        <v>0</v>
      </c>
      <c r="W25">
        <v>0</v>
      </c>
      <c r="X25">
        <v>177.8</v>
      </c>
      <c r="Y25" t="s">
        <v>121</v>
      </c>
    </row>
    <row r="29" spans="1:25" x14ac:dyDescent="0.3">
      <c r="A29" t="s">
        <v>0</v>
      </c>
      <c r="B29" t="s">
        <v>3</v>
      </c>
      <c r="C29" t="s">
        <v>91</v>
      </c>
      <c r="D29" t="s">
        <v>0</v>
      </c>
      <c r="E29" t="s">
        <v>92</v>
      </c>
      <c r="F29" t="s">
        <v>93</v>
      </c>
      <c r="G29" t="s">
        <v>94</v>
      </c>
      <c r="H29" t="s">
        <v>95</v>
      </c>
      <c r="I29" t="s">
        <v>30</v>
      </c>
      <c r="J29" t="s">
        <v>8</v>
      </c>
      <c r="K29" t="s">
        <v>9</v>
      </c>
      <c r="L29" t="s">
        <v>10</v>
      </c>
      <c r="M29" t="s">
        <v>16</v>
      </c>
      <c r="N29" t="s">
        <v>17</v>
      </c>
      <c r="O29" t="s">
        <v>96</v>
      </c>
      <c r="P29" t="s">
        <v>18</v>
      </c>
      <c r="Q29" t="s">
        <v>19</v>
      </c>
      <c r="R29" t="s">
        <v>20</v>
      </c>
      <c r="S29" t="s">
        <v>21</v>
      </c>
      <c r="T29" t="s">
        <v>22</v>
      </c>
      <c r="U29" t="s">
        <v>23</v>
      </c>
      <c r="V29" t="s">
        <v>1</v>
      </c>
      <c r="W29" t="s">
        <v>2</v>
      </c>
      <c r="X29" t="s">
        <v>25</v>
      </c>
      <c r="Y29" t="s">
        <v>97</v>
      </c>
    </row>
    <row r="30" spans="1:25" x14ac:dyDescent="0.3">
      <c r="A30">
        <v>1.2</v>
      </c>
      <c r="B30">
        <v>42</v>
      </c>
      <c r="C30">
        <v>0</v>
      </c>
      <c r="D30">
        <v>1.2</v>
      </c>
      <c r="E30" t="s">
        <v>26</v>
      </c>
      <c r="F30">
        <v>1</v>
      </c>
      <c r="G30" s="44">
        <v>-0.43800563248688701</v>
      </c>
      <c r="H30" s="44">
        <v>0.38806765140185501</v>
      </c>
      <c r="I30" s="44">
        <v>0.58518837664019796</v>
      </c>
      <c r="J30" s="44">
        <v>1.057716E-4</v>
      </c>
      <c r="K30" s="44">
        <v>4.0435109999999996E-3</v>
      </c>
      <c r="L30">
        <v>0.99691700000000005</v>
      </c>
      <c r="M30" s="44">
        <v>0.41836667621661899</v>
      </c>
      <c r="N30" s="44">
        <v>-0.41836667621661899</v>
      </c>
      <c r="O30">
        <v>6000</v>
      </c>
      <c r="P30">
        <v>16</v>
      </c>
      <c r="Q30">
        <v>1</v>
      </c>
      <c r="R30">
        <v>1</v>
      </c>
      <c r="S30">
        <v>2</v>
      </c>
      <c r="T30">
        <v>0.01</v>
      </c>
      <c r="U30">
        <v>16</v>
      </c>
      <c r="V30">
        <v>0</v>
      </c>
      <c r="W30">
        <v>0</v>
      </c>
      <c r="X30">
        <v>199.1</v>
      </c>
      <c r="Y30" t="s">
        <v>124</v>
      </c>
    </row>
    <row r="31" spans="1:25" x14ac:dyDescent="0.3">
      <c r="A31">
        <v>1.2</v>
      </c>
      <c r="B31">
        <v>45</v>
      </c>
      <c r="C31">
        <v>0</v>
      </c>
      <c r="D31">
        <v>1.2</v>
      </c>
      <c r="E31" t="s">
        <v>26</v>
      </c>
      <c r="F31">
        <v>1</v>
      </c>
      <c r="G31" s="44">
        <v>0.43794242692795199</v>
      </c>
      <c r="H31" s="44">
        <v>-0.38809464596201398</v>
      </c>
      <c r="I31" s="44">
        <v>0.58515897286799501</v>
      </c>
      <c r="J31" s="44">
        <v>1.069869E-4</v>
      </c>
      <c r="K31" s="44">
        <v>3.150501E-3</v>
      </c>
      <c r="L31">
        <v>0.99681900000000001</v>
      </c>
      <c r="M31" s="44">
        <v>0.41836667621661899</v>
      </c>
      <c r="N31" s="44">
        <v>-0.41836667621661899</v>
      </c>
      <c r="O31">
        <v>6000</v>
      </c>
      <c r="P31">
        <v>16</v>
      </c>
      <c r="Q31">
        <v>1</v>
      </c>
      <c r="R31">
        <v>1</v>
      </c>
      <c r="S31">
        <v>2</v>
      </c>
      <c r="T31">
        <v>0.01</v>
      </c>
      <c r="U31">
        <v>16</v>
      </c>
      <c r="V31">
        <v>0</v>
      </c>
      <c r="W31">
        <v>0</v>
      </c>
      <c r="X31">
        <v>289.5</v>
      </c>
      <c r="Y31" t="s">
        <v>125</v>
      </c>
    </row>
    <row r="32" spans="1:25" x14ac:dyDescent="0.3">
      <c r="A32">
        <v>1.2</v>
      </c>
      <c r="B32">
        <v>99</v>
      </c>
      <c r="C32">
        <v>0</v>
      </c>
      <c r="D32">
        <v>1.2</v>
      </c>
      <c r="E32" t="s">
        <v>26</v>
      </c>
      <c r="F32">
        <v>1</v>
      </c>
      <c r="G32" s="44">
        <v>-0.43794661792411699</v>
      </c>
      <c r="H32" s="44">
        <v>0.38802991729987502</v>
      </c>
      <c r="I32" s="44">
        <v>0.58511918176634803</v>
      </c>
      <c r="J32" s="44">
        <v>1.096906E-4</v>
      </c>
      <c r="K32" s="44">
        <v>2.9603049999999999E-3</v>
      </c>
      <c r="L32">
        <v>0.99650300000000003</v>
      </c>
      <c r="M32" s="44">
        <v>0.41836667621661899</v>
      </c>
      <c r="N32" s="44">
        <v>-0.41836667621661899</v>
      </c>
      <c r="O32">
        <v>6000</v>
      </c>
      <c r="P32">
        <v>16</v>
      </c>
      <c r="Q32">
        <v>1</v>
      </c>
      <c r="R32">
        <v>1</v>
      </c>
      <c r="S32">
        <v>2</v>
      </c>
      <c r="T32">
        <v>0.01</v>
      </c>
      <c r="U32">
        <v>16</v>
      </c>
      <c r="V32">
        <v>0</v>
      </c>
      <c r="W32">
        <v>0</v>
      </c>
      <c r="X32">
        <v>273.89999999999998</v>
      </c>
      <c r="Y32" t="s">
        <v>126</v>
      </c>
    </row>
    <row r="33" spans="1:25" x14ac:dyDescent="0.3">
      <c r="A33">
        <v>1.5</v>
      </c>
      <c r="B33">
        <v>42</v>
      </c>
      <c r="C33">
        <v>1</v>
      </c>
      <c r="D33">
        <v>1.5</v>
      </c>
      <c r="E33" t="s">
        <v>26</v>
      </c>
      <c r="F33">
        <v>1.2</v>
      </c>
      <c r="G33" s="98">
        <v>-0.44109460221624802</v>
      </c>
      <c r="H33" s="44">
        <v>0.38030972186100698</v>
      </c>
      <c r="I33" s="44">
        <v>0.58240873331905496</v>
      </c>
      <c r="J33" s="44">
        <v>1.238736E-4</v>
      </c>
      <c r="K33" s="44">
        <v>5.8049909999999998E-3</v>
      </c>
      <c r="L33">
        <v>0.99568800000000002</v>
      </c>
      <c r="M33" s="44">
        <v>0.41836667621661899</v>
      </c>
      <c r="N33" s="44">
        <v>-0.41836667621661899</v>
      </c>
      <c r="O33">
        <v>6000</v>
      </c>
      <c r="P33">
        <v>16</v>
      </c>
      <c r="Q33">
        <v>1</v>
      </c>
      <c r="R33">
        <v>1</v>
      </c>
      <c r="S33">
        <v>2</v>
      </c>
      <c r="T33">
        <v>0.01</v>
      </c>
      <c r="U33">
        <v>16</v>
      </c>
      <c r="V33">
        <v>0</v>
      </c>
      <c r="W33">
        <v>0</v>
      </c>
      <c r="X33">
        <v>208.5</v>
      </c>
      <c r="Y33" t="s">
        <v>127</v>
      </c>
    </row>
    <row r="34" spans="1:25" x14ac:dyDescent="0.3">
      <c r="A34">
        <v>1.5</v>
      </c>
      <c r="B34">
        <v>45</v>
      </c>
      <c r="C34">
        <v>1</v>
      </c>
      <c r="D34">
        <v>1.5</v>
      </c>
      <c r="E34" t="s">
        <v>26</v>
      </c>
      <c r="F34">
        <v>1.2</v>
      </c>
      <c r="G34" s="98">
        <v>0.441024131066585</v>
      </c>
      <c r="H34" s="44">
        <v>-0.38034072077472098</v>
      </c>
      <c r="I34" s="44">
        <v>0.58237560737248495</v>
      </c>
      <c r="J34" s="44">
        <v>1.2525249999999999E-4</v>
      </c>
      <c r="K34" s="44">
        <v>4.4403389999999997E-3</v>
      </c>
      <c r="L34">
        <v>0.99559600000000004</v>
      </c>
      <c r="M34" s="44">
        <v>0.41836667621661899</v>
      </c>
      <c r="N34" s="44">
        <v>-0.41836667621661899</v>
      </c>
      <c r="O34">
        <v>6000</v>
      </c>
      <c r="P34">
        <v>16</v>
      </c>
      <c r="Q34">
        <v>1</v>
      </c>
      <c r="R34">
        <v>1</v>
      </c>
      <c r="S34">
        <v>2</v>
      </c>
      <c r="T34">
        <v>0.01</v>
      </c>
      <c r="U34">
        <v>16</v>
      </c>
      <c r="V34">
        <v>0</v>
      </c>
      <c r="W34">
        <v>0</v>
      </c>
      <c r="X34">
        <v>283.39999999999998</v>
      </c>
      <c r="Y34" t="s">
        <v>128</v>
      </c>
    </row>
    <row r="35" spans="1:25" x14ac:dyDescent="0.3">
      <c r="A35">
        <v>1.5</v>
      </c>
      <c r="B35">
        <v>99</v>
      </c>
      <c r="C35">
        <v>1</v>
      </c>
      <c r="D35">
        <v>1.5</v>
      </c>
      <c r="E35" t="s">
        <v>26</v>
      </c>
      <c r="F35">
        <v>1.2</v>
      </c>
      <c r="G35" s="98">
        <v>-0.44102047422990998</v>
      </c>
      <c r="H35" s="44">
        <v>0.38029115868927799</v>
      </c>
      <c r="I35" s="44">
        <v>0.58234047091646302</v>
      </c>
      <c r="J35" s="44">
        <v>1.281241E-4</v>
      </c>
      <c r="K35" s="44">
        <v>4.263714E-3</v>
      </c>
      <c r="L35">
        <v>0.99519599999999997</v>
      </c>
      <c r="M35" s="44">
        <v>0.41836667621661899</v>
      </c>
      <c r="N35" s="44">
        <v>-0.41836667621661899</v>
      </c>
      <c r="O35">
        <v>6000</v>
      </c>
      <c r="P35">
        <v>16</v>
      </c>
      <c r="Q35">
        <v>1</v>
      </c>
      <c r="R35">
        <v>1</v>
      </c>
      <c r="S35">
        <v>2</v>
      </c>
      <c r="T35">
        <v>0.01</v>
      </c>
      <c r="U35">
        <v>16</v>
      </c>
      <c r="V35">
        <v>0</v>
      </c>
      <c r="W35">
        <v>0</v>
      </c>
      <c r="X35">
        <v>272.7</v>
      </c>
      <c r="Y35" t="s">
        <v>129</v>
      </c>
    </row>
    <row r="36" spans="1:25" x14ac:dyDescent="0.3">
      <c r="A36">
        <v>2</v>
      </c>
      <c r="B36">
        <v>42</v>
      </c>
      <c r="C36">
        <v>2</v>
      </c>
      <c r="D36">
        <v>2</v>
      </c>
      <c r="E36" t="s">
        <v>26</v>
      </c>
      <c r="F36">
        <v>1.5</v>
      </c>
      <c r="G36" s="44">
        <v>-0.44497868717495698</v>
      </c>
      <c r="H36" s="44">
        <v>0.367827515089311</v>
      </c>
      <c r="I36" s="44">
        <v>0.57732409693059406</v>
      </c>
      <c r="J36" s="44">
        <v>1.492958E-4</v>
      </c>
      <c r="K36" s="44">
        <v>8.9203879999999996E-3</v>
      </c>
      <c r="L36">
        <v>0.99356</v>
      </c>
      <c r="M36" s="44">
        <v>0.41836667621661899</v>
      </c>
      <c r="N36" s="44">
        <v>-0.41836667621661899</v>
      </c>
      <c r="O36">
        <v>6000</v>
      </c>
      <c r="P36">
        <v>16</v>
      </c>
      <c r="Q36">
        <v>1</v>
      </c>
      <c r="R36">
        <v>1</v>
      </c>
      <c r="S36">
        <v>2</v>
      </c>
      <c r="T36">
        <v>0.01</v>
      </c>
      <c r="U36">
        <v>16</v>
      </c>
      <c r="V36">
        <v>0</v>
      </c>
      <c r="W36">
        <v>0</v>
      </c>
      <c r="X36">
        <v>224.3</v>
      </c>
      <c r="Y36" t="s">
        <v>130</v>
      </c>
    </row>
    <row r="37" spans="1:25" x14ac:dyDescent="0.3">
      <c r="A37">
        <v>2</v>
      </c>
      <c r="B37">
        <v>45</v>
      </c>
      <c r="C37">
        <v>2</v>
      </c>
      <c r="D37">
        <v>2</v>
      </c>
      <c r="E37" t="s">
        <v>26</v>
      </c>
      <c r="F37">
        <v>1.5</v>
      </c>
      <c r="G37" s="44">
        <v>0.44487990523122301</v>
      </c>
      <c r="H37" s="44">
        <v>-0.36785315255140499</v>
      </c>
      <c r="I37" s="44">
        <v>0.57726429988398698</v>
      </c>
      <c r="J37" s="44">
        <v>1.508332E-4</v>
      </c>
      <c r="K37" s="44">
        <v>6.7085979999999996E-3</v>
      </c>
      <c r="L37">
        <v>0.99346599999999996</v>
      </c>
      <c r="M37" s="44">
        <v>0.41836667621661899</v>
      </c>
      <c r="N37" s="44">
        <v>-0.41836667621661899</v>
      </c>
      <c r="O37">
        <v>6000</v>
      </c>
      <c r="P37">
        <v>16</v>
      </c>
      <c r="Q37">
        <v>1</v>
      </c>
      <c r="R37">
        <v>1</v>
      </c>
      <c r="S37">
        <v>2</v>
      </c>
      <c r="T37">
        <v>0.01</v>
      </c>
      <c r="U37">
        <v>16</v>
      </c>
      <c r="V37">
        <v>0</v>
      </c>
      <c r="W37">
        <v>0</v>
      </c>
      <c r="X37">
        <v>293.39999999999998</v>
      </c>
      <c r="Y37" t="s">
        <v>131</v>
      </c>
    </row>
    <row r="38" spans="1:25" x14ac:dyDescent="0.3">
      <c r="A38">
        <v>2</v>
      </c>
      <c r="B38">
        <v>99</v>
      </c>
      <c r="C38">
        <v>2</v>
      </c>
      <c r="D38">
        <v>2</v>
      </c>
      <c r="E38" t="s">
        <v>26</v>
      </c>
      <c r="F38">
        <v>1.5</v>
      </c>
      <c r="G38" s="44">
        <v>-0.44485640420880102</v>
      </c>
      <c r="H38" s="44">
        <v>0.36783025889491899</v>
      </c>
      <c r="I38" s="44">
        <v>0.57723159972777605</v>
      </c>
      <c r="J38" s="44">
        <v>1.538954E-4</v>
      </c>
      <c r="K38" s="44">
        <v>6.6106940000000003E-3</v>
      </c>
      <c r="L38">
        <v>0.99294899999999997</v>
      </c>
      <c r="M38" s="44">
        <v>0.41836667621661899</v>
      </c>
      <c r="N38" s="44">
        <v>-0.41836667621661899</v>
      </c>
      <c r="O38">
        <v>6000</v>
      </c>
      <c r="P38">
        <v>16</v>
      </c>
      <c r="Q38">
        <v>1</v>
      </c>
      <c r="R38">
        <v>1</v>
      </c>
      <c r="S38">
        <v>2</v>
      </c>
      <c r="T38">
        <v>0.01</v>
      </c>
      <c r="U38">
        <v>16</v>
      </c>
      <c r="V38">
        <v>0</v>
      </c>
      <c r="W38">
        <v>0</v>
      </c>
      <c r="X38">
        <v>277</v>
      </c>
      <c r="Y38" t="s">
        <v>132</v>
      </c>
    </row>
    <row r="39" spans="1:25" x14ac:dyDescent="0.3">
      <c r="A39">
        <v>2.5</v>
      </c>
      <c r="B39">
        <v>42</v>
      </c>
      <c r="C39">
        <v>3</v>
      </c>
      <c r="D39">
        <v>2.5</v>
      </c>
      <c r="E39" t="s">
        <v>26</v>
      </c>
      <c r="F39">
        <v>2</v>
      </c>
      <c r="G39" s="98">
        <v>-0.447514126706968</v>
      </c>
      <c r="H39" s="44">
        <v>0.35600662252677101</v>
      </c>
      <c r="I39" s="44">
        <v>0.57184753989609804</v>
      </c>
      <c r="J39" s="44">
        <v>1.7055630000000001E-4</v>
      </c>
      <c r="K39" s="44">
        <v>1.213412E-2</v>
      </c>
      <c r="L39">
        <v>0.99137299999999995</v>
      </c>
      <c r="M39" s="44">
        <v>0.41836667621661899</v>
      </c>
      <c r="N39" s="44">
        <v>-0.41836667621661899</v>
      </c>
      <c r="O39">
        <v>6000</v>
      </c>
      <c r="P39">
        <v>16</v>
      </c>
      <c r="Q39">
        <v>1</v>
      </c>
      <c r="R39">
        <v>1</v>
      </c>
      <c r="S39">
        <v>2</v>
      </c>
      <c r="T39">
        <v>0.01</v>
      </c>
      <c r="U39">
        <v>16</v>
      </c>
      <c r="V39">
        <v>0</v>
      </c>
      <c r="W39">
        <v>0</v>
      </c>
      <c r="X39">
        <v>254</v>
      </c>
      <c r="Y39" t="s">
        <v>133</v>
      </c>
    </row>
    <row r="40" spans="1:25" x14ac:dyDescent="0.3">
      <c r="A40">
        <v>2.5</v>
      </c>
      <c r="B40">
        <v>45</v>
      </c>
      <c r="C40">
        <v>3</v>
      </c>
      <c r="D40">
        <v>2.5</v>
      </c>
      <c r="E40" t="s">
        <v>26</v>
      </c>
      <c r="F40">
        <v>2</v>
      </c>
      <c r="G40" s="98">
        <v>0.44745611197461399</v>
      </c>
      <c r="H40" s="44">
        <v>-0.35602974272173799</v>
      </c>
      <c r="I40" s="44">
        <v>0.57181653512813502</v>
      </c>
      <c r="J40" s="44">
        <v>1.719069E-4</v>
      </c>
      <c r="K40" s="44">
        <v>8.9145370000000002E-3</v>
      </c>
      <c r="L40">
        <v>0.99131800000000003</v>
      </c>
      <c r="M40" s="44">
        <v>0.41836667621661899</v>
      </c>
      <c r="N40" s="44">
        <v>-0.41836667621661899</v>
      </c>
      <c r="O40">
        <v>6000</v>
      </c>
      <c r="P40">
        <v>16</v>
      </c>
      <c r="Q40">
        <v>1</v>
      </c>
      <c r="R40">
        <v>1</v>
      </c>
      <c r="S40">
        <v>2</v>
      </c>
      <c r="T40">
        <v>0.01</v>
      </c>
      <c r="U40">
        <v>16</v>
      </c>
      <c r="V40">
        <v>0</v>
      </c>
      <c r="W40">
        <v>0</v>
      </c>
      <c r="X40">
        <v>285.3</v>
      </c>
      <c r="Y40" t="s">
        <v>134</v>
      </c>
    </row>
    <row r="41" spans="1:25" x14ac:dyDescent="0.3">
      <c r="A41">
        <v>2.5</v>
      </c>
      <c r="B41">
        <v>99</v>
      </c>
      <c r="C41">
        <v>3</v>
      </c>
      <c r="D41">
        <v>2.5</v>
      </c>
      <c r="E41" t="s">
        <v>26</v>
      </c>
      <c r="F41">
        <v>2</v>
      </c>
      <c r="G41" s="98">
        <v>-0.44742589082393203</v>
      </c>
      <c r="H41" s="44">
        <v>0.35603894615751702</v>
      </c>
      <c r="I41" s="44">
        <v>0.57179861748743699</v>
      </c>
      <c r="J41" s="44">
        <v>1.748598E-4</v>
      </c>
      <c r="K41" s="44">
        <v>8.9774629999999998E-3</v>
      </c>
      <c r="L41">
        <v>0.99072499999999997</v>
      </c>
      <c r="M41" s="44">
        <v>0.41836667621661899</v>
      </c>
      <c r="N41" s="44">
        <v>-0.41836667621661899</v>
      </c>
      <c r="O41">
        <v>6000</v>
      </c>
      <c r="P41">
        <v>16</v>
      </c>
      <c r="Q41">
        <v>1</v>
      </c>
      <c r="R41">
        <v>1</v>
      </c>
      <c r="S41">
        <v>2</v>
      </c>
      <c r="T41">
        <v>0.01</v>
      </c>
      <c r="U41">
        <v>16</v>
      </c>
      <c r="V41">
        <v>0</v>
      </c>
      <c r="W41">
        <v>0</v>
      </c>
      <c r="X41">
        <v>275.2</v>
      </c>
      <c r="Y41" t="s">
        <v>135</v>
      </c>
    </row>
    <row r="42" spans="1:25" x14ac:dyDescent="0.3">
      <c r="A42">
        <v>3</v>
      </c>
      <c r="B42">
        <v>42</v>
      </c>
      <c r="C42">
        <v>4</v>
      </c>
      <c r="D42">
        <v>3</v>
      </c>
      <c r="E42" t="s">
        <v>26</v>
      </c>
      <c r="F42">
        <v>2.5</v>
      </c>
      <c r="G42" s="44">
        <v>-0.44918247897674202</v>
      </c>
      <c r="H42" s="44">
        <v>0.34489034517107903</v>
      </c>
      <c r="I42" s="44">
        <v>0.56631638649426097</v>
      </c>
      <c r="J42" s="44">
        <v>1.8812589999999999E-4</v>
      </c>
      <c r="K42" s="44">
        <v>1.5283440000000001E-2</v>
      </c>
      <c r="L42">
        <v>0.989263</v>
      </c>
      <c r="M42" s="44">
        <v>0.41836667621661899</v>
      </c>
      <c r="N42" s="44">
        <v>-0.41836667621661899</v>
      </c>
      <c r="O42">
        <v>6000</v>
      </c>
      <c r="P42">
        <v>16</v>
      </c>
      <c r="Q42">
        <v>1</v>
      </c>
      <c r="R42">
        <v>1</v>
      </c>
      <c r="S42">
        <v>2</v>
      </c>
      <c r="T42">
        <v>0.01</v>
      </c>
      <c r="U42">
        <v>16</v>
      </c>
      <c r="V42">
        <v>0</v>
      </c>
      <c r="W42">
        <v>0</v>
      </c>
      <c r="X42">
        <v>314.2</v>
      </c>
      <c r="Y42" t="s">
        <v>136</v>
      </c>
    </row>
    <row r="43" spans="1:25" x14ac:dyDescent="0.3">
      <c r="A43">
        <v>3</v>
      </c>
      <c r="B43">
        <v>45</v>
      </c>
      <c r="C43">
        <v>4</v>
      </c>
      <c r="D43">
        <v>3</v>
      </c>
      <c r="E43" t="s">
        <v>26</v>
      </c>
      <c r="F43">
        <v>2.5</v>
      </c>
      <c r="G43" s="44">
        <v>0.44910654977046399</v>
      </c>
      <c r="H43" s="44">
        <v>-0.34489413975055999</v>
      </c>
      <c r="I43" s="44">
        <v>0.566258475151595</v>
      </c>
      <c r="J43" s="44">
        <v>1.8931460000000001E-4</v>
      </c>
      <c r="K43" s="44">
        <v>1.0953829999999999E-2</v>
      </c>
      <c r="L43">
        <v>0.98923000000000005</v>
      </c>
      <c r="M43" s="44">
        <v>0.41836667621661899</v>
      </c>
      <c r="N43" s="44">
        <v>-0.41836667621661899</v>
      </c>
      <c r="O43">
        <v>6000</v>
      </c>
      <c r="P43">
        <v>16</v>
      </c>
      <c r="Q43">
        <v>1</v>
      </c>
      <c r="R43">
        <v>1</v>
      </c>
      <c r="S43">
        <v>2</v>
      </c>
      <c r="T43">
        <v>0.01</v>
      </c>
      <c r="U43">
        <v>16</v>
      </c>
      <c r="V43">
        <v>0</v>
      </c>
      <c r="W43">
        <v>0</v>
      </c>
      <c r="X43">
        <v>281.5</v>
      </c>
      <c r="Y43" t="s">
        <v>137</v>
      </c>
    </row>
    <row r="44" spans="1:25" x14ac:dyDescent="0.3">
      <c r="A44">
        <v>3</v>
      </c>
      <c r="B44">
        <v>99</v>
      </c>
      <c r="C44">
        <v>4</v>
      </c>
      <c r="D44">
        <v>3</v>
      </c>
      <c r="E44" t="s">
        <v>26</v>
      </c>
      <c r="F44">
        <v>2.5</v>
      </c>
      <c r="G44" s="44">
        <v>-0.44906225566618102</v>
      </c>
      <c r="H44" s="44">
        <v>0.34493808246593999</v>
      </c>
      <c r="I44" s="44">
        <v>0.56625011275873405</v>
      </c>
      <c r="J44" s="44">
        <v>1.9233950000000001E-4</v>
      </c>
      <c r="K44" s="44">
        <v>1.122284E-2</v>
      </c>
      <c r="L44">
        <v>0.98855899999999997</v>
      </c>
      <c r="M44" s="44">
        <v>0.41836667621661899</v>
      </c>
      <c r="N44" s="44">
        <v>-0.41836667621661899</v>
      </c>
      <c r="O44">
        <v>6000</v>
      </c>
      <c r="P44">
        <v>16</v>
      </c>
      <c r="Q44">
        <v>1</v>
      </c>
      <c r="R44">
        <v>1</v>
      </c>
      <c r="S44">
        <v>2</v>
      </c>
      <c r="T44">
        <v>0.01</v>
      </c>
      <c r="U44">
        <v>16</v>
      </c>
      <c r="V44">
        <v>0</v>
      </c>
      <c r="W44">
        <v>0</v>
      </c>
      <c r="X44">
        <v>275.2</v>
      </c>
      <c r="Y44" t="s">
        <v>138</v>
      </c>
    </row>
    <row r="45" spans="1:25" x14ac:dyDescent="0.3">
      <c r="A45">
        <v>3.5</v>
      </c>
      <c r="B45">
        <v>42</v>
      </c>
      <c r="C45">
        <v>5</v>
      </c>
      <c r="D45">
        <v>3.5</v>
      </c>
      <c r="E45" t="s">
        <v>26</v>
      </c>
      <c r="F45">
        <v>3</v>
      </c>
      <c r="G45" s="98">
        <v>-0.45005276745616701</v>
      </c>
      <c r="H45" s="44">
        <v>0.33445548967958799</v>
      </c>
      <c r="I45" s="44">
        <v>0.56072093600272099</v>
      </c>
      <c r="J45" s="44">
        <v>2.0288040000000001E-4</v>
      </c>
      <c r="K45" s="44">
        <v>1.8390759999999999E-2</v>
      </c>
      <c r="L45">
        <v>0.98722699999999997</v>
      </c>
      <c r="M45" s="44">
        <v>0.41836667621661899</v>
      </c>
      <c r="N45" s="44">
        <v>-0.41836667621661899</v>
      </c>
      <c r="O45">
        <v>6000</v>
      </c>
      <c r="P45">
        <v>16</v>
      </c>
      <c r="Q45">
        <v>1</v>
      </c>
      <c r="R45">
        <v>1</v>
      </c>
      <c r="S45">
        <v>2</v>
      </c>
      <c r="T45">
        <v>0.01</v>
      </c>
      <c r="U45">
        <v>16</v>
      </c>
      <c r="V45">
        <v>0</v>
      </c>
      <c r="W45">
        <v>0</v>
      </c>
      <c r="X45">
        <v>302.7</v>
      </c>
      <c r="Y45" t="s">
        <v>139</v>
      </c>
    </row>
    <row r="46" spans="1:25" x14ac:dyDescent="0.3">
      <c r="A46">
        <v>3.5</v>
      </c>
      <c r="B46">
        <v>45</v>
      </c>
      <c r="C46">
        <v>5</v>
      </c>
      <c r="D46">
        <v>3.5</v>
      </c>
      <c r="E46" t="s">
        <v>26</v>
      </c>
      <c r="F46">
        <v>3</v>
      </c>
      <c r="G46" s="98">
        <v>0.45000535621021498</v>
      </c>
      <c r="H46" s="44">
        <v>-0.33443171152818202</v>
      </c>
      <c r="I46" s="44">
        <v>0.560668699227585</v>
      </c>
      <c r="J46" s="44">
        <v>2.0400330000000001E-4</v>
      </c>
      <c r="K46" s="44">
        <v>1.284921E-2</v>
      </c>
      <c r="L46">
        <v>0.98722100000000002</v>
      </c>
      <c r="M46" s="44">
        <v>0.41836667621661899</v>
      </c>
      <c r="N46" s="44">
        <v>-0.41836667621661899</v>
      </c>
      <c r="O46">
        <v>6000</v>
      </c>
      <c r="P46">
        <v>16</v>
      </c>
      <c r="Q46">
        <v>1</v>
      </c>
      <c r="R46">
        <v>1</v>
      </c>
      <c r="S46">
        <v>2</v>
      </c>
      <c r="T46">
        <v>0.01</v>
      </c>
      <c r="U46">
        <v>16</v>
      </c>
      <c r="V46">
        <v>0</v>
      </c>
      <c r="W46">
        <v>0</v>
      </c>
      <c r="X46">
        <v>273.7</v>
      </c>
      <c r="Y46" t="s">
        <v>140</v>
      </c>
    </row>
    <row r="47" spans="1:25" x14ac:dyDescent="0.3">
      <c r="A47">
        <v>3.5</v>
      </c>
      <c r="B47">
        <v>99</v>
      </c>
      <c r="C47">
        <v>5</v>
      </c>
      <c r="D47">
        <v>3.5</v>
      </c>
      <c r="E47" t="s">
        <v>26</v>
      </c>
      <c r="F47">
        <v>3</v>
      </c>
      <c r="G47" s="98">
        <v>-0.44997801589384001</v>
      </c>
      <c r="H47" s="44">
        <v>0.33451170154287801</v>
      </c>
      <c r="I47" s="44">
        <v>0.56069447407377704</v>
      </c>
      <c r="J47" s="44">
        <v>2.069998E-4</v>
      </c>
      <c r="K47" s="44">
        <v>1.340563E-2</v>
      </c>
      <c r="L47">
        <v>0.98648000000000002</v>
      </c>
      <c r="M47" s="44">
        <v>0.41836667621661899</v>
      </c>
      <c r="N47" s="44">
        <v>-0.41836667621661899</v>
      </c>
      <c r="O47">
        <v>6000</v>
      </c>
      <c r="P47">
        <v>16</v>
      </c>
      <c r="Q47">
        <v>1</v>
      </c>
      <c r="R47">
        <v>1</v>
      </c>
      <c r="S47">
        <v>2</v>
      </c>
      <c r="T47">
        <v>0.01</v>
      </c>
      <c r="U47">
        <v>16</v>
      </c>
      <c r="V47">
        <v>0</v>
      </c>
      <c r="W47">
        <v>0</v>
      </c>
      <c r="X47">
        <v>273.5</v>
      </c>
      <c r="Y47" t="s">
        <v>141</v>
      </c>
    </row>
    <row r="48" spans="1:25" x14ac:dyDescent="0.3">
      <c r="A48">
        <v>4</v>
      </c>
      <c r="B48">
        <v>42</v>
      </c>
      <c r="C48">
        <v>6</v>
      </c>
      <c r="D48">
        <v>4</v>
      </c>
      <c r="E48" t="s">
        <v>26</v>
      </c>
      <c r="F48">
        <v>3.5</v>
      </c>
      <c r="G48" s="44">
        <v>-0.45044746315328099</v>
      </c>
      <c r="H48" s="44">
        <v>0.32465732939870401</v>
      </c>
      <c r="I48" s="44">
        <v>0.55525246383381799</v>
      </c>
      <c r="J48" s="44">
        <v>2.152643E-4</v>
      </c>
      <c r="K48" s="44">
        <v>2.1417700000000001E-2</v>
      </c>
      <c r="L48">
        <v>0.98528400000000005</v>
      </c>
      <c r="M48" s="44">
        <v>0.41836667621661899</v>
      </c>
      <c r="N48" s="44">
        <v>-0.41836667621661899</v>
      </c>
      <c r="O48">
        <v>6000</v>
      </c>
      <c r="P48">
        <v>16</v>
      </c>
      <c r="Q48">
        <v>1</v>
      </c>
      <c r="R48">
        <v>1</v>
      </c>
      <c r="S48">
        <v>2</v>
      </c>
      <c r="T48">
        <v>0.01</v>
      </c>
      <c r="U48">
        <v>16</v>
      </c>
      <c r="V48">
        <v>0</v>
      </c>
      <c r="W48">
        <v>0</v>
      </c>
      <c r="X48">
        <v>295.7</v>
      </c>
      <c r="Y48" t="s">
        <v>142</v>
      </c>
    </row>
    <row r="49" spans="1:25" x14ac:dyDescent="0.3">
      <c r="A49">
        <v>4</v>
      </c>
      <c r="B49">
        <v>45</v>
      </c>
      <c r="C49">
        <v>6</v>
      </c>
      <c r="D49">
        <v>4</v>
      </c>
      <c r="E49" t="s">
        <v>26</v>
      </c>
      <c r="F49">
        <v>3.5</v>
      </c>
      <c r="G49" s="44">
        <v>0.45036829375855902</v>
      </c>
      <c r="H49" s="44">
        <v>-0.324593274169658</v>
      </c>
      <c r="I49" s="44">
        <v>0.55515078461547296</v>
      </c>
      <c r="J49" s="44">
        <v>2.163453E-4</v>
      </c>
      <c r="K49" s="44">
        <v>1.458167E-2</v>
      </c>
      <c r="L49">
        <v>0.98531899999999994</v>
      </c>
      <c r="M49" s="44">
        <v>0.41836667621661899</v>
      </c>
      <c r="N49" s="44">
        <v>-0.41836667621661899</v>
      </c>
      <c r="O49">
        <v>6000</v>
      </c>
      <c r="P49">
        <v>16</v>
      </c>
      <c r="Q49">
        <v>1</v>
      </c>
      <c r="R49">
        <v>1</v>
      </c>
      <c r="S49">
        <v>2</v>
      </c>
      <c r="T49">
        <v>0.01</v>
      </c>
      <c r="U49">
        <v>16</v>
      </c>
      <c r="V49">
        <v>0</v>
      </c>
      <c r="W49">
        <v>0</v>
      </c>
      <c r="X49">
        <v>271.89999999999998</v>
      </c>
      <c r="Y49" t="s">
        <v>143</v>
      </c>
    </row>
    <row r="50" spans="1:25" x14ac:dyDescent="0.3">
      <c r="A50">
        <v>4</v>
      </c>
      <c r="B50">
        <v>99</v>
      </c>
      <c r="C50">
        <v>6</v>
      </c>
      <c r="D50">
        <v>4</v>
      </c>
      <c r="E50" t="s">
        <v>26</v>
      </c>
      <c r="F50">
        <v>3.5</v>
      </c>
      <c r="G50" s="44">
        <v>-0.45036049320232902</v>
      </c>
      <c r="H50" s="44">
        <v>0.32471614602876397</v>
      </c>
      <c r="I50" s="44">
        <v>0.55521630859442395</v>
      </c>
      <c r="J50" s="44">
        <v>2.1936340000000001E-4</v>
      </c>
      <c r="K50" s="44">
        <v>1.5458080000000001E-2</v>
      </c>
      <c r="L50">
        <v>0.98452499999999998</v>
      </c>
      <c r="M50" s="44">
        <v>0.41836667621661899</v>
      </c>
      <c r="N50" s="44">
        <v>-0.41836667621661899</v>
      </c>
      <c r="O50">
        <v>6000</v>
      </c>
      <c r="P50">
        <v>16</v>
      </c>
      <c r="Q50">
        <v>1</v>
      </c>
      <c r="R50">
        <v>1</v>
      </c>
      <c r="S50">
        <v>2</v>
      </c>
      <c r="T50">
        <v>0.01</v>
      </c>
      <c r="U50">
        <v>16</v>
      </c>
      <c r="V50">
        <v>0</v>
      </c>
      <c r="W50">
        <v>0</v>
      </c>
      <c r="X50">
        <v>267.8</v>
      </c>
      <c r="Y50" t="s">
        <v>144</v>
      </c>
    </row>
    <row r="51" spans="1:25" x14ac:dyDescent="0.3">
      <c r="A51">
        <v>4.5</v>
      </c>
      <c r="B51">
        <v>42</v>
      </c>
      <c r="C51">
        <v>7</v>
      </c>
      <c r="D51">
        <v>4.5</v>
      </c>
      <c r="E51" t="s">
        <v>26</v>
      </c>
      <c r="F51">
        <v>4</v>
      </c>
      <c r="G51" s="98">
        <v>-0.45037891546436598</v>
      </c>
      <c r="H51" s="44">
        <v>0.315439056579013</v>
      </c>
      <c r="I51" s="44">
        <v>0.54985722320464003</v>
      </c>
      <c r="J51" s="44">
        <v>2.2594870000000001E-4</v>
      </c>
      <c r="K51" s="44">
        <v>2.4242349999999999E-2</v>
      </c>
      <c r="L51">
        <v>0.98340899999999998</v>
      </c>
      <c r="M51" s="44">
        <v>0.41836667621661899</v>
      </c>
      <c r="N51" s="44">
        <v>-0.41836667621661899</v>
      </c>
      <c r="O51">
        <v>6000</v>
      </c>
      <c r="P51">
        <v>16</v>
      </c>
      <c r="Q51">
        <v>1</v>
      </c>
      <c r="R51">
        <v>1</v>
      </c>
      <c r="S51">
        <v>2</v>
      </c>
      <c r="T51">
        <v>0.01</v>
      </c>
      <c r="U51">
        <v>16</v>
      </c>
      <c r="V51">
        <v>0</v>
      </c>
      <c r="W51">
        <v>0</v>
      </c>
      <c r="X51">
        <v>280.8</v>
      </c>
      <c r="Y51" t="s">
        <v>145</v>
      </c>
    </row>
    <row r="52" spans="1:25" x14ac:dyDescent="0.3">
      <c r="A52">
        <v>4.5</v>
      </c>
      <c r="B52">
        <v>45</v>
      </c>
      <c r="C52">
        <v>7</v>
      </c>
      <c r="D52">
        <v>4.5</v>
      </c>
      <c r="E52" t="s">
        <v>26</v>
      </c>
      <c r="F52">
        <v>4</v>
      </c>
      <c r="G52" s="98">
        <v>0.45029934632600999</v>
      </c>
      <c r="H52" s="44">
        <v>-0.31532546108481402</v>
      </c>
      <c r="I52" s="44">
        <v>0.54972688465271802</v>
      </c>
      <c r="J52" s="44">
        <v>2.268878E-4</v>
      </c>
      <c r="K52" s="44">
        <v>1.6195919999999999E-2</v>
      </c>
      <c r="L52">
        <v>0.98351100000000002</v>
      </c>
      <c r="M52" s="44">
        <v>0.41836667621661899</v>
      </c>
      <c r="N52" s="44">
        <v>-0.41836667621661899</v>
      </c>
      <c r="O52">
        <v>6000</v>
      </c>
      <c r="P52">
        <v>16</v>
      </c>
      <c r="Q52">
        <v>1</v>
      </c>
      <c r="R52">
        <v>1</v>
      </c>
      <c r="S52">
        <v>2</v>
      </c>
      <c r="T52">
        <v>0.01</v>
      </c>
      <c r="U52">
        <v>16</v>
      </c>
      <c r="V52">
        <v>0</v>
      </c>
      <c r="W52">
        <v>0</v>
      </c>
      <c r="X52">
        <v>283</v>
      </c>
      <c r="Y52" t="s">
        <v>146</v>
      </c>
    </row>
    <row r="53" spans="1:25" x14ac:dyDescent="0.3">
      <c r="A53">
        <v>4.5</v>
      </c>
      <c r="B53">
        <v>99</v>
      </c>
      <c r="C53">
        <v>7</v>
      </c>
      <c r="D53">
        <v>4.5</v>
      </c>
      <c r="E53" t="s">
        <v>26</v>
      </c>
      <c r="F53">
        <v>4</v>
      </c>
      <c r="G53" s="98">
        <v>-0.450319287227747</v>
      </c>
      <c r="H53" s="44">
        <v>0.315500452734779</v>
      </c>
      <c r="I53" s="44">
        <v>0.54984361060683196</v>
      </c>
      <c r="J53" s="44">
        <v>2.300231E-4</v>
      </c>
      <c r="K53" s="44">
        <v>1.7403680000000001E-2</v>
      </c>
      <c r="L53">
        <v>0.98264399999999996</v>
      </c>
      <c r="M53" s="44">
        <v>0.41836667621661899</v>
      </c>
      <c r="N53" s="44">
        <v>-0.41836667621661899</v>
      </c>
      <c r="O53">
        <v>6000</v>
      </c>
      <c r="P53">
        <v>16</v>
      </c>
      <c r="Q53">
        <v>1</v>
      </c>
      <c r="R53">
        <v>1</v>
      </c>
      <c r="S53">
        <v>2</v>
      </c>
      <c r="T53">
        <v>0.01</v>
      </c>
      <c r="U53">
        <v>16</v>
      </c>
      <c r="V53">
        <v>0</v>
      </c>
      <c r="W53">
        <v>0</v>
      </c>
      <c r="X53">
        <v>273.2</v>
      </c>
      <c r="Y53" t="s">
        <v>147</v>
      </c>
    </row>
    <row r="54" spans="1:25" x14ac:dyDescent="0.3">
      <c r="A54">
        <v>5</v>
      </c>
      <c r="B54">
        <v>42</v>
      </c>
      <c r="C54">
        <v>8</v>
      </c>
      <c r="D54">
        <v>5</v>
      </c>
      <c r="E54" t="s">
        <v>26</v>
      </c>
      <c r="F54">
        <v>4.5</v>
      </c>
      <c r="G54" s="44">
        <v>-0.44999321179351298</v>
      </c>
      <c r="H54" s="44">
        <v>0.30674892465553799</v>
      </c>
      <c r="I54" s="44">
        <v>0.54459966345708499</v>
      </c>
      <c r="J54" s="44">
        <v>2.3507479999999999E-4</v>
      </c>
      <c r="K54" s="44">
        <v>2.6786509999999999E-2</v>
      </c>
      <c r="L54">
        <v>0.98164600000000002</v>
      </c>
      <c r="M54" s="44">
        <v>0.41836667621661899</v>
      </c>
      <c r="N54" s="44">
        <v>-0.41836667621661899</v>
      </c>
      <c r="O54">
        <v>6000</v>
      </c>
      <c r="P54">
        <v>16</v>
      </c>
      <c r="Q54">
        <v>1</v>
      </c>
      <c r="R54">
        <v>1</v>
      </c>
      <c r="S54">
        <v>2</v>
      </c>
      <c r="T54">
        <v>0.01</v>
      </c>
      <c r="U54">
        <v>16</v>
      </c>
      <c r="V54">
        <v>0</v>
      </c>
      <c r="W54">
        <v>0</v>
      </c>
      <c r="X54">
        <v>291</v>
      </c>
      <c r="Y54" t="s">
        <v>148</v>
      </c>
    </row>
    <row r="55" spans="1:25" x14ac:dyDescent="0.3">
      <c r="A55">
        <v>5</v>
      </c>
      <c r="B55">
        <v>45</v>
      </c>
      <c r="C55">
        <v>8</v>
      </c>
      <c r="D55">
        <v>5</v>
      </c>
      <c r="E55" t="s">
        <v>26</v>
      </c>
      <c r="F55">
        <v>4.5</v>
      </c>
      <c r="G55" s="44">
        <v>0.44988039253552597</v>
      </c>
      <c r="H55" s="44">
        <v>-0.30658692148409999</v>
      </c>
      <c r="I55" s="44">
        <v>0.54441519818335105</v>
      </c>
      <c r="J55" s="44">
        <v>2.359687E-4</v>
      </c>
      <c r="K55" s="44">
        <v>1.7695220000000001E-2</v>
      </c>
      <c r="L55">
        <v>0.98180199999999995</v>
      </c>
      <c r="M55" s="44">
        <v>0.41836667621661899</v>
      </c>
      <c r="N55" s="44">
        <v>-0.41836667621661899</v>
      </c>
      <c r="O55">
        <v>6000</v>
      </c>
      <c r="P55">
        <v>16</v>
      </c>
      <c r="Q55">
        <v>1</v>
      </c>
      <c r="R55">
        <v>1</v>
      </c>
      <c r="S55">
        <v>2</v>
      </c>
      <c r="T55">
        <v>0.01</v>
      </c>
      <c r="U55">
        <v>16</v>
      </c>
      <c r="V55">
        <v>0</v>
      </c>
      <c r="W55">
        <v>0</v>
      </c>
      <c r="X55">
        <v>270.89999999999998</v>
      </c>
      <c r="Y55" t="s">
        <v>149</v>
      </c>
    </row>
    <row r="56" spans="1:25" x14ac:dyDescent="0.3">
      <c r="A56">
        <v>5</v>
      </c>
      <c r="B56">
        <v>99</v>
      </c>
      <c r="C56">
        <v>8</v>
      </c>
      <c r="D56">
        <v>5</v>
      </c>
      <c r="E56" t="s">
        <v>26</v>
      </c>
      <c r="F56">
        <v>4.5</v>
      </c>
      <c r="G56" s="44">
        <v>-0.44994026615438898</v>
      </c>
      <c r="H56" s="44">
        <v>0.306814199171562</v>
      </c>
      <c r="I56" s="44">
        <v>0.54459268808933703</v>
      </c>
      <c r="J56" s="44">
        <v>2.3923959999999999E-4</v>
      </c>
      <c r="K56" s="44">
        <v>1.926456E-2</v>
      </c>
      <c r="L56">
        <v>0.980877</v>
      </c>
      <c r="M56" s="44">
        <v>0.41836667621661899</v>
      </c>
      <c r="N56" s="44">
        <v>-0.41836667621661899</v>
      </c>
      <c r="O56">
        <v>6000</v>
      </c>
      <c r="P56">
        <v>16</v>
      </c>
      <c r="Q56">
        <v>1</v>
      </c>
      <c r="R56">
        <v>1</v>
      </c>
      <c r="S56">
        <v>2</v>
      </c>
      <c r="T56">
        <v>0.01</v>
      </c>
      <c r="U56">
        <v>16</v>
      </c>
      <c r="V56">
        <v>0</v>
      </c>
      <c r="W56">
        <v>0</v>
      </c>
      <c r="X56">
        <v>276</v>
      </c>
      <c r="Y56" t="s">
        <v>150</v>
      </c>
    </row>
    <row r="57" spans="1:25" x14ac:dyDescent="0.3">
      <c r="A57">
        <v>6</v>
      </c>
      <c r="B57">
        <v>42</v>
      </c>
      <c r="C57">
        <v>9</v>
      </c>
      <c r="D57">
        <v>6</v>
      </c>
      <c r="E57" t="s">
        <v>26</v>
      </c>
      <c r="F57">
        <v>5</v>
      </c>
      <c r="G57" s="98">
        <v>-0.44843870180900097</v>
      </c>
      <c r="H57" s="44">
        <v>0.29075226824371603</v>
      </c>
      <c r="I57" s="44">
        <v>0.53444751919061995</v>
      </c>
      <c r="J57" s="44">
        <v>2.4983660000000001E-4</v>
      </c>
      <c r="K57" s="44">
        <v>3.0937200000000002E-2</v>
      </c>
      <c r="L57">
        <v>0.97846100000000003</v>
      </c>
      <c r="M57" s="44">
        <v>0.41836667621661899</v>
      </c>
      <c r="N57" s="44">
        <v>-0.41836667621661899</v>
      </c>
      <c r="O57">
        <v>6000</v>
      </c>
      <c r="P57">
        <v>16</v>
      </c>
      <c r="Q57">
        <v>1</v>
      </c>
      <c r="R57">
        <v>1</v>
      </c>
      <c r="S57">
        <v>2</v>
      </c>
      <c r="T57">
        <v>0.01</v>
      </c>
      <c r="U57">
        <v>16</v>
      </c>
      <c r="V57">
        <v>0</v>
      </c>
      <c r="W57">
        <v>0</v>
      </c>
      <c r="X57">
        <v>295.60000000000002</v>
      </c>
      <c r="Y57" t="s">
        <v>151</v>
      </c>
    </row>
    <row r="58" spans="1:25" x14ac:dyDescent="0.3">
      <c r="A58">
        <v>6</v>
      </c>
      <c r="B58">
        <v>45</v>
      </c>
      <c r="C58">
        <v>9</v>
      </c>
      <c r="D58">
        <v>6</v>
      </c>
      <c r="E58" t="s">
        <v>26</v>
      </c>
      <c r="F58">
        <v>5</v>
      </c>
      <c r="G58" s="98">
        <v>0.44829392732241402</v>
      </c>
      <c r="H58" s="44">
        <v>-0.29053625710619901</v>
      </c>
      <c r="I58" s="44">
        <v>0.53420853790203804</v>
      </c>
      <c r="J58" s="44">
        <v>2.5078900000000001E-4</v>
      </c>
      <c r="K58" s="44">
        <v>2.0670770000000002E-2</v>
      </c>
      <c r="L58">
        <v>0.97867599999999999</v>
      </c>
      <c r="M58" s="44">
        <v>0.41836667621661899</v>
      </c>
      <c r="N58" s="44">
        <v>-0.41836667621661899</v>
      </c>
      <c r="O58">
        <v>6000</v>
      </c>
      <c r="P58">
        <v>16</v>
      </c>
      <c r="Q58">
        <v>1</v>
      </c>
      <c r="R58">
        <v>1</v>
      </c>
      <c r="S58">
        <v>2</v>
      </c>
      <c r="T58">
        <v>0.01</v>
      </c>
      <c r="U58">
        <v>16</v>
      </c>
      <c r="V58">
        <v>0</v>
      </c>
      <c r="W58">
        <v>0</v>
      </c>
      <c r="X58">
        <v>269.8</v>
      </c>
      <c r="Y58" t="s">
        <v>152</v>
      </c>
    </row>
    <row r="59" spans="1:25" x14ac:dyDescent="0.3">
      <c r="A59">
        <v>6</v>
      </c>
      <c r="B59">
        <v>99</v>
      </c>
      <c r="C59">
        <v>9</v>
      </c>
      <c r="D59">
        <v>6</v>
      </c>
      <c r="E59" t="s">
        <v>26</v>
      </c>
      <c r="F59">
        <v>5</v>
      </c>
      <c r="G59" s="98">
        <v>-0.44842212842892798</v>
      </c>
      <c r="H59" s="44">
        <v>0.29083367707875302</v>
      </c>
      <c r="I59" s="44">
        <v>0.53447790692214703</v>
      </c>
      <c r="J59" s="44">
        <v>2.5441409999999999E-4</v>
      </c>
      <c r="K59" s="44">
        <v>2.2436379999999999E-2</v>
      </c>
      <c r="L59">
        <v>0.97761600000000004</v>
      </c>
      <c r="M59" s="44">
        <v>0.41836667621661899</v>
      </c>
      <c r="N59" s="44">
        <v>-0.41836667621661899</v>
      </c>
      <c r="O59">
        <v>6000</v>
      </c>
      <c r="P59">
        <v>16</v>
      </c>
      <c r="Q59">
        <v>1</v>
      </c>
      <c r="R59">
        <v>1</v>
      </c>
      <c r="S59">
        <v>2</v>
      </c>
      <c r="T59">
        <v>0.01</v>
      </c>
      <c r="U59">
        <v>16</v>
      </c>
      <c r="V59">
        <v>0</v>
      </c>
      <c r="W59">
        <v>0</v>
      </c>
      <c r="X59">
        <v>272.60000000000002</v>
      </c>
      <c r="Y59" t="s">
        <v>153</v>
      </c>
    </row>
    <row r="60" spans="1:25" x14ac:dyDescent="0.3">
      <c r="A60">
        <v>7</v>
      </c>
      <c r="B60">
        <v>42</v>
      </c>
      <c r="C60">
        <v>10</v>
      </c>
      <c r="D60">
        <v>7</v>
      </c>
      <c r="E60" t="s">
        <v>26</v>
      </c>
      <c r="F60">
        <v>6</v>
      </c>
      <c r="G60" s="44">
        <v>-0.44620101997047201</v>
      </c>
      <c r="H60" s="44">
        <v>0.276389489854313</v>
      </c>
      <c r="I60" s="44">
        <v>0.52486807897281895</v>
      </c>
      <c r="J60" s="44">
        <v>2.611178E-4</v>
      </c>
      <c r="K60" s="44">
        <v>3.4291889999999998E-2</v>
      </c>
      <c r="L60">
        <v>0.97562800000000005</v>
      </c>
      <c r="M60" s="44">
        <v>0.41836667621661899</v>
      </c>
      <c r="N60" s="44">
        <v>-0.41836667621661899</v>
      </c>
      <c r="O60">
        <v>6000</v>
      </c>
      <c r="P60">
        <v>16</v>
      </c>
      <c r="Q60">
        <v>1</v>
      </c>
      <c r="R60">
        <v>1</v>
      </c>
      <c r="S60">
        <v>2</v>
      </c>
      <c r="T60">
        <v>0.01</v>
      </c>
      <c r="U60">
        <v>16</v>
      </c>
      <c r="V60">
        <v>0</v>
      </c>
      <c r="W60">
        <v>0</v>
      </c>
      <c r="X60">
        <v>293.5</v>
      </c>
      <c r="Y60" t="s">
        <v>154</v>
      </c>
    </row>
    <row r="61" spans="1:25" x14ac:dyDescent="0.3">
      <c r="A61">
        <v>7</v>
      </c>
      <c r="B61">
        <v>45</v>
      </c>
      <c r="C61">
        <v>10</v>
      </c>
      <c r="D61">
        <v>7</v>
      </c>
      <c r="E61" t="s">
        <v>26</v>
      </c>
      <c r="F61">
        <v>6</v>
      </c>
      <c r="G61" s="44">
        <v>0.44603299103941801</v>
      </c>
      <c r="H61" s="44">
        <v>-0.27612088285103897</v>
      </c>
      <c r="I61" s="44">
        <v>0.52458380745311495</v>
      </c>
      <c r="J61" s="44">
        <v>2.6211780000000003E-4</v>
      </c>
      <c r="K61" s="44">
        <v>2.3443019999999998E-2</v>
      </c>
      <c r="L61">
        <v>0.97589700000000001</v>
      </c>
      <c r="M61" s="44">
        <v>0.41836667621661899</v>
      </c>
      <c r="N61" s="44">
        <v>-0.41836667621661899</v>
      </c>
      <c r="O61">
        <v>6000</v>
      </c>
      <c r="P61">
        <v>16</v>
      </c>
      <c r="Q61">
        <v>1</v>
      </c>
      <c r="R61">
        <v>1</v>
      </c>
      <c r="S61">
        <v>2</v>
      </c>
      <c r="T61">
        <v>0.01</v>
      </c>
      <c r="U61">
        <v>16</v>
      </c>
      <c r="V61">
        <v>0</v>
      </c>
      <c r="W61">
        <v>0</v>
      </c>
      <c r="X61">
        <v>265.2</v>
      </c>
      <c r="Y61" t="s">
        <v>155</v>
      </c>
    </row>
    <row r="62" spans="1:25" x14ac:dyDescent="0.3">
      <c r="A62">
        <v>7</v>
      </c>
      <c r="B62">
        <v>99</v>
      </c>
      <c r="C62">
        <v>10</v>
      </c>
      <c r="D62">
        <v>7</v>
      </c>
      <c r="E62" t="s">
        <v>26</v>
      </c>
      <c r="F62">
        <v>6</v>
      </c>
      <c r="G62" s="44">
        <v>-0.44622000740315798</v>
      </c>
      <c r="H62" s="44">
        <v>0.27646417843775201</v>
      </c>
      <c r="I62" s="44">
        <v>0.52492355344958197</v>
      </c>
      <c r="J62" s="44">
        <v>2.6613E-4</v>
      </c>
      <c r="K62" s="44">
        <v>2.51831E-2</v>
      </c>
      <c r="L62">
        <v>0.97471600000000003</v>
      </c>
      <c r="M62" s="44">
        <v>0.41836667621661899</v>
      </c>
      <c r="N62" s="44">
        <v>-0.41836667621661899</v>
      </c>
      <c r="O62">
        <v>6000</v>
      </c>
      <c r="P62">
        <v>16</v>
      </c>
      <c r="Q62">
        <v>1</v>
      </c>
      <c r="R62">
        <v>1</v>
      </c>
      <c r="S62">
        <v>2</v>
      </c>
      <c r="T62">
        <v>0.01</v>
      </c>
      <c r="U62">
        <v>16</v>
      </c>
      <c r="V62">
        <v>0</v>
      </c>
      <c r="W62">
        <v>0</v>
      </c>
      <c r="X62">
        <v>276</v>
      </c>
      <c r="Y62" t="s">
        <v>156</v>
      </c>
    </row>
    <row r="63" spans="1:25" x14ac:dyDescent="0.3">
      <c r="A63">
        <v>8</v>
      </c>
      <c r="B63">
        <v>42</v>
      </c>
      <c r="C63">
        <v>11</v>
      </c>
      <c r="D63">
        <v>8</v>
      </c>
      <c r="E63" t="s">
        <v>26</v>
      </c>
      <c r="F63">
        <v>7</v>
      </c>
      <c r="G63" s="98">
        <v>-0.443539950690576</v>
      </c>
      <c r="H63" s="44">
        <v>0.26338438428719102</v>
      </c>
      <c r="I63" s="44">
        <v>0.51584786686090101</v>
      </c>
      <c r="J63" s="44">
        <v>2.6996639999999998E-4</v>
      </c>
      <c r="K63" s="44">
        <v>3.7263009999999999E-2</v>
      </c>
      <c r="L63">
        <v>0.97308700000000004</v>
      </c>
      <c r="M63" s="44">
        <v>0.41836667621661899</v>
      </c>
      <c r="N63" s="44">
        <v>-0.41836667621661899</v>
      </c>
      <c r="O63">
        <v>6000</v>
      </c>
      <c r="P63">
        <v>16</v>
      </c>
      <c r="Q63">
        <v>1</v>
      </c>
      <c r="R63">
        <v>1</v>
      </c>
      <c r="S63">
        <v>2</v>
      </c>
      <c r="T63">
        <v>0.01</v>
      </c>
      <c r="U63">
        <v>16</v>
      </c>
      <c r="V63">
        <v>0</v>
      </c>
      <c r="W63">
        <v>0</v>
      </c>
      <c r="X63">
        <v>286.89999999999998</v>
      </c>
      <c r="Y63" t="s">
        <v>157</v>
      </c>
    </row>
    <row r="64" spans="1:25" x14ac:dyDescent="0.3">
      <c r="A64">
        <v>8</v>
      </c>
      <c r="B64">
        <v>45</v>
      </c>
      <c r="C64">
        <v>11</v>
      </c>
      <c r="D64">
        <v>8</v>
      </c>
      <c r="E64" t="s">
        <v>26</v>
      </c>
      <c r="F64">
        <v>7</v>
      </c>
      <c r="G64" s="98">
        <v>0.44333610781636201</v>
      </c>
      <c r="H64" s="44">
        <v>-0.26306995462493699</v>
      </c>
      <c r="I64" s="44">
        <v>0.51551208086729405</v>
      </c>
      <c r="J64" s="44">
        <v>2.7102380000000001E-4</v>
      </c>
      <c r="K64" s="44">
        <v>2.5867879999999999E-2</v>
      </c>
      <c r="L64">
        <v>0.97338400000000003</v>
      </c>
      <c r="M64" s="44">
        <v>0.41836667621661899</v>
      </c>
      <c r="N64" s="44">
        <v>-0.41836667621661899</v>
      </c>
      <c r="O64">
        <v>6000</v>
      </c>
      <c r="P64">
        <v>16</v>
      </c>
      <c r="Q64">
        <v>1</v>
      </c>
      <c r="R64">
        <v>1</v>
      </c>
      <c r="S64">
        <v>2</v>
      </c>
      <c r="T64">
        <v>0.01</v>
      </c>
      <c r="U64">
        <v>16</v>
      </c>
      <c r="V64">
        <v>0</v>
      </c>
      <c r="W64">
        <v>0</v>
      </c>
      <c r="X64">
        <v>277.60000000000002</v>
      </c>
      <c r="Y64" t="s">
        <v>158</v>
      </c>
    </row>
    <row r="65" spans="1:25" x14ac:dyDescent="0.3">
      <c r="A65">
        <v>8</v>
      </c>
      <c r="B65">
        <v>99</v>
      </c>
      <c r="C65">
        <v>11</v>
      </c>
      <c r="D65">
        <v>8</v>
      </c>
      <c r="E65" t="s">
        <v>26</v>
      </c>
      <c r="F65">
        <v>7</v>
      </c>
      <c r="G65" s="98">
        <v>-0.44357481863728598</v>
      </c>
      <c r="H65" s="44">
        <v>0.26344683744469</v>
      </c>
      <c r="I65" s="44">
        <v>0.51590973618328895</v>
      </c>
      <c r="J65" s="44">
        <v>2.753597E-4</v>
      </c>
      <c r="K65" s="44">
        <v>2.7741410000000001E-2</v>
      </c>
      <c r="L65">
        <v>0.97208899999999998</v>
      </c>
      <c r="M65" s="44">
        <v>0.41836667621661899</v>
      </c>
      <c r="N65" s="44">
        <v>-0.41836667621661899</v>
      </c>
      <c r="O65">
        <v>6000</v>
      </c>
      <c r="P65">
        <v>16</v>
      </c>
      <c r="Q65">
        <v>1</v>
      </c>
      <c r="R65">
        <v>1</v>
      </c>
      <c r="S65">
        <v>2</v>
      </c>
      <c r="T65">
        <v>0.01</v>
      </c>
      <c r="U65">
        <v>16</v>
      </c>
      <c r="V65">
        <v>0</v>
      </c>
      <c r="W65">
        <v>0</v>
      </c>
      <c r="X65">
        <v>272.60000000000002</v>
      </c>
      <c r="Y65" t="s">
        <v>159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D53B8-AF40-4063-BE31-0BCFE937305D}">
  <dimension ref="A1:M21"/>
  <sheetViews>
    <sheetView workbookViewId="0">
      <selection activeCell="M3" sqref="M3"/>
    </sheetView>
  </sheetViews>
  <sheetFormatPr defaultRowHeight="14.4" x14ac:dyDescent="0.3"/>
  <sheetData>
    <row r="1" spans="1:13" ht="15" thickBot="1" x14ac:dyDescent="0.35"/>
    <row r="2" spans="1:13" x14ac:dyDescent="0.3">
      <c r="E2" s="77" t="s">
        <v>85</v>
      </c>
      <c r="F2" s="56"/>
      <c r="K2" t="s">
        <v>28</v>
      </c>
      <c r="L2" t="s">
        <v>88</v>
      </c>
      <c r="M2" t="s">
        <v>89</v>
      </c>
    </row>
    <row r="3" spans="1:13" x14ac:dyDescent="0.3">
      <c r="A3" t="s">
        <v>28</v>
      </c>
      <c r="B3" t="s">
        <v>86</v>
      </c>
      <c r="C3" t="s">
        <v>87</v>
      </c>
      <c r="D3" s="78"/>
      <c r="E3" s="57" t="s">
        <v>78</v>
      </c>
      <c r="F3" s="58" t="s">
        <v>79</v>
      </c>
      <c r="G3" s="78"/>
      <c r="H3" s="78"/>
      <c r="K3">
        <v>0</v>
      </c>
      <c r="L3">
        <v>0.40987000000000001</v>
      </c>
      <c r="M3">
        <v>-0.42510999999999999</v>
      </c>
    </row>
    <row r="4" spans="1:13" x14ac:dyDescent="0.3">
      <c r="A4">
        <v>0</v>
      </c>
      <c r="B4">
        <v>0.41836667621661899</v>
      </c>
      <c r="C4">
        <v>-0.41836667621661899</v>
      </c>
      <c r="D4" s="79"/>
      <c r="E4" s="57">
        <v>0.41836699999999999</v>
      </c>
      <c r="F4" s="58">
        <v>-0.41836699999999999</v>
      </c>
      <c r="G4" s="79"/>
      <c r="H4">
        <f>B4-E4</f>
        <v>-3.2378338099547932E-7</v>
      </c>
      <c r="I4">
        <f>C4-F4</f>
        <v>3.2378338099547932E-7</v>
      </c>
      <c r="K4">
        <v>0.05</v>
      </c>
      <c r="L4">
        <v>0.41117999999999999</v>
      </c>
      <c r="M4">
        <v>-0.42420999999999998</v>
      </c>
    </row>
    <row r="5" spans="1:13" x14ac:dyDescent="0.3">
      <c r="A5">
        <v>0.05</v>
      </c>
      <c r="B5">
        <v>0.41950157965088097</v>
      </c>
      <c r="C5">
        <v>-0.41723177278235801</v>
      </c>
      <c r="D5" s="79"/>
      <c r="E5" s="57">
        <v>0.41950199999999999</v>
      </c>
      <c r="F5" s="58">
        <v>-0.41723199999999999</v>
      </c>
      <c r="G5" s="79"/>
      <c r="H5">
        <f t="shared" ref="H5:I21" si="0">B5-E5</f>
        <v>-4.2034911901245309E-7</v>
      </c>
      <c r="I5">
        <f t="shared" si="0"/>
        <v>2.2721764197930483E-7</v>
      </c>
      <c r="K5">
        <v>0.1</v>
      </c>
      <c r="L5">
        <v>0.41249999999999998</v>
      </c>
      <c r="M5">
        <v>-0.42331000000000002</v>
      </c>
    </row>
    <row r="6" spans="1:13" x14ac:dyDescent="0.3">
      <c r="A6">
        <v>0.1</v>
      </c>
      <c r="B6">
        <v>0.42063648308514201</v>
      </c>
      <c r="C6">
        <v>-0.41609686934809598</v>
      </c>
      <c r="D6" s="79"/>
      <c r="E6" s="57">
        <v>0.42063600000000001</v>
      </c>
      <c r="F6" s="58">
        <v>-0.41609699999999999</v>
      </c>
      <c r="G6" s="79"/>
      <c r="H6">
        <f t="shared" si="0"/>
        <v>4.8308514200012809E-7</v>
      </c>
      <c r="I6">
        <f t="shared" si="0"/>
        <v>1.3065190401784221E-7</v>
      </c>
      <c r="K6">
        <v>0.15</v>
      </c>
      <c r="L6">
        <v>0.41382000000000002</v>
      </c>
      <c r="M6">
        <v>-0.4224</v>
      </c>
    </row>
    <row r="7" spans="1:13" x14ac:dyDescent="0.3">
      <c r="A7">
        <v>0.15</v>
      </c>
      <c r="B7">
        <v>0.42177138651940399</v>
      </c>
      <c r="C7">
        <v>-0.414961965913835</v>
      </c>
      <c r="D7" s="79"/>
      <c r="E7" s="67">
        <v>0.42177100000000001</v>
      </c>
      <c r="F7" s="69">
        <v>-0.414962</v>
      </c>
      <c r="G7" s="79"/>
      <c r="H7">
        <f t="shared" si="0"/>
        <v>3.8651940398315432E-7</v>
      </c>
      <c r="I7">
        <f t="shared" si="0"/>
        <v>3.4086165001667723E-8</v>
      </c>
      <c r="K7">
        <v>0.2</v>
      </c>
      <c r="L7">
        <v>0.41513</v>
      </c>
      <c r="M7">
        <v>-0.42149999999999999</v>
      </c>
    </row>
    <row r="8" spans="1:13" x14ac:dyDescent="0.3">
      <c r="A8">
        <v>0.2</v>
      </c>
      <c r="B8">
        <v>0.42290628995366503</v>
      </c>
      <c r="C8">
        <v>-0.41382706247957302</v>
      </c>
      <c r="D8" s="79"/>
      <c r="E8" s="57">
        <v>0.422906</v>
      </c>
      <c r="F8" s="58">
        <v>-0.413827</v>
      </c>
      <c r="G8" s="79"/>
      <c r="H8">
        <f t="shared" si="0"/>
        <v>2.8995366502249098E-7</v>
      </c>
      <c r="I8">
        <f t="shared" si="0"/>
        <v>-6.2479573015306045E-8</v>
      </c>
      <c r="K8">
        <v>0.3</v>
      </c>
      <c r="L8">
        <v>0.41776999999999997</v>
      </c>
      <c r="M8">
        <v>-0.41969000000000001</v>
      </c>
    </row>
    <row r="9" spans="1:13" x14ac:dyDescent="0.3">
      <c r="A9">
        <v>0.3</v>
      </c>
      <c r="B9">
        <v>0.42517609682218899</v>
      </c>
      <c r="C9">
        <v>-0.41155725561105</v>
      </c>
      <c r="D9" s="79"/>
      <c r="E9" s="57">
        <v>0.425176</v>
      </c>
      <c r="F9" s="58">
        <v>-0.41155700000000001</v>
      </c>
      <c r="G9" s="79"/>
      <c r="H9">
        <f t="shared" si="0"/>
        <v>9.6822188988543445E-8</v>
      </c>
      <c r="I9">
        <f t="shared" si="0"/>
        <v>-2.5561104999294315E-7</v>
      </c>
      <c r="K9">
        <v>0.4</v>
      </c>
      <c r="L9">
        <v>0.4204</v>
      </c>
      <c r="M9">
        <v>-0.41787999999999997</v>
      </c>
    </row>
    <row r="10" spans="1:13" x14ac:dyDescent="0.3">
      <c r="A10">
        <v>0.4</v>
      </c>
      <c r="B10">
        <v>0.427445903690712</v>
      </c>
      <c r="C10">
        <v>-0.40928744874252698</v>
      </c>
      <c r="D10" s="79"/>
      <c r="E10" s="57">
        <v>0.42744599999999999</v>
      </c>
      <c r="F10" s="58">
        <v>-0.40928700000000001</v>
      </c>
      <c r="G10" s="79"/>
      <c r="H10">
        <f t="shared" si="0"/>
        <v>-9.6309287989093662E-8</v>
      </c>
      <c r="I10">
        <f t="shared" si="0"/>
        <v>-4.4874252697058026E-7</v>
      </c>
      <c r="K10">
        <v>0.5</v>
      </c>
      <c r="L10">
        <v>0.42303000000000002</v>
      </c>
      <c r="M10">
        <v>-0.41607</v>
      </c>
    </row>
    <row r="11" spans="1:13" x14ac:dyDescent="0.3">
      <c r="A11">
        <v>0.5</v>
      </c>
      <c r="B11">
        <v>0.42971571055923502</v>
      </c>
      <c r="C11">
        <v>-0.40701764187400402</v>
      </c>
      <c r="D11" s="79"/>
      <c r="E11" s="57">
        <v>0.42971599999999999</v>
      </c>
      <c r="F11" s="58">
        <v>-0.40701799999999999</v>
      </c>
      <c r="G11" s="79"/>
      <c r="H11">
        <f t="shared" si="0"/>
        <v>-2.8944076496673077E-7</v>
      </c>
      <c r="I11">
        <f t="shared" si="0"/>
        <v>3.58125995969516E-7</v>
      </c>
      <c r="K11">
        <v>0.6</v>
      </c>
      <c r="L11">
        <v>0.42566999999999999</v>
      </c>
      <c r="M11">
        <v>-0.41426000000000002</v>
      </c>
    </row>
    <row r="12" spans="1:13" x14ac:dyDescent="0.3">
      <c r="A12">
        <v>0.6</v>
      </c>
      <c r="B12">
        <v>0.43198551742775798</v>
      </c>
      <c r="C12">
        <v>-0.40474783500548001</v>
      </c>
      <c r="D12" s="79"/>
      <c r="E12" s="57">
        <v>0.43198599999999998</v>
      </c>
      <c r="F12" s="58">
        <v>-0.404748</v>
      </c>
      <c r="G12" s="79"/>
      <c r="H12">
        <f t="shared" si="0"/>
        <v>-4.8257224199987903E-7</v>
      </c>
      <c r="I12">
        <f t="shared" si="0"/>
        <v>1.6499451999107961E-7</v>
      </c>
      <c r="K12">
        <v>0.7</v>
      </c>
      <c r="L12">
        <v>0.42830000000000001</v>
      </c>
      <c r="M12">
        <v>-0.41244999999999998</v>
      </c>
    </row>
    <row r="13" spans="1:13" x14ac:dyDescent="0.3">
      <c r="A13">
        <v>0.7</v>
      </c>
      <c r="B13">
        <v>0.434255324296281</v>
      </c>
      <c r="C13">
        <v>-0.40247802813695699</v>
      </c>
      <c r="D13" s="79"/>
      <c r="E13" s="57">
        <v>0.434255</v>
      </c>
      <c r="F13" s="58">
        <v>-0.402478</v>
      </c>
      <c r="G13" s="79"/>
      <c r="H13">
        <f t="shared" si="0"/>
        <v>3.2429628099572838E-7</v>
      </c>
      <c r="I13">
        <f t="shared" si="0"/>
        <v>-2.8136956986557493E-8</v>
      </c>
      <c r="K13">
        <v>0.8</v>
      </c>
      <c r="L13">
        <v>0.43092999999999998</v>
      </c>
      <c r="M13">
        <v>-0.41065000000000002</v>
      </c>
    </row>
    <row r="14" spans="1:13" x14ac:dyDescent="0.3">
      <c r="A14">
        <v>0.8</v>
      </c>
      <c r="B14">
        <v>0.43652513116480401</v>
      </c>
      <c r="C14">
        <v>-0.40020822126843397</v>
      </c>
      <c r="D14" s="79"/>
      <c r="E14" s="57">
        <v>0.436525</v>
      </c>
      <c r="F14" s="58">
        <v>-0.40020800000000001</v>
      </c>
      <c r="G14" s="79"/>
      <c r="H14">
        <f t="shared" si="0"/>
        <v>1.3116480401809127E-7</v>
      </c>
      <c r="I14">
        <f t="shared" si="0"/>
        <v>-2.212684339641946E-7</v>
      </c>
      <c r="K14">
        <v>0.9</v>
      </c>
      <c r="L14">
        <v>0.43357000000000001</v>
      </c>
      <c r="M14">
        <v>-0.40883999999999998</v>
      </c>
    </row>
    <row r="15" spans="1:13" x14ac:dyDescent="0.3">
      <c r="A15">
        <v>0.9</v>
      </c>
      <c r="B15">
        <v>0.43879493803332797</v>
      </c>
      <c r="C15">
        <v>-0.39793841439991101</v>
      </c>
      <c r="D15" s="79"/>
      <c r="E15" s="57">
        <v>0.43879499999999999</v>
      </c>
      <c r="F15" s="58">
        <v>-0.39793800000000001</v>
      </c>
      <c r="G15" s="79"/>
      <c r="H15">
        <f t="shared" si="0"/>
        <v>-6.1966672015856261E-8</v>
      </c>
      <c r="I15">
        <f t="shared" si="0"/>
        <v>-4.1439991099734286E-7</v>
      </c>
      <c r="K15">
        <v>1</v>
      </c>
      <c r="L15">
        <v>0.43619999999999998</v>
      </c>
      <c r="M15">
        <v>-0.40703</v>
      </c>
    </row>
    <row r="16" spans="1:13" x14ac:dyDescent="0.3">
      <c r="A16">
        <v>1</v>
      </c>
      <c r="B16">
        <v>0.44106474490185099</v>
      </c>
      <c r="C16">
        <v>-0.39566860753138799</v>
      </c>
      <c r="D16" s="79"/>
      <c r="E16" s="57">
        <v>0.44106499999999998</v>
      </c>
      <c r="F16" s="58">
        <v>-0.39566899999999999</v>
      </c>
      <c r="G16" s="79"/>
      <c r="H16">
        <f t="shared" si="0"/>
        <v>-2.5509814899349337E-7</v>
      </c>
      <c r="I16">
        <f t="shared" si="0"/>
        <v>3.9246861199826455E-7</v>
      </c>
      <c r="K16">
        <v>1.1000000000000001</v>
      </c>
      <c r="L16">
        <v>0.43883</v>
      </c>
      <c r="M16">
        <v>-0.40522000000000002</v>
      </c>
    </row>
    <row r="17" spans="1:13" x14ac:dyDescent="0.3">
      <c r="A17">
        <v>1.1000000000000001</v>
      </c>
      <c r="B17">
        <v>0.44333455177037401</v>
      </c>
      <c r="C17">
        <v>-0.39339880066286498</v>
      </c>
      <c r="E17" s="57">
        <v>0.44333499999999998</v>
      </c>
      <c r="F17" s="58">
        <v>-0.393399</v>
      </c>
      <c r="H17">
        <f t="shared" si="0"/>
        <v>-4.4822962597113047E-7</v>
      </c>
      <c r="I17">
        <f t="shared" si="0"/>
        <v>1.9933713502062744E-7</v>
      </c>
      <c r="K17">
        <v>2</v>
      </c>
      <c r="L17">
        <v>0.46253</v>
      </c>
      <c r="M17">
        <v>-0.38894000000000001</v>
      </c>
    </row>
    <row r="18" spans="1:13" x14ac:dyDescent="0.3">
      <c r="A18">
        <v>2</v>
      </c>
      <c r="B18">
        <v>0.46376281358708199</v>
      </c>
      <c r="C18">
        <v>-0.372970538846156</v>
      </c>
      <c r="E18" s="57">
        <v>0.46376299999999998</v>
      </c>
      <c r="F18" s="58">
        <v>-0.372971</v>
      </c>
      <c r="H18">
        <f t="shared" si="0"/>
        <v>-1.8641291799070814E-7</v>
      </c>
      <c r="I18">
        <f t="shared" si="0"/>
        <v>4.611538440002505E-7</v>
      </c>
      <c r="K18">
        <v>3</v>
      </c>
      <c r="L18">
        <v>0.48887000000000003</v>
      </c>
      <c r="M18">
        <v>-0.37086000000000002</v>
      </c>
    </row>
    <row r="19" spans="1:13" x14ac:dyDescent="0.3">
      <c r="A19">
        <v>3</v>
      </c>
      <c r="B19">
        <v>0.48646088227231399</v>
      </c>
      <c r="C19">
        <v>-0.350272470160925</v>
      </c>
      <c r="E19" s="57">
        <v>0.48646099999999998</v>
      </c>
      <c r="F19" s="58">
        <v>-0.35027200000000003</v>
      </c>
      <c r="H19">
        <f t="shared" si="0"/>
        <v>-1.1772768598872219E-7</v>
      </c>
      <c r="I19">
        <f t="shared" si="0"/>
        <v>-4.7016092497020878E-7</v>
      </c>
      <c r="K19">
        <v>4</v>
      </c>
      <c r="L19">
        <v>0.51519999999999999</v>
      </c>
      <c r="M19">
        <v>-0.35276999999999997</v>
      </c>
    </row>
    <row r="20" spans="1:13" x14ac:dyDescent="0.3">
      <c r="A20">
        <v>4</v>
      </c>
      <c r="B20">
        <v>0.50915895095754504</v>
      </c>
      <c r="C20">
        <v>-0.327574401475694</v>
      </c>
      <c r="E20" s="57">
        <v>0.50915900000000003</v>
      </c>
      <c r="F20" s="58">
        <v>-0.32757399999999998</v>
      </c>
      <c r="H20">
        <f t="shared" si="0"/>
        <v>-4.9042454985936956E-8</v>
      </c>
      <c r="I20">
        <f t="shared" si="0"/>
        <v>-4.014756940229347E-7</v>
      </c>
      <c r="K20">
        <v>8</v>
      </c>
      <c r="L20">
        <v>0.62053999999999998</v>
      </c>
      <c r="M20">
        <v>-0.28043000000000001</v>
      </c>
    </row>
    <row r="21" spans="1:13" ht="15" thickBot="1" x14ac:dyDescent="0.35">
      <c r="A21">
        <v>8</v>
      </c>
      <c r="B21">
        <v>0.59995122569847104</v>
      </c>
      <c r="C21">
        <v>-0.23678212673476801</v>
      </c>
      <c r="E21" s="59">
        <v>0.59995100000000001</v>
      </c>
      <c r="F21" s="61">
        <v>-0.23678199999999999</v>
      </c>
      <c r="H21">
        <f t="shared" si="0"/>
        <v>2.2569847102360541E-7</v>
      </c>
      <c r="I21">
        <f t="shared" si="0"/>
        <v>-1.2673476801339234E-7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0B79-ECEB-4ED4-B865-F2A092ED25FC}">
  <dimension ref="A1:AY89"/>
  <sheetViews>
    <sheetView topLeftCell="I1" zoomScale="115" zoomScaleNormal="115" workbookViewId="0">
      <selection activeCell="R5" sqref="R5"/>
    </sheetView>
  </sheetViews>
  <sheetFormatPr defaultRowHeight="14.4" x14ac:dyDescent="0.3"/>
  <cols>
    <col min="1" max="3" width="8.88671875" style="17"/>
    <col min="4" max="4" width="8.88671875" style="17" customWidth="1"/>
    <col min="5" max="5" width="17.77734375" style="17" bestFit="1" customWidth="1"/>
    <col min="6" max="6" width="18.77734375" style="17" customWidth="1"/>
    <col min="7" max="18" width="8.88671875" style="17"/>
    <col min="19" max="19" width="11.6640625" style="17" customWidth="1"/>
    <col min="20" max="20" width="8.88671875" style="17"/>
    <col min="21" max="21" width="9.88671875" style="17" bestFit="1" customWidth="1"/>
    <col min="22" max="22" width="18.44140625" customWidth="1"/>
    <col min="25" max="25" width="11" style="13" customWidth="1"/>
    <col min="26" max="26" width="8.88671875" style="13"/>
    <col min="27" max="27" width="9.5546875" style="8" bestFit="1" customWidth="1"/>
    <col min="28" max="28" width="23.88671875" style="8" bestFit="1" customWidth="1"/>
    <col min="29" max="29" width="8.88671875" style="8"/>
    <col min="30" max="32" width="8.88671875" style="13"/>
    <col min="36" max="36" width="17.77734375" style="13" bestFit="1" customWidth="1"/>
    <col min="37" max="38" width="8.88671875" style="13"/>
    <col min="39" max="39" width="11.21875" style="13" bestFit="1" customWidth="1"/>
    <col min="40" max="40" width="16.6640625" bestFit="1" customWidth="1"/>
    <col min="41" max="41" width="8.88671875" customWidth="1"/>
    <col min="43" max="51" width="8.88671875" style="13"/>
  </cols>
  <sheetData>
    <row r="1" spans="1:51" s="13" customForma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AA1" s="17"/>
      <c r="AB1" s="17"/>
      <c r="AC1" s="17"/>
    </row>
    <row r="2" spans="1:51" s="13" customFormat="1" x14ac:dyDescent="0.3">
      <c r="A2" s="17"/>
      <c r="B2" s="17"/>
      <c r="C2" s="17"/>
      <c r="D2" s="17"/>
      <c r="E2" s="17"/>
      <c r="F2" s="17"/>
      <c r="G2" s="17"/>
      <c r="H2" s="17"/>
      <c r="I2" s="17" t="s">
        <v>58</v>
      </c>
      <c r="J2" s="17"/>
      <c r="K2" s="17"/>
      <c r="L2" s="17" t="s">
        <v>59</v>
      </c>
      <c r="M2" s="17"/>
      <c r="N2" s="17" t="s">
        <v>58</v>
      </c>
      <c r="O2" s="17" t="s">
        <v>57</v>
      </c>
      <c r="P2" s="17" t="s">
        <v>59</v>
      </c>
      <c r="Q2" s="17"/>
      <c r="R2" s="17"/>
      <c r="S2" s="25" t="s">
        <v>56</v>
      </c>
      <c r="T2" s="17"/>
      <c r="U2" s="17"/>
      <c r="AA2" s="17"/>
      <c r="AB2" s="17"/>
      <c r="AC2" s="17"/>
    </row>
    <row r="3" spans="1:51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H3" s="17" t="s">
        <v>62</v>
      </c>
      <c r="I3" s="17" t="s">
        <v>63</v>
      </c>
      <c r="J3" s="17" t="s">
        <v>64</v>
      </c>
      <c r="S3" s="25" t="s">
        <v>44</v>
      </c>
      <c r="T3" s="25" t="s">
        <v>45</v>
      </c>
      <c r="U3" s="25" t="s">
        <v>30</v>
      </c>
      <c r="V3" s="2" t="s">
        <v>5</v>
      </c>
      <c r="W3" s="2" t="s">
        <v>6</v>
      </c>
      <c r="X3" s="2" t="s">
        <v>7</v>
      </c>
      <c r="Y3" s="13" t="s">
        <v>8</v>
      </c>
      <c r="Z3" s="13" t="s">
        <v>28</v>
      </c>
      <c r="AA3" s="6" t="s">
        <v>31</v>
      </c>
      <c r="AB3" s="6" t="s">
        <v>29</v>
      </c>
      <c r="AC3" s="6" t="s">
        <v>30</v>
      </c>
      <c r="AD3" s="13" t="s">
        <v>27</v>
      </c>
      <c r="AE3" s="13" t="s">
        <v>9</v>
      </c>
      <c r="AF3" s="13" t="s">
        <v>10</v>
      </c>
      <c r="AG3" s="4" t="s">
        <v>11</v>
      </c>
      <c r="AH3" s="4" t="s">
        <v>12</v>
      </c>
      <c r="AI3" s="4" t="s">
        <v>13</v>
      </c>
      <c r="AJ3" s="13" t="s">
        <v>14</v>
      </c>
      <c r="AK3" s="13" t="s">
        <v>15</v>
      </c>
      <c r="AL3" s="19" t="s">
        <v>16</v>
      </c>
      <c r="AM3" s="19" t="s">
        <v>17</v>
      </c>
      <c r="AN3" s="9" t="s">
        <v>32</v>
      </c>
      <c r="AO3" s="9" t="s">
        <v>12</v>
      </c>
      <c r="AP3" s="9" t="s">
        <v>13</v>
      </c>
      <c r="AR3" s="13" t="s">
        <v>18</v>
      </c>
      <c r="AS3" s="13" t="s">
        <v>19</v>
      </c>
      <c r="AT3" s="13" t="s">
        <v>20</v>
      </c>
      <c r="AU3" s="13" t="s">
        <v>21</v>
      </c>
      <c r="AV3" s="13" t="s">
        <v>22</v>
      </c>
      <c r="AW3" s="13" t="s">
        <v>23</v>
      </c>
      <c r="AX3" s="13" t="s">
        <v>24</v>
      </c>
      <c r="AY3" s="13" t="s">
        <v>25</v>
      </c>
    </row>
    <row r="4" spans="1:51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5">
        <f>X4-AC4</f>
        <v>-4.9512172169989821E-3</v>
      </c>
      <c r="G4" s="15">
        <f>X4-AI4</f>
        <v>-3.641508477960631E-4</v>
      </c>
      <c r="H4" s="27">
        <f>S4-V4</f>
        <v>6.0864696860396528E-4</v>
      </c>
      <c r="I4" s="28">
        <f>T4-W4</f>
        <v>9.028182989001543E-5</v>
      </c>
      <c r="J4" s="29">
        <f>AVERAGE(H4:I4)</f>
        <v>3.4946439924699035E-4</v>
      </c>
      <c r="K4" s="28">
        <f>S4-AG4</f>
        <v>2.958879462999775E-6</v>
      </c>
      <c r="L4" s="28">
        <f>T4-AH4</f>
        <v>-1.2710578400909611E-7</v>
      </c>
      <c r="M4" s="29">
        <f>AVERAGE(K4:L4)</f>
        <v>1.4158868394953394E-6</v>
      </c>
      <c r="N4" s="27">
        <f>U4-X4</f>
        <v>3.660475161579857E-4</v>
      </c>
      <c r="O4" s="28">
        <f>U4-AC4</f>
        <v>-4.5851697008409964E-3</v>
      </c>
      <c r="P4" s="29">
        <f t="shared" ref="P4:P21" si="0">S4-AG4</f>
        <v>2.958879462999775E-6</v>
      </c>
      <c r="Q4" s="36">
        <f>S4-V4</f>
        <v>6.0864696860396528E-4</v>
      </c>
      <c r="R4" s="36">
        <f>T4-W4</f>
        <v>9.028182989001543E-5</v>
      </c>
      <c r="S4" s="25">
        <v>0.41836699999999999</v>
      </c>
      <c r="T4" s="25">
        <v>-0.41836699999999999</v>
      </c>
      <c r="U4" s="26">
        <v>0.59165999999999996</v>
      </c>
      <c r="V4" s="3">
        <v>0.41775835303139602</v>
      </c>
      <c r="W4" s="3">
        <v>-0.41845728182989</v>
      </c>
      <c r="X4" s="3">
        <v>0.59129395248384198</v>
      </c>
      <c r="Y4" s="15">
        <v>3.7952230000000002E-9</v>
      </c>
      <c r="Z4" s="16">
        <v>0</v>
      </c>
      <c r="AA4" s="7">
        <v>0.43343554653224398</v>
      </c>
      <c r="AB4" s="7">
        <v>-0.40944099623007901</v>
      </c>
      <c r="AC4" s="7">
        <v>0.59624516970084096</v>
      </c>
      <c r="AD4" s="15">
        <v>-3.641508477960631E-4</v>
      </c>
      <c r="AE4" s="15">
        <v>4.0188039999999997E-12</v>
      </c>
      <c r="AF4" s="15">
        <v>1</v>
      </c>
      <c r="AG4" s="5">
        <v>0.41836404112053699</v>
      </c>
      <c r="AH4" s="5">
        <v>-0.41836687289421598</v>
      </c>
      <c r="AI4" s="5">
        <v>0.59165810333163804</v>
      </c>
      <c r="AJ4" s="15">
        <v>2.8853750000000001E-5</v>
      </c>
      <c r="AK4" s="15">
        <v>1.035055E-3</v>
      </c>
      <c r="AL4" s="20">
        <v>0.41836667621661899</v>
      </c>
      <c r="AM4" s="20">
        <v>-0.41836667621661899</v>
      </c>
      <c r="AN4" s="10">
        <v>0.41836404112053699</v>
      </c>
      <c r="AO4" s="10">
        <v>-0.41836687289421598</v>
      </c>
      <c r="AP4" s="10">
        <v>0.59165810333163804</v>
      </c>
      <c r="AQ4" s="15"/>
      <c r="AR4" s="13">
        <v>16</v>
      </c>
      <c r="AS4" s="13">
        <v>1</v>
      </c>
      <c r="AT4" s="13">
        <v>1</v>
      </c>
      <c r="AU4" s="13">
        <v>2</v>
      </c>
      <c r="AV4" s="13">
        <v>0.01</v>
      </c>
      <c r="AW4" s="13">
        <v>8</v>
      </c>
      <c r="AX4" s="13">
        <v>15000</v>
      </c>
      <c r="AY4" s="13">
        <v>385.8</v>
      </c>
    </row>
    <row r="5" spans="1:51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F5" s="15">
        <f>X5-AC5</f>
        <v>-0.77723825012090308</v>
      </c>
      <c r="G5" s="15">
        <f>X5-AI5</f>
        <v>-9.5953533987058748E-5</v>
      </c>
      <c r="H5" s="30">
        <f t="shared" ref="H5:H7" si="1">S5-V5</f>
        <v>-1.3481898939898818E-4</v>
      </c>
      <c r="I5" s="15">
        <f t="shared" ref="I5:I7" si="2">T5-W5</f>
        <v>-3.0889199352901464E-4</v>
      </c>
      <c r="J5" s="31">
        <f t="shared" ref="J5:J13" si="3">AVERAGE(H5:I5)</f>
        <v>-2.2185549146400141E-4</v>
      </c>
      <c r="K5" s="15">
        <f t="shared" ref="K5:K13" si="4">S5-AG5</f>
        <v>2.5973623233976895E-5</v>
      </c>
      <c r="L5" s="15">
        <f t="shared" ref="L5:L13" si="5">T5-AH5</f>
        <v>-1.1038026666965184E-5</v>
      </c>
      <c r="M5" s="31">
        <f>AVERAGE(K5:L5)</f>
        <v>7.4677982835058554E-6</v>
      </c>
      <c r="N5" s="30">
        <f t="shared" ref="N5:N8" si="6">U5-X5</f>
        <v>1.2169043410303892E-4</v>
      </c>
      <c r="O5" s="15">
        <f t="shared" ref="O5:O8" si="7">U5-AC5</f>
        <v>-0.77711655968680005</v>
      </c>
      <c r="P5" s="31">
        <f t="shared" si="0"/>
        <v>2.5973623233976895E-5</v>
      </c>
      <c r="Q5" s="36">
        <f t="shared" ref="Q5:Q8" si="8">S5-V5</f>
        <v>-1.3481898939898818E-4</v>
      </c>
      <c r="R5" s="36">
        <f t="shared" ref="R5:R8" si="9">T5-W5</f>
        <v>-3.0889199352901464E-4</v>
      </c>
      <c r="S5" s="25">
        <v>0.41950199999999999</v>
      </c>
      <c r="T5" s="25">
        <v>-0.41723199999999999</v>
      </c>
      <c r="U5" s="26">
        <v>0.59166200000000002</v>
      </c>
      <c r="V5" s="3">
        <v>0.41963681898939897</v>
      </c>
      <c r="W5" s="3">
        <v>-0.41692310800647098</v>
      </c>
      <c r="X5" s="3">
        <v>0.59154030956589698</v>
      </c>
      <c r="Y5" s="15">
        <v>6.5112070000000004E-6</v>
      </c>
      <c r="Z5" s="16">
        <v>0.05</v>
      </c>
      <c r="AA5" s="7">
        <v>-0.848777584461895</v>
      </c>
      <c r="AB5" s="7">
        <v>-1.07383953995618</v>
      </c>
      <c r="AC5" s="7">
        <v>1.3687785596868001</v>
      </c>
      <c r="AD5" s="15">
        <v>-9.5953533987058748E-5</v>
      </c>
      <c r="AE5" s="15">
        <v>1.272908E-5</v>
      </c>
      <c r="AF5" s="15">
        <v>0.99999000000000005</v>
      </c>
      <c r="AG5" s="5">
        <v>0.41947602637676601</v>
      </c>
      <c r="AH5" s="5">
        <v>-0.41722096197333303</v>
      </c>
      <c r="AI5" s="5">
        <v>0.59163626309988404</v>
      </c>
      <c r="AJ5" s="15">
        <v>2.8197820000000001E-5</v>
      </c>
      <c r="AK5" s="15">
        <v>5.7211459999999997E-4</v>
      </c>
      <c r="AL5" s="20">
        <v>0.41836667621661899</v>
      </c>
      <c r="AM5" s="20">
        <v>-0.41836667621661899</v>
      </c>
      <c r="AN5" s="10">
        <v>0.41947602637676601</v>
      </c>
      <c r="AO5" s="10">
        <v>-0.41722096197333303</v>
      </c>
      <c r="AP5" s="10">
        <v>0.59163626309988404</v>
      </c>
      <c r="AQ5" s="15"/>
      <c r="AR5" s="13">
        <v>16</v>
      </c>
      <c r="AS5" s="13">
        <v>1</v>
      </c>
      <c r="AT5" s="13">
        <v>1</v>
      </c>
      <c r="AU5" s="13">
        <v>2</v>
      </c>
      <c r="AV5" s="13">
        <v>0.01</v>
      </c>
      <c r="AW5" s="13">
        <v>8</v>
      </c>
      <c r="AX5" s="13">
        <v>15000</v>
      </c>
      <c r="AY5" s="13">
        <v>394</v>
      </c>
    </row>
    <row r="6" spans="1:51" x14ac:dyDescent="0.3">
      <c r="A6" s="17">
        <v>0.1</v>
      </c>
      <c r="B6" s="17">
        <v>0</v>
      </c>
      <c r="C6" s="17">
        <v>0</v>
      </c>
      <c r="D6" s="17">
        <v>45</v>
      </c>
      <c r="E6" s="17" t="s">
        <v>26</v>
      </c>
      <c r="F6" s="15">
        <f t="shared" ref="F6:F21" si="10">X6-AC6</f>
        <v>-0.79577384758854808</v>
      </c>
      <c r="G6" s="15">
        <f>X6-AI6</f>
        <v>-2.6636799962320712E-3</v>
      </c>
      <c r="H6" s="30">
        <f t="shared" si="1"/>
        <v>-9.7036626889901445E-4</v>
      </c>
      <c r="I6" s="15">
        <f t="shared" si="2"/>
        <v>-9.3482502212319796E-3</v>
      </c>
      <c r="J6" s="31">
        <f t="shared" si="3"/>
        <v>-5.159308245065497E-3</v>
      </c>
      <c r="K6" s="15">
        <f t="shared" si="4"/>
        <v>6.9751145884490162E-3</v>
      </c>
      <c r="L6" s="15">
        <f t="shared" si="5"/>
        <v>2.4829403544470163E-3</v>
      </c>
      <c r="M6" s="31">
        <f t="shared" ref="M6:M13" si="11">AVERAGE(K6:L6)</f>
        <v>4.7290274714480163E-3</v>
      </c>
      <c r="N6" s="30">
        <f t="shared" si="6"/>
        <v>5.8392691693980314E-3</v>
      </c>
      <c r="O6" s="15">
        <f t="shared" si="7"/>
        <v>-0.78993457841915005</v>
      </c>
      <c r="P6" s="31">
        <f t="shared" si="0"/>
        <v>6.9751145884490162E-3</v>
      </c>
      <c r="Q6" s="36">
        <f t="shared" si="8"/>
        <v>-9.7036626889901445E-4</v>
      </c>
      <c r="R6" s="36">
        <f t="shared" si="9"/>
        <v>-9.3482502212319796E-3</v>
      </c>
      <c r="S6" s="25">
        <v>0.42063600000000001</v>
      </c>
      <c r="T6" s="25">
        <v>-0.41609699999999999</v>
      </c>
      <c r="U6" s="26">
        <v>0.591669</v>
      </c>
      <c r="V6" s="3">
        <v>0.42160636626889902</v>
      </c>
      <c r="W6" s="3">
        <v>-0.40674874977876802</v>
      </c>
      <c r="X6" s="3">
        <v>0.58582973083060197</v>
      </c>
      <c r="Y6" s="15">
        <v>5.1723609999999998E-6</v>
      </c>
      <c r="Z6" s="16">
        <v>0.1</v>
      </c>
      <c r="AA6" s="7">
        <v>-0.58776712993599001</v>
      </c>
      <c r="AB6" s="7">
        <v>-1.25034325241807</v>
      </c>
      <c r="AC6" s="7">
        <v>1.38160357841915</v>
      </c>
      <c r="AD6" s="15">
        <v>-2.6636799962320712E-3</v>
      </c>
      <c r="AE6" s="15">
        <v>1.063996E-5</v>
      </c>
      <c r="AF6" s="15">
        <v>0.99999199999999999</v>
      </c>
      <c r="AG6" s="5">
        <v>0.41366088541155099</v>
      </c>
      <c r="AH6" s="5">
        <v>-0.41857994035444701</v>
      </c>
      <c r="AI6" s="5">
        <v>0.58849341082683404</v>
      </c>
      <c r="AJ6" s="15">
        <v>3.416428E-3</v>
      </c>
      <c r="AK6" s="15">
        <v>2.421707E-2</v>
      </c>
      <c r="AL6" s="20">
        <v>0.41836667621661899</v>
      </c>
      <c r="AM6" s="20">
        <v>-0.41836667621661899</v>
      </c>
      <c r="AN6" s="10">
        <v>0.41366088541155099</v>
      </c>
      <c r="AO6" s="10">
        <v>-0.41857994035444701</v>
      </c>
      <c r="AP6" s="10">
        <v>0.58849341082683404</v>
      </c>
      <c r="AQ6" s="15"/>
      <c r="AR6" s="13">
        <v>16</v>
      </c>
      <c r="AS6" s="13">
        <v>1</v>
      </c>
      <c r="AT6" s="13">
        <v>1</v>
      </c>
      <c r="AU6" s="13">
        <v>2</v>
      </c>
      <c r="AV6" s="13">
        <v>0.01</v>
      </c>
      <c r="AW6" s="13">
        <v>8</v>
      </c>
      <c r="AX6" s="13">
        <v>15000</v>
      </c>
      <c r="AY6" s="13">
        <v>385.1</v>
      </c>
    </row>
    <row r="7" spans="1:51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15">
        <f t="shared" si="10"/>
        <v>-0.798465666458817</v>
      </c>
      <c r="G7" s="15">
        <f t="shared" ref="G7:G21" si="12">X7-AI7</f>
        <v>-5.2652091043003946E-4</v>
      </c>
      <c r="H7" s="30">
        <f t="shared" si="1"/>
        <v>-6.9369144795219939E-3</v>
      </c>
      <c r="I7" s="15">
        <f t="shared" si="2"/>
        <v>-2.9717685689964024E-2</v>
      </c>
      <c r="J7" s="31">
        <f t="shared" si="3"/>
        <v>-1.8327300084743009E-2</v>
      </c>
      <c r="K7" s="15">
        <f t="shared" si="4"/>
        <v>5.4026693258464986E-2</v>
      </c>
      <c r="L7" s="15">
        <f t="shared" si="5"/>
        <v>2.9532097388607015E-2</v>
      </c>
      <c r="M7" s="31">
        <f t="shared" si="11"/>
        <v>4.1779395323536E-2</v>
      </c>
      <c r="N7" s="30">
        <f t="shared" si="6"/>
        <v>1.5307888956436977E-2</v>
      </c>
      <c r="O7" s="15">
        <f t="shared" si="7"/>
        <v>-0.78315777750238003</v>
      </c>
      <c r="P7" s="31">
        <f t="shared" si="0"/>
        <v>5.4026693258464986E-2</v>
      </c>
      <c r="Q7" s="36">
        <f t="shared" si="8"/>
        <v>-6.9369144795219939E-3</v>
      </c>
      <c r="R7" s="36">
        <f t="shared" si="9"/>
        <v>-2.9717685689964024E-2</v>
      </c>
      <c r="S7" s="25">
        <v>0.42177100000000001</v>
      </c>
      <c r="T7" s="25">
        <v>-0.414962</v>
      </c>
      <c r="U7" s="26">
        <v>0.59167899999999995</v>
      </c>
      <c r="V7" s="3">
        <v>0.428707914479522</v>
      </c>
      <c r="W7" s="3">
        <v>-0.38524431431003597</v>
      </c>
      <c r="X7" s="3">
        <v>0.57637111104356298</v>
      </c>
      <c r="Y7" s="15">
        <v>7.4347189999999996E-6</v>
      </c>
      <c r="Z7" s="16">
        <v>0.15</v>
      </c>
      <c r="AA7" s="7">
        <v>-0.57345809421691596</v>
      </c>
      <c r="AB7" s="7">
        <v>-1.24952870273165</v>
      </c>
      <c r="AC7" s="7">
        <v>1.37483677750238</v>
      </c>
      <c r="AD7" s="15">
        <v>-5.2652091043003946E-4</v>
      </c>
      <c r="AE7" s="15">
        <v>1.7411469999999999E-5</v>
      </c>
      <c r="AF7" s="15">
        <v>0.99997800000000003</v>
      </c>
      <c r="AG7" s="5">
        <v>0.36774430674153502</v>
      </c>
      <c r="AH7" s="5">
        <v>-0.44449409738860701</v>
      </c>
      <c r="AI7" s="5">
        <v>0.57689763195399302</v>
      </c>
      <c r="AJ7" s="15">
        <v>2.7174750000000001E-2</v>
      </c>
      <c r="AK7" s="15">
        <v>0.1473612</v>
      </c>
      <c r="AL7" s="20">
        <v>0.41836667621661899</v>
      </c>
      <c r="AM7" s="20">
        <v>-0.41836667621661899</v>
      </c>
      <c r="AN7" s="10">
        <v>0.36774430674153502</v>
      </c>
      <c r="AO7" s="10">
        <v>-0.44449409738860701</v>
      </c>
      <c r="AP7" s="10">
        <v>0.57689763195399302</v>
      </c>
      <c r="AQ7" s="15"/>
      <c r="AR7" s="13">
        <v>16</v>
      </c>
      <c r="AS7" s="13">
        <v>1</v>
      </c>
      <c r="AT7" s="13">
        <v>1</v>
      </c>
      <c r="AU7" s="13">
        <v>2</v>
      </c>
      <c r="AV7" s="13">
        <v>0.01</v>
      </c>
      <c r="AW7" s="13">
        <v>8</v>
      </c>
      <c r="AX7" s="13">
        <v>15000</v>
      </c>
      <c r="AY7" s="13">
        <v>384.8</v>
      </c>
    </row>
    <row r="8" spans="1:51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5">
        <f t="shared" si="10"/>
        <v>-0.88494332936368403</v>
      </c>
      <c r="G8" s="15">
        <f t="shared" si="12"/>
        <v>-8.4027863569863914E-2</v>
      </c>
      <c r="H8" s="30">
        <f>S8+V8</f>
        <v>0.85387876610749602</v>
      </c>
      <c r="I8" s="15">
        <f>T8+W8</f>
        <v>-0.78154566454008101</v>
      </c>
      <c r="J8" s="31">
        <f t="shared" si="3"/>
        <v>3.6166550783707507E-2</v>
      </c>
      <c r="K8" s="15">
        <f t="shared" si="4"/>
        <v>-0.14482747902228199</v>
      </c>
      <c r="L8" s="15">
        <f t="shared" si="5"/>
        <v>-9.6175809142145019E-2</v>
      </c>
      <c r="M8" s="31">
        <f t="shared" si="11"/>
        <v>-0.1205016440822135</v>
      </c>
      <c r="N8" s="30">
        <f t="shared" si="6"/>
        <v>2.5166499942423926E-2</v>
      </c>
      <c r="O8" s="15">
        <f t="shared" si="7"/>
        <v>-0.8597768294212601</v>
      </c>
      <c r="P8" s="31">
        <f t="shared" si="0"/>
        <v>-0.14482747902228199</v>
      </c>
      <c r="Q8" s="36">
        <f t="shared" si="8"/>
        <v>-8.0667661074960151E-3</v>
      </c>
      <c r="R8" s="36">
        <f t="shared" si="9"/>
        <v>-4.6108335459918992E-2</v>
      </c>
      <c r="S8" s="25">
        <v>0.422906</v>
      </c>
      <c r="T8" s="25">
        <v>-0.413827</v>
      </c>
      <c r="U8" s="26">
        <v>0.59169499999999997</v>
      </c>
      <c r="V8" s="3">
        <v>0.43097276610749602</v>
      </c>
      <c r="W8" s="3">
        <v>-0.36771866454008101</v>
      </c>
      <c r="X8" s="3">
        <v>0.56652850005757605</v>
      </c>
      <c r="Y8" s="15">
        <v>9.2594210000000006E-6</v>
      </c>
      <c r="Z8" s="16">
        <v>0.2</v>
      </c>
      <c r="AA8" s="7">
        <v>1.3767820939667501</v>
      </c>
      <c r="AB8" s="7">
        <v>0.45961020151430398</v>
      </c>
      <c r="AC8" s="7">
        <v>1.4514718294212601</v>
      </c>
      <c r="AD8" s="15">
        <v>-8.4027863569863914E-2</v>
      </c>
      <c r="AE8" s="15">
        <v>2.6227680000000002E-5</v>
      </c>
      <c r="AF8" s="15">
        <v>0.99996600000000002</v>
      </c>
      <c r="AG8" s="5">
        <v>0.56773347902228199</v>
      </c>
      <c r="AH8" s="5">
        <v>-0.31765119085785498</v>
      </c>
      <c r="AI8" s="5">
        <v>0.65055636362743996</v>
      </c>
      <c r="AJ8" s="15">
        <v>7.1912489999999996E-2</v>
      </c>
      <c r="AK8" s="15">
        <v>1.86188</v>
      </c>
      <c r="AL8" s="20">
        <v>0.41836667621661899</v>
      </c>
      <c r="AM8" s="20">
        <v>-0.41836667621661899</v>
      </c>
      <c r="AN8" s="10">
        <v>0.56773347902228199</v>
      </c>
      <c r="AO8" s="10">
        <v>-0.31765119085785498</v>
      </c>
      <c r="AP8" s="10">
        <v>0.65055636362743996</v>
      </c>
      <c r="AQ8" s="15"/>
      <c r="AR8" s="13">
        <v>16</v>
      </c>
      <c r="AS8" s="13">
        <v>1</v>
      </c>
      <c r="AT8" s="13">
        <v>1</v>
      </c>
      <c r="AU8" s="13">
        <v>2</v>
      </c>
      <c r="AV8" s="13">
        <v>0.01</v>
      </c>
      <c r="AW8" s="13">
        <v>8</v>
      </c>
      <c r="AX8" s="13">
        <v>15000</v>
      </c>
      <c r="AY8" s="13">
        <v>444.4</v>
      </c>
    </row>
    <row r="9" spans="1:51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5">
        <f t="shared" si="10"/>
        <v>-0.78908072051528999</v>
      </c>
      <c r="G9" s="15">
        <f t="shared" si="12"/>
        <v>-0.15643568404633801</v>
      </c>
      <c r="H9" s="30">
        <f>S9-V9</f>
        <v>-4.3133930512679886E-3</v>
      </c>
      <c r="I9" s="15">
        <f>T9-W9</f>
        <v>-6.9152274757150023E-2</v>
      </c>
      <c r="J9" s="31">
        <f t="shared" si="3"/>
        <v>-3.6732833904209006E-2</v>
      </c>
      <c r="K9" s="15">
        <f t="shared" si="4"/>
        <v>0.36277871944921547</v>
      </c>
      <c r="L9" s="15">
        <f t="shared" si="5"/>
        <v>0.29138891860893296</v>
      </c>
      <c r="M9" s="31">
        <f t="shared" si="11"/>
        <v>0.32708381902907424</v>
      </c>
      <c r="N9" s="30">
        <f t="shared" ref="N9:N21" si="13">U9-X9</f>
        <v>4.2463768102708022E-2</v>
      </c>
      <c r="O9" s="15">
        <f t="shared" ref="O9:O21" si="14">U9-AC9</f>
        <v>-0.74661695241258197</v>
      </c>
      <c r="P9" s="31">
        <f t="shared" si="0"/>
        <v>0.36277871944921547</v>
      </c>
      <c r="Q9" s="36">
        <f>S9-V9</f>
        <v>-4.3133930512679886E-3</v>
      </c>
      <c r="R9" s="36">
        <f>T9-W9</f>
        <v>-6.9152274757150023E-2</v>
      </c>
      <c r="S9">
        <v>0.42517609682218899</v>
      </c>
      <c r="T9">
        <v>-0.411557255611051</v>
      </c>
      <c r="U9">
        <v>0.59173819207065803</v>
      </c>
      <c r="V9" s="3">
        <v>0.42948948987345698</v>
      </c>
      <c r="W9" s="3">
        <v>-0.34240498085390098</v>
      </c>
      <c r="X9" s="3">
        <v>0.54927442396795001</v>
      </c>
      <c r="Y9" s="15">
        <v>1.260662E-5</v>
      </c>
      <c r="Z9" s="16">
        <v>0.3</v>
      </c>
      <c r="AA9" s="7">
        <v>-0.51319640661020205</v>
      </c>
      <c r="AB9" s="7">
        <v>-1.23605175498728</v>
      </c>
      <c r="AC9" s="7">
        <v>1.33835514448324</v>
      </c>
      <c r="AD9" s="15">
        <v>-0.15643568404633801</v>
      </c>
      <c r="AE9" s="15">
        <v>4.4370460000000002E-5</v>
      </c>
      <c r="AF9" s="15">
        <v>0.99992700000000001</v>
      </c>
      <c r="AG9" s="5">
        <v>6.2397377372973503E-2</v>
      </c>
      <c r="AH9" s="5">
        <v>-0.70294617421998395</v>
      </c>
      <c r="AI9" s="5">
        <v>0.70571010801428802</v>
      </c>
      <c r="AJ9" s="15">
        <v>0.1634166</v>
      </c>
      <c r="AK9" s="15">
        <v>0.7291029</v>
      </c>
      <c r="AL9" s="20">
        <v>0.41836667621661899</v>
      </c>
      <c r="AM9" s="20">
        <v>-0.41836667621661899</v>
      </c>
      <c r="AN9" s="10">
        <v>6.2397377372973503E-2</v>
      </c>
      <c r="AO9" s="10">
        <v>-0.70294617421998395</v>
      </c>
      <c r="AP9" s="10">
        <v>0.70571010801428802</v>
      </c>
      <c r="AQ9" s="15"/>
      <c r="AR9" s="13">
        <v>16</v>
      </c>
      <c r="AS9" s="13">
        <v>1</v>
      </c>
      <c r="AT9" s="13">
        <v>1</v>
      </c>
      <c r="AU9" s="13">
        <v>2</v>
      </c>
      <c r="AV9" s="13">
        <v>0.01</v>
      </c>
      <c r="AW9" s="13">
        <v>8</v>
      </c>
      <c r="AX9" s="13">
        <v>15000</v>
      </c>
      <c r="AY9" s="13">
        <v>506.8</v>
      </c>
    </row>
    <row r="10" spans="1:51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5">
        <f t="shared" si="10"/>
        <v>-1.3594691812391981</v>
      </c>
      <c r="G10" s="15">
        <f t="shared" si="12"/>
        <v>-0.76886848988379797</v>
      </c>
      <c r="H10" s="30">
        <f t="shared" ref="H10:H13" si="15">S10-V10</f>
        <v>-5.2667206278559919E-3</v>
      </c>
      <c r="I10" s="15">
        <f t="shared" ref="I10:I13" si="16">T10-W10</f>
        <v>-8.6629649314890977E-2</v>
      </c>
      <c r="J10" s="31">
        <f t="shared" si="3"/>
        <v>-4.5948184971373485E-2</v>
      </c>
      <c r="K10" s="15">
        <f t="shared" si="4"/>
        <v>-0.47763406431617295</v>
      </c>
      <c r="L10" s="15">
        <f t="shared" si="5"/>
        <v>0.53588806350745</v>
      </c>
      <c r="M10" s="31">
        <f t="shared" si="11"/>
        <v>2.9126999595638525E-2</v>
      </c>
      <c r="N10" s="30">
        <f t="shared" si="13"/>
        <v>5.2032268018549988E-2</v>
      </c>
      <c r="O10" s="15">
        <f t="shared" si="14"/>
        <v>-1.307436913220648</v>
      </c>
      <c r="P10" s="31">
        <f t="shared" si="0"/>
        <v>-0.47763406431617295</v>
      </c>
      <c r="Q10" s="36">
        <f t="shared" ref="Q10" si="17">S10-V10</f>
        <v>-5.2667206278559919E-3</v>
      </c>
      <c r="R10" s="36">
        <f t="shared" ref="R10" si="18">T10-W10</f>
        <v>-8.6629649314890977E-2</v>
      </c>
      <c r="S10">
        <v>0.427445903690712</v>
      </c>
      <c r="T10">
        <v>-0.40928744874252798</v>
      </c>
      <c r="U10">
        <v>0.59179913507890203</v>
      </c>
      <c r="V10" s="3">
        <v>0.432712624318568</v>
      </c>
      <c r="W10" s="3">
        <v>-0.322657799427637</v>
      </c>
      <c r="X10" s="3">
        <v>0.53976686706035204</v>
      </c>
      <c r="Y10" s="15">
        <v>1.0709689999999999E-5</v>
      </c>
      <c r="Z10" s="16">
        <v>0.4</v>
      </c>
      <c r="AA10" s="7">
        <v>1.3477248477236099</v>
      </c>
      <c r="AB10" s="7">
        <v>-1.33818358306656</v>
      </c>
      <c r="AC10" s="7">
        <v>1.8992360482995501</v>
      </c>
      <c r="AD10" s="15">
        <v>-0.76886848988379797</v>
      </c>
      <c r="AE10" s="15">
        <v>5.9196040000000003E-5</v>
      </c>
      <c r="AF10" s="15">
        <v>0.99996499999999999</v>
      </c>
      <c r="AG10" s="5">
        <v>0.90507996800688495</v>
      </c>
      <c r="AH10" s="5">
        <v>-0.94517551224997798</v>
      </c>
      <c r="AI10" s="5">
        <v>1.30863535694415</v>
      </c>
      <c r="AJ10" s="15">
        <v>0.2090562</v>
      </c>
      <c r="AK10" s="15">
        <v>0.59714639999999997</v>
      </c>
      <c r="AL10" s="20">
        <v>0.41836667621661899</v>
      </c>
      <c r="AM10" s="20">
        <v>-0.41836667621661899</v>
      </c>
      <c r="AN10" s="10">
        <v>0.90507996800688495</v>
      </c>
      <c r="AO10" s="10">
        <v>-0.94517551224997798</v>
      </c>
      <c r="AP10" s="10">
        <v>1.30863535694415</v>
      </c>
      <c r="AQ10" s="15"/>
      <c r="AR10" s="13">
        <v>16</v>
      </c>
      <c r="AS10" s="13">
        <v>1</v>
      </c>
      <c r="AT10" s="13">
        <v>1</v>
      </c>
      <c r="AU10" s="13">
        <v>2</v>
      </c>
      <c r="AV10" s="13">
        <v>0.01</v>
      </c>
      <c r="AW10" s="13">
        <v>8</v>
      </c>
      <c r="AX10" s="13">
        <v>15000</v>
      </c>
      <c r="AY10" s="13">
        <v>538.4</v>
      </c>
    </row>
    <row r="11" spans="1:51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5">
        <f t="shared" si="10"/>
        <v>-9.2164085226057013E-2</v>
      </c>
      <c r="G11" s="15">
        <f t="shared" si="12"/>
        <v>0.20171241190377698</v>
      </c>
      <c r="H11" s="30">
        <f>S11+V11</f>
        <v>0.87107448655430808</v>
      </c>
      <c r="I11" s="15">
        <f>T11+W11</f>
        <v>-0.75453065431637101</v>
      </c>
      <c r="J11" s="31">
        <f t="shared" si="3"/>
        <v>5.8271916118968536E-2</v>
      </c>
      <c r="K11" s="15">
        <f t="shared" si="4"/>
        <v>0.78890325657994609</v>
      </c>
      <c r="L11" s="15">
        <f t="shared" si="5"/>
        <v>-0.43174098588923021</v>
      </c>
      <c r="M11" s="31">
        <f t="shared" si="11"/>
        <v>0.17858113534535794</v>
      </c>
      <c r="N11" s="30">
        <f t="shared" si="13"/>
        <v>3.0127658756357034E-2</v>
      </c>
      <c r="O11" s="15">
        <f t="shared" si="14"/>
        <v>-6.2036426469699979E-2</v>
      </c>
      <c r="P11" s="31">
        <f t="shared" si="0"/>
        <v>0.78890325657994609</v>
      </c>
      <c r="Q11" s="36">
        <f>S11-V11</f>
        <v>-1.1643065435837985E-2</v>
      </c>
      <c r="R11" s="36">
        <f>T11-W11</f>
        <v>-5.9504629431639033E-2</v>
      </c>
      <c r="S11">
        <v>0.42971571055923502</v>
      </c>
      <c r="T11">
        <v>-0.40701764187400502</v>
      </c>
      <c r="U11">
        <v>0.59187748115476002</v>
      </c>
      <c r="V11" s="3">
        <v>0.441358775995073</v>
      </c>
      <c r="W11" s="3">
        <v>-0.34751301244236599</v>
      </c>
      <c r="X11" s="3">
        <v>0.56174982239840299</v>
      </c>
      <c r="Y11" s="15">
        <v>1.116719E-5</v>
      </c>
      <c r="Z11" s="16">
        <v>0.5</v>
      </c>
      <c r="AA11" s="7">
        <v>-0.63414752803858399</v>
      </c>
      <c r="AB11" s="7">
        <v>0.159562875592174</v>
      </c>
      <c r="AC11" s="7">
        <v>0.65391390762446</v>
      </c>
      <c r="AD11" s="15">
        <v>0.20171241190377698</v>
      </c>
      <c r="AE11" s="15">
        <v>5.5661439999999998E-5</v>
      </c>
      <c r="AF11" s="15">
        <v>0.99996399999999996</v>
      </c>
      <c r="AG11" s="5">
        <v>-0.35918754602071101</v>
      </c>
      <c r="AH11" s="5">
        <v>2.4723344015225201E-2</v>
      </c>
      <c r="AI11" s="5">
        <v>0.36003741049462601</v>
      </c>
      <c r="AJ11" s="15">
        <v>0.21294950000000001</v>
      </c>
      <c r="AK11" s="15">
        <v>0.92513860000000003</v>
      </c>
      <c r="AL11" s="20">
        <v>0.41836667621661899</v>
      </c>
      <c r="AM11" s="20">
        <v>-0.41836667621661899</v>
      </c>
      <c r="AN11" s="10">
        <v>-0.35918754602071101</v>
      </c>
      <c r="AO11" s="10">
        <v>2.4723344015225201E-2</v>
      </c>
      <c r="AP11" s="10">
        <v>0.36003741049462601</v>
      </c>
      <c r="AQ11" s="15"/>
      <c r="AR11" s="13">
        <v>16</v>
      </c>
      <c r="AS11" s="13">
        <v>1</v>
      </c>
      <c r="AT11" s="13">
        <v>1</v>
      </c>
      <c r="AU11" s="13">
        <v>2</v>
      </c>
      <c r="AV11" s="13">
        <v>0.01</v>
      </c>
      <c r="AW11" s="13">
        <v>8</v>
      </c>
      <c r="AX11" s="13">
        <v>15000</v>
      </c>
      <c r="AY11" s="13">
        <v>561.20000000000005</v>
      </c>
    </row>
    <row r="12" spans="1:51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5">
        <f t="shared" si="10"/>
        <v>-0.84354539986524113</v>
      </c>
      <c r="G12" s="15">
        <f t="shared" si="12"/>
        <v>-0.68426980158545092</v>
      </c>
      <c r="H12" s="30">
        <f>S12+V12</f>
        <v>0.86504763238912996</v>
      </c>
      <c r="I12" s="15">
        <f>T12+W12</f>
        <v>-0.68273136885670693</v>
      </c>
      <c r="J12" s="31">
        <f t="shared" si="3"/>
        <v>9.1158131766211514E-2</v>
      </c>
      <c r="K12" s="15">
        <f t="shared" si="4"/>
        <v>-0.72763073535445111</v>
      </c>
      <c r="L12" s="15">
        <f t="shared" si="5"/>
        <v>-0.70903287522796798</v>
      </c>
      <c r="M12" s="31">
        <f t="shared" si="11"/>
        <v>-0.71833180529120955</v>
      </c>
      <c r="N12" s="30">
        <f t="shared" si="13"/>
        <v>7.736887001860604E-2</v>
      </c>
      <c r="O12" s="15">
        <f t="shared" si="14"/>
        <v>-0.76617652984663509</v>
      </c>
      <c r="P12" s="31">
        <f t="shared" si="0"/>
        <v>-0.72763073535445111</v>
      </c>
      <c r="Q12" s="36">
        <f t="shared" ref="Q12:Q13" si="19">S12-V12</f>
        <v>-1.0765975336120004E-3</v>
      </c>
      <c r="R12" s="36">
        <f t="shared" ref="R12:R13" si="20">T12-W12</f>
        <v>-0.12676430115425702</v>
      </c>
      <c r="S12">
        <v>0.43198551742775898</v>
      </c>
      <c r="T12">
        <v>-0.404747835005482</v>
      </c>
      <c r="U12">
        <v>0.59197322338848501</v>
      </c>
      <c r="V12" s="3">
        <v>0.43306211496137098</v>
      </c>
      <c r="W12" s="3">
        <v>-0.27798353385122498</v>
      </c>
      <c r="X12" s="3">
        <v>0.51460435336987898</v>
      </c>
      <c r="Y12" s="15">
        <v>1.134407E-5</v>
      </c>
      <c r="Z12" s="16">
        <v>0.6</v>
      </c>
      <c r="AA12" s="7">
        <v>1.29884440994618</v>
      </c>
      <c r="AB12" s="7">
        <v>0.39695585518314602</v>
      </c>
      <c r="AC12" s="7">
        <v>1.3581497532351201</v>
      </c>
      <c r="AD12" s="15">
        <v>-0.68426980158545092</v>
      </c>
      <c r="AE12" s="15">
        <v>4.9417360000000003E-5</v>
      </c>
      <c r="AF12" s="15">
        <v>0.99993200000000004</v>
      </c>
      <c r="AG12" s="5">
        <v>1.15961625278221</v>
      </c>
      <c r="AH12" s="5">
        <v>0.30428504022248598</v>
      </c>
      <c r="AI12" s="5">
        <v>1.1988741549553299</v>
      </c>
      <c r="AJ12" s="15">
        <v>0.19559570000000001</v>
      </c>
      <c r="AK12" s="15">
        <v>1.328659</v>
      </c>
      <c r="AL12" s="20">
        <v>0.41836667621661899</v>
      </c>
      <c r="AM12" s="20">
        <v>-0.41836667621661899</v>
      </c>
      <c r="AN12" s="10">
        <v>1.15961625278221</v>
      </c>
      <c r="AO12" s="10">
        <v>0.30428504022248598</v>
      </c>
      <c r="AP12" s="10">
        <v>1.1988741549553299</v>
      </c>
      <c r="AQ12" s="15"/>
      <c r="AR12" s="13">
        <v>16</v>
      </c>
      <c r="AS12" s="13">
        <v>1</v>
      </c>
      <c r="AT12" s="13">
        <v>1</v>
      </c>
      <c r="AU12" s="13">
        <v>2</v>
      </c>
      <c r="AV12" s="13">
        <v>0.01</v>
      </c>
      <c r="AW12" s="13">
        <v>8</v>
      </c>
      <c r="AX12" s="13">
        <v>15000</v>
      </c>
      <c r="AY12" s="13">
        <v>564.4</v>
      </c>
    </row>
    <row r="13" spans="1:51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5">
        <f t="shared" si="10"/>
        <v>-1.4145697130045529</v>
      </c>
      <c r="G13" s="15">
        <f t="shared" si="12"/>
        <v>-1.1659008059386928</v>
      </c>
      <c r="H13" s="32">
        <f t="shared" si="15"/>
        <v>5.2653408476490138E-3</v>
      </c>
      <c r="I13" s="33">
        <f t="shared" si="16"/>
        <v>-0.12426644537632198</v>
      </c>
      <c r="J13" s="34">
        <f t="shared" si="3"/>
        <v>-5.9500552264336481E-2</v>
      </c>
      <c r="K13" s="33">
        <f t="shared" si="4"/>
        <v>-0.91896404012691801</v>
      </c>
      <c r="L13" s="33">
        <f t="shared" si="5"/>
        <v>0.58839072757685906</v>
      </c>
      <c r="M13" s="34">
        <f t="shared" si="11"/>
        <v>-0.16528665627502948</v>
      </c>
      <c r="N13" s="30">
        <f t="shared" si="13"/>
        <v>8.0780094156347015E-2</v>
      </c>
      <c r="O13" s="15">
        <f t="shared" si="14"/>
        <v>-1.3337896188482059</v>
      </c>
      <c r="P13" s="31">
        <f t="shared" si="0"/>
        <v>-0.91896404012691801</v>
      </c>
      <c r="Q13" s="36">
        <f t="shared" si="19"/>
        <v>5.2653408476490138E-3</v>
      </c>
      <c r="R13" s="36">
        <f t="shared" si="20"/>
        <v>-0.12426644537632198</v>
      </c>
      <c r="S13">
        <v>0.434255324296282</v>
      </c>
      <c r="T13">
        <v>-0.40247802813695999</v>
      </c>
      <c r="U13">
        <v>0.59208635334103399</v>
      </c>
      <c r="V13" s="3">
        <v>0.42898998344863298</v>
      </c>
      <c r="W13" s="3">
        <v>-0.27821158276063801</v>
      </c>
      <c r="X13" s="3">
        <v>0.51130625918468697</v>
      </c>
      <c r="Y13" s="15">
        <v>1.3134060000000001E-5</v>
      </c>
      <c r="Z13" s="16">
        <v>0.7</v>
      </c>
      <c r="AA13" s="7">
        <v>1.47819152095449</v>
      </c>
      <c r="AB13" s="7">
        <v>-1.2344829231844801</v>
      </c>
      <c r="AC13" s="7">
        <v>1.92587597218924</v>
      </c>
      <c r="AD13" s="15">
        <v>-1.1659008059386928</v>
      </c>
      <c r="AE13" s="15">
        <v>6.0528790000000002E-5</v>
      </c>
      <c r="AF13" s="15">
        <v>0.99991200000000002</v>
      </c>
      <c r="AG13" s="5">
        <v>1.3532193644232</v>
      </c>
      <c r="AH13" s="5">
        <v>-0.99086875571381905</v>
      </c>
      <c r="AI13" s="5">
        <v>1.6772070651233799</v>
      </c>
      <c r="AJ13" s="15">
        <v>0.17096130000000001</v>
      </c>
      <c r="AK13" s="15">
        <v>0.69584840000000003</v>
      </c>
      <c r="AL13" s="20">
        <v>0.41836667621661899</v>
      </c>
      <c r="AM13" s="20">
        <v>-0.41836667621661899</v>
      </c>
      <c r="AN13" s="10">
        <v>1.3532193644232</v>
      </c>
      <c r="AO13" s="10">
        <v>-0.99086875571381905</v>
      </c>
      <c r="AP13" s="10">
        <v>1.6772070651233799</v>
      </c>
      <c r="AQ13" s="15"/>
      <c r="AR13" s="13">
        <v>16</v>
      </c>
      <c r="AS13" s="13">
        <v>1</v>
      </c>
      <c r="AT13" s="13">
        <v>1</v>
      </c>
      <c r="AU13" s="13">
        <v>2</v>
      </c>
      <c r="AV13" s="13">
        <v>0.01</v>
      </c>
      <c r="AW13" s="13">
        <v>8</v>
      </c>
      <c r="AX13" s="13">
        <v>15000</v>
      </c>
      <c r="AY13" s="13">
        <v>588</v>
      </c>
    </row>
    <row r="14" spans="1:51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5">
        <f t="shared" si="10"/>
        <v>-1.5429140289728069</v>
      </c>
      <c r="G14" s="15">
        <f t="shared" si="12"/>
        <v>-1.1908294650063769</v>
      </c>
      <c r="H14" s="15"/>
      <c r="I14" s="15"/>
      <c r="J14" s="15"/>
      <c r="K14" s="15"/>
      <c r="L14" s="15"/>
      <c r="M14" s="15"/>
      <c r="N14" s="30">
        <f t="shared" si="13"/>
        <v>0.18172808884532604</v>
      </c>
      <c r="O14" s="15">
        <f t="shared" si="14"/>
        <v>-1.3611859401274811</v>
      </c>
      <c r="P14" s="31">
        <f t="shared" si="0"/>
        <v>1.0560073451687024E-2</v>
      </c>
      <c r="Q14" s="15"/>
      <c r="R14" s="15"/>
      <c r="S14">
        <v>0.43652513116480501</v>
      </c>
      <c r="T14">
        <v>-0.40020822126843703</v>
      </c>
      <c r="U14">
        <v>0.59221686104778903</v>
      </c>
      <c r="V14" s="3">
        <v>0.40284725419550899</v>
      </c>
      <c r="W14" s="3">
        <v>-7.8836044366930799E-2</v>
      </c>
      <c r="X14" s="3">
        <v>0.41048877220246299</v>
      </c>
      <c r="Y14" s="15">
        <v>1.322406E-5</v>
      </c>
      <c r="Z14" s="16">
        <v>0.8</v>
      </c>
      <c r="AA14" s="7">
        <v>0.36500845508625501</v>
      </c>
      <c r="AB14" s="7">
        <v>-1.9189974808099499</v>
      </c>
      <c r="AC14" s="7">
        <v>1.95340280117527</v>
      </c>
      <c r="AD14" s="15">
        <v>-1.1908294650063769</v>
      </c>
      <c r="AE14" s="15">
        <v>1.054128E-4</v>
      </c>
      <c r="AF14" s="15">
        <v>0.99988500000000002</v>
      </c>
      <c r="AG14" s="5">
        <v>0.42596505771311799</v>
      </c>
      <c r="AH14" s="5">
        <v>-1.5436236155310299</v>
      </c>
      <c r="AI14" s="5">
        <v>1.6013182372088399</v>
      </c>
      <c r="AJ14" s="15">
        <v>0.14611350000000001</v>
      </c>
      <c r="AK14" s="15">
        <v>0.91485249999999996</v>
      </c>
      <c r="AL14" s="20">
        <v>0.41836667621661899</v>
      </c>
      <c r="AM14" s="20">
        <v>-0.41836667621661899</v>
      </c>
      <c r="AN14" s="10">
        <v>0.42596505771311799</v>
      </c>
      <c r="AO14" s="10">
        <v>-1.5436236155310299</v>
      </c>
      <c r="AP14" s="10">
        <v>1.6013182372088399</v>
      </c>
      <c r="AQ14" s="15"/>
      <c r="AR14" s="13">
        <v>16</v>
      </c>
      <c r="AS14" s="13">
        <v>1</v>
      </c>
      <c r="AT14" s="13">
        <v>1</v>
      </c>
      <c r="AU14" s="13">
        <v>2</v>
      </c>
      <c r="AV14" s="13">
        <v>0.01</v>
      </c>
      <c r="AW14" s="13">
        <v>8</v>
      </c>
      <c r="AX14" s="13">
        <v>15000</v>
      </c>
      <c r="AY14" s="13">
        <v>582.9</v>
      </c>
    </row>
    <row r="15" spans="1:51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5">
        <f t="shared" si="10"/>
        <v>-1.166235658952806</v>
      </c>
      <c r="G15" s="15">
        <f t="shared" si="12"/>
        <v>-0.75154478443724593</v>
      </c>
      <c r="H15" s="15"/>
      <c r="I15" s="15"/>
      <c r="J15" s="15"/>
      <c r="K15" s="15"/>
      <c r="L15" s="15"/>
      <c r="M15" s="15"/>
      <c r="N15" s="30">
        <f t="shared" si="13"/>
        <v>5.451557479979896E-2</v>
      </c>
      <c r="O15" s="15">
        <f t="shared" si="14"/>
        <v>-1.1117200841530068</v>
      </c>
      <c r="P15" s="31">
        <f t="shared" si="0"/>
        <v>0.84393645245891991</v>
      </c>
      <c r="Q15" s="15"/>
      <c r="R15" s="15"/>
      <c r="S15">
        <v>0.43879493803332797</v>
      </c>
      <c r="T15">
        <v>-0.39793841439991401</v>
      </c>
      <c r="U15">
        <v>0.59236473502293296</v>
      </c>
      <c r="V15" s="3">
        <v>0.44753086447989698</v>
      </c>
      <c r="W15" s="3">
        <v>-0.29832506513969997</v>
      </c>
      <c r="X15" s="3">
        <v>0.537849160223134</v>
      </c>
      <c r="Y15" s="15">
        <v>2.0992099999999998E-5</v>
      </c>
      <c r="Z15" s="16">
        <v>0.9</v>
      </c>
      <c r="AA15" s="7">
        <v>-1.09647851053595</v>
      </c>
      <c r="AB15" s="7">
        <v>-1.30446922036466</v>
      </c>
      <c r="AC15" s="7">
        <v>1.7040848191759399</v>
      </c>
      <c r="AD15" s="15">
        <v>-0.75154478443724593</v>
      </c>
      <c r="AE15" s="15">
        <v>2.008685E-4</v>
      </c>
      <c r="AF15" s="15">
        <v>0.99987599999999999</v>
      </c>
      <c r="AG15" s="5">
        <v>-0.40514151442559199</v>
      </c>
      <c r="AH15" s="5">
        <v>-1.22409031440323</v>
      </c>
      <c r="AI15" s="5">
        <v>1.2893939446603799</v>
      </c>
      <c r="AJ15" s="15">
        <v>0.12389749999999999</v>
      </c>
      <c r="AK15" s="15">
        <v>1.181179</v>
      </c>
      <c r="AL15" s="20">
        <v>0.41836667621661899</v>
      </c>
      <c r="AM15" s="20">
        <v>-0.41836667621661899</v>
      </c>
      <c r="AN15" s="10">
        <v>-0.40514151442559199</v>
      </c>
      <c r="AO15" s="10">
        <v>-1.22409031440323</v>
      </c>
      <c r="AP15" s="10">
        <v>1.2893939446603799</v>
      </c>
      <c r="AQ15" s="15"/>
      <c r="AR15" s="13">
        <v>16</v>
      </c>
      <c r="AS15" s="13">
        <v>1</v>
      </c>
      <c r="AT15" s="13">
        <v>1</v>
      </c>
      <c r="AU15" s="13">
        <v>2</v>
      </c>
      <c r="AV15" s="13">
        <v>0.01</v>
      </c>
      <c r="AW15" s="13">
        <v>8</v>
      </c>
      <c r="AX15" s="13">
        <v>15000</v>
      </c>
      <c r="AY15" s="13">
        <v>587.9</v>
      </c>
    </row>
    <row r="16" spans="1:51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5">
        <f t="shared" si="10"/>
        <v>-0.72293426116734394</v>
      </c>
      <c r="G16" s="15">
        <f t="shared" si="12"/>
        <v>-0.51616790447968208</v>
      </c>
      <c r="H16" s="15"/>
      <c r="I16" s="15"/>
      <c r="J16" s="15"/>
      <c r="K16" s="15"/>
      <c r="L16" s="15"/>
      <c r="M16" s="15"/>
      <c r="N16" s="30">
        <f t="shared" si="13"/>
        <v>0.16305248967747893</v>
      </c>
      <c r="O16" s="15">
        <f t="shared" si="14"/>
        <v>-0.55988177148986507</v>
      </c>
      <c r="P16" s="31">
        <f t="shared" si="0"/>
        <v>1.194906694961106</v>
      </c>
      <c r="Q16" s="15"/>
      <c r="R16" s="15"/>
      <c r="S16">
        <v>0.44106474490185099</v>
      </c>
      <c r="T16">
        <v>-0.39566860753139099</v>
      </c>
      <c r="U16">
        <v>0.59252996226449495</v>
      </c>
      <c r="V16" s="3">
        <v>0.38875603774941703</v>
      </c>
      <c r="W16" s="3">
        <v>-0.18253668829335301</v>
      </c>
      <c r="X16" s="3">
        <v>0.42947747258701602</v>
      </c>
      <c r="Y16" s="15">
        <v>1.370807E-5</v>
      </c>
      <c r="Z16" s="16">
        <v>1</v>
      </c>
      <c r="AA16" s="7">
        <v>0.23895537712982301</v>
      </c>
      <c r="AB16" s="7">
        <v>-1.1273655715141699</v>
      </c>
      <c r="AC16" s="7">
        <v>1.15241173375436</v>
      </c>
      <c r="AD16" s="15">
        <v>-0.51616790447968208</v>
      </c>
      <c r="AE16" s="15">
        <v>1.005259E-4</v>
      </c>
      <c r="AF16" s="15">
        <v>0.99990699999999999</v>
      </c>
      <c r="AG16" s="5">
        <v>-0.75384195005925503</v>
      </c>
      <c r="AH16" s="5">
        <v>-0.57093562990802804</v>
      </c>
      <c r="AI16" s="5">
        <v>0.94564537706669805</v>
      </c>
      <c r="AJ16" s="15">
        <v>0.1050461</v>
      </c>
      <c r="AK16" s="15">
        <v>1.276173</v>
      </c>
      <c r="AL16" s="20">
        <v>0.41836667621661899</v>
      </c>
      <c r="AM16" s="20">
        <v>-0.41836667621661899</v>
      </c>
      <c r="AN16" s="10">
        <v>-0.75384195005925503</v>
      </c>
      <c r="AO16" s="10">
        <v>-0.57093562990802804</v>
      </c>
      <c r="AP16" s="10">
        <v>0.94564537706669805</v>
      </c>
      <c r="AQ16" s="15"/>
      <c r="AR16" s="13">
        <v>16</v>
      </c>
      <c r="AS16" s="13">
        <v>1</v>
      </c>
      <c r="AT16" s="13">
        <v>1</v>
      </c>
      <c r="AU16" s="13">
        <v>2</v>
      </c>
      <c r="AV16" s="13">
        <v>0.01</v>
      </c>
      <c r="AW16" s="13">
        <v>8</v>
      </c>
      <c r="AX16" s="13">
        <v>15000</v>
      </c>
      <c r="AY16" s="13">
        <v>594.29999999999995</v>
      </c>
    </row>
    <row r="17" spans="1:51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F17" s="15">
        <f t="shared" si="10"/>
        <v>-0.19082299014612497</v>
      </c>
      <c r="G17" s="15">
        <f t="shared" si="12"/>
        <v>-0.20263556713091696</v>
      </c>
      <c r="H17" s="15"/>
      <c r="I17" s="15"/>
      <c r="J17" s="15"/>
      <c r="K17" s="15"/>
      <c r="L17" s="15"/>
      <c r="M17" s="15"/>
      <c r="N17" s="30">
        <f t="shared" si="13"/>
        <v>9.329743291963305E-2</v>
      </c>
      <c r="O17" s="15">
        <f t="shared" si="14"/>
        <v>-9.7525557226491921E-2</v>
      </c>
      <c r="P17" s="31">
        <f t="shared" si="0"/>
        <v>1.1437122908510671</v>
      </c>
      <c r="Q17" s="15"/>
      <c r="R17" s="15"/>
      <c r="S17">
        <v>0.44333455177037401</v>
      </c>
      <c r="T17">
        <v>-0.39339880066286798</v>
      </c>
      <c r="U17">
        <v>0.59271252826005005</v>
      </c>
      <c r="V17" s="3">
        <v>0.43364537005112902</v>
      </c>
      <c r="W17" s="3">
        <v>-0.24772389970912501</v>
      </c>
      <c r="X17" s="3">
        <v>0.499415095340417</v>
      </c>
      <c r="Y17" s="15">
        <v>1.947085E-5</v>
      </c>
      <c r="Z17" s="16">
        <v>1.1000000000000001</v>
      </c>
      <c r="AA17" s="7">
        <v>0.298975925923744</v>
      </c>
      <c r="AB17" s="7">
        <v>-0.62212700501920504</v>
      </c>
      <c r="AC17" s="7">
        <v>0.69023808548654197</v>
      </c>
      <c r="AD17" s="15">
        <v>-0.20263556713091696</v>
      </c>
      <c r="AE17" s="15">
        <v>1.9880749999999999E-4</v>
      </c>
      <c r="AF17" s="15">
        <v>0.99987099999999995</v>
      </c>
      <c r="AG17" s="5">
        <v>-0.70037773908069301</v>
      </c>
      <c r="AH17" s="5">
        <v>4.8437127047911602E-2</v>
      </c>
      <c r="AI17" s="5">
        <v>0.70205066247133396</v>
      </c>
      <c r="AJ17" s="15">
        <v>8.9406239999999998E-2</v>
      </c>
      <c r="AK17" s="15">
        <v>1.669478</v>
      </c>
      <c r="AL17" s="20">
        <v>0.41836667621661899</v>
      </c>
      <c r="AM17" s="20">
        <v>-0.41836667621661899</v>
      </c>
      <c r="AN17" s="10">
        <v>-0.70037773908069301</v>
      </c>
      <c r="AO17" s="10">
        <v>4.8437127047911602E-2</v>
      </c>
      <c r="AP17" s="10">
        <v>0.70205066247133396</v>
      </c>
      <c r="AQ17" s="15"/>
      <c r="AR17" s="13">
        <v>16</v>
      </c>
      <c r="AS17" s="13">
        <v>1</v>
      </c>
      <c r="AT17" s="13">
        <v>1</v>
      </c>
      <c r="AU17" s="13">
        <v>2</v>
      </c>
      <c r="AV17" s="13">
        <v>0.01</v>
      </c>
      <c r="AW17" s="13">
        <v>8</v>
      </c>
      <c r="AX17" s="13">
        <v>15000</v>
      </c>
      <c r="AY17" s="13">
        <v>567.6</v>
      </c>
    </row>
    <row r="18" spans="1:51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F18" s="15">
        <f t="shared" si="10"/>
        <v>-0.66740646093593603</v>
      </c>
      <c r="G18" s="15">
        <f t="shared" si="12"/>
        <v>-1.281747772931958</v>
      </c>
      <c r="H18" s="15"/>
      <c r="I18" s="15"/>
      <c r="J18" s="15"/>
      <c r="K18" s="15"/>
      <c r="L18" s="15"/>
      <c r="M18" s="15"/>
      <c r="N18" s="30">
        <f t="shared" si="13"/>
        <v>0.28826167677646702</v>
      </c>
      <c r="O18" s="15">
        <f t="shared" si="14"/>
        <v>-0.37914478415946895</v>
      </c>
      <c r="P18" s="31">
        <f t="shared" si="0"/>
        <v>-1.116417224803828</v>
      </c>
      <c r="Q18" s="15"/>
      <c r="R18" s="15"/>
      <c r="S18">
        <v>0.46376281358708199</v>
      </c>
      <c r="T18">
        <v>-0.37297053884615999</v>
      </c>
      <c r="U18">
        <v>0.59513273318932902</v>
      </c>
      <c r="V18" s="3">
        <v>0.27992729188315002</v>
      </c>
      <c r="W18" s="3">
        <v>-0.12574003548159199</v>
      </c>
      <c r="X18" s="3">
        <v>0.306871056412862</v>
      </c>
      <c r="Y18" s="15">
        <v>1.4754719999999999E-5</v>
      </c>
      <c r="Z18" s="16">
        <v>2</v>
      </c>
      <c r="AA18" s="7">
        <v>0.76259002379749896</v>
      </c>
      <c r="AB18" s="7">
        <v>-0.60636056634305102</v>
      </c>
      <c r="AC18" s="7">
        <v>0.97427751734879797</v>
      </c>
      <c r="AD18" s="15">
        <v>-1.281747772931958</v>
      </c>
      <c r="AE18" s="15">
        <v>2.605253E-4</v>
      </c>
      <c r="AF18" s="15">
        <v>0.99976299999999996</v>
      </c>
      <c r="AG18" s="5">
        <v>1.5801800383909099</v>
      </c>
      <c r="AH18" s="5">
        <v>0.16352624015679401</v>
      </c>
      <c r="AI18" s="5">
        <v>1.58861882934482</v>
      </c>
      <c r="AJ18" s="15">
        <v>2.6561689999999999E-2</v>
      </c>
      <c r="AK18" s="15">
        <v>1.171138</v>
      </c>
      <c r="AL18" s="20">
        <v>0.41836667621661899</v>
      </c>
      <c r="AM18" s="20">
        <v>-0.41836667621661899</v>
      </c>
      <c r="AN18" s="10">
        <v>1.5801800383909099</v>
      </c>
      <c r="AO18" s="10">
        <v>0.16352624015679401</v>
      </c>
      <c r="AP18" s="10">
        <v>1.58861882934482</v>
      </c>
      <c r="AQ18" s="15"/>
      <c r="AR18" s="13">
        <v>16</v>
      </c>
      <c r="AS18" s="13">
        <v>1</v>
      </c>
      <c r="AT18" s="13">
        <v>1</v>
      </c>
      <c r="AU18" s="13">
        <v>2</v>
      </c>
      <c r="AV18" s="13">
        <v>0.01</v>
      </c>
      <c r="AW18" s="13">
        <v>8</v>
      </c>
      <c r="AX18" s="13">
        <v>15000</v>
      </c>
      <c r="AY18" s="13">
        <v>571.70000000000005</v>
      </c>
    </row>
    <row r="19" spans="1:51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F19" s="15">
        <f t="shared" si="10"/>
        <v>-1.363905243264959</v>
      </c>
      <c r="G19" s="15">
        <f t="shared" si="12"/>
        <v>-1.2800812362153591</v>
      </c>
      <c r="H19" s="15"/>
      <c r="I19" s="15"/>
      <c r="J19" s="15"/>
      <c r="K19" s="15"/>
      <c r="L19" s="15"/>
      <c r="M19" s="15"/>
      <c r="N19" s="30">
        <f t="shared" si="13"/>
        <v>6.9619278707717003E-2</v>
      </c>
      <c r="O19" s="15">
        <f t="shared" si="14"/>
        <v>-1.294285964557242</v>
      </c>
      <c r="P19" s="31">
        <f t="shared" si="0"/>
        <v>-1.064998484757508</v>
      </c>
      <c r="Q19" s="15"/>
      <c r="R19" s="15"/>
      <c r="S19">
        <v>0.48646088227231199</v>
      </c>
      <c r="T19">
        <v>-0.35027247016092999</v>
      </c>
      <c r="U19">
        <v>0.59944557161913803</v>
      </c>
      <c r="V19" s="3">
        <v>0.44467422076545299</v>
      </c>
      <c r="W19" s="3">
        <v>-0.28806377427037899</v>
      </c>
      <c r="X19" s="3">
        <v>0.52982629291142103</v>
      </c>
      <c r="Y19" s="15">
        <v>4.128381E-5</v>
      </c>
      <c r="Z19" s="16">
        <v>3</v>
      </c>
      <c r="AA19" s="7">
        <v>1.88712470203465</v>
      </c>
      <c r="AB19" s="7">
        <v>0.15804901163740101</v>
      </c>
      <c r="AC19" s="7">
        <v>1.89373153617638</v>
      </c>
      <c r="AD19" s="15">
        <v>-1.2800812362153591</v>
      </c>
      <c r="AE19" s="15">
        <v>5.4041460000000001E-4</v>
      </c>
      <c r="AF19" s="15">
        <v>0.99931599999999998</v>
      </c>
      <c r="AG19" s="5">
        <v>1.55145936702982</v>
      </c>
      <c r="AH19" s="5">
        <v>-0.93206174497467897</v>
      </c>
      <c r="AI19" s="5">
        <v>1.8099075291267801</v>
      </c>
      <c r="AJ19" s="15">
        <v>9.7190530000000001E-3</v>
      </c>
      <c r="AK19" s="15">
        <v>0.70750040000000003</v>
      </c>
      <c r="AL19" s="20">
        <v>0.41836667621661899</v>
      </c>
      <c r="AM19" s="20">
        <v>-0.41836667621661899</v>
      </c>
      <c r="AN19" s="10">
        <v>1.55145936702982</v>
      </c>
      <c r="AO19" s="10">
        <v>-0.93206174497467897</v>
      </c>
      <c r="AP19" s="10">
        <v>1.8099075291267801</v>
      </c>
      <c r="AQ19" s="15"/>
      <c r="AR19" s="13">
        <v>16</v>
      </c>
      <c r="AS19" s="13">
        <v>1</v>
      </c>
      <c r="AT19" s="13">
        <v>1</v>
      </c>
      <c r="AU19" s="13">
        <v>2</v>
      </c>
      <c r="AV19" s="13">
        <v>0.01</v>
      </c>
      <c r="AW19" s="13">
        <v>8</v>
      </c>
      <c r="AX19" s="13">
        <v>15000</v>
      </c>
      <c r="AY19" s="13">
        <v>569</v>
      </c>
    </row>
    <row r="20" spans="1:51" x14ac:dyDescent="0.3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F20" s="15">
        <f t="shared" si="10"/>
        <v>-1.3271502024764159</v>
      </c>
      <c r="G20" s="15">
        <f t="shared" si="12"/>
        <v>-1.537312238142396</v>
      </c>
      <c r="H20" s="15"/>
      <c r="I20" s="15"/>
      <c r="J20" s="15"/>
      <c r="K20" s="15"/>
      <c r="L20" s="15"/>
      <c r="M20" s="15"/>
      <c r="N20" s="30">
        <f t="shared" si="13"/>
        <v>0.45485082130591303</v>
      </c>
      <c r="O20" s="15">
        <f t="shared" si="14"/>
        <v>-0.87229938117050287</v>
      </c>
      <c r="P20" s="31">
        <f t="shared" si="0"/>
        <v>-0.49461237992392693</v>
      </c>
      <c r="Q20" s="15"/>
      <c r="R20" s="15"/>
      <c r="S20">
        <v>0.50915895095754304</v>
      </c>
      <c r="T20">
        <v>-0.327574401475699</v>
      </c>
      <c r="U20">
        <v>0.60543193328593703</v>
      </c>
      <c r="V20" s="3">
        <v>8.9165534081367695E-2</v>
      </c>
      <c r="W20" s="3">
        <v>-0.12134322732285099</v>
      </c>
      <c r="X20" s="3">
        <v>0.150581111980024</v>
      </c>
      <c r="Y20" s="35">
        <v>0.36657911413458599</v>
      </c>
      <c r="Z20" s="16">
        <v>4</v>
      </c>
      <c r="AA20" s="7">
        <v>0.13921922245985499</v>
      </c>
      <c r="AB20" s="7">
        <v>-1.4711586745904801</v>
      </c>
      <c r="AC20" s="7">
        <v>1.4777313144564399</v>
      </c>
      <c r="AD20" s="15">
        <v>-1.537312238142396</v>
      </c>
      <c r="AE20" s="15">
        <v>2.982808E-4</v>
      </c>
      <c r="AF20" s="15">
        <v>0.999668</v>
      </c>
      <c r="AG20" s="5">
        <v>1.00377133088147</v>
      </c>
      <c r="AH20" s="5">
        <v>-1.3569919221159401</v>
      </c>
      <c r="AI20" s="5">
        <v>1.68789335012242</v>
      </c>
      <c r="AJ20" s="15">
        <v>5.3214699999999997E-2</v>
      </c>
      <c r="AK20" s="15">
        <v>0.91078800000000004</v>
      </c>
      <c r="AL20" s="20">
        <v>0.41836667621661899</v>
      </c>
      <c r="AM20" s="20">
        <v>-0.41836667621661899</v>
      </c>
      <c r="AN20" s="10">
        <v>1.00377133088147</v>
      </c>
      <c r="AO20" s="10">
        <v>-1.3569919221159401</v>
      </c>
      <c r="AP20" s="10">
        <v>1.68789335012242</v>
      </c>
      <c r="AQ20" s="15"/>
      <c r="AR20" s="13">
        <v>16</v>
      </c>
      <c r="AS20" s="13">
        <v>1</v>
      </c>
      <c r="AT20" s="13">
        <v>1</v>
      </c>
      <c r="AU20" s="13">
        <v>2</v>
      </c>
      <c r="AV20" s="13">
        <v>0.01</v>
      </c>
      <c r="AW20" s="13">
        <v>8</v>
      </c>
      <c r="AX20" s="13">
        <v>15000</v>
      </c>
      <c r="AY20" s="13">
        <v>637.5</v>
      </c>
    </row>
    <row r="21" spans="1:51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F21" s="15">
        <f t="shared" si="10"/>
        <v>-0.99676046677572394</v>
      </c>
      <c r="G21" s="15">
        <f t="shared" si="12"/>
        <v>-0.95750232152093395</v>
      </c>
      <c r="H21" s="15"/>
      <c r="I21" s="15"/>
      <c r="J21" s="15"/>
      <c r="K21" s="15"/>
      <c r="L21" s="15"/>
      <c r="M21" s="15"/>
      <c r="N21" s="32">
        <f t="shared" si="13"/>
        <v>0.35337106037435506</v>
      </c>
      <c r="O21" s="33">
        <f t="shared" si="14"/>
        <v>-0.64338940640136888</v>
      </c>
      <c r="P21" s="34">
        <f t="shared" si="0"/>
        <v>0.87984731705269204</v>
      </c>
      <c r="Q21" s="15"/>
      <c r="R21" s="15"/>
      <c r="S21">
        <v>0.59995122569846604</v>
      </c>
      <c r="T21">
        <v>-0.236782126734776</v>
      </c>
      <c r="U21">
        <v>0.64498623920060105</v>
      </c>
      <c r="V21" s="3">
        <v>0.28774808947310299</v>
      </c>
      <c r="W21" s="3">
        <v>4.73333870163824E-2</v>
      </c>
      <c r="X21" s="3">
        <v>0.29161517882624599</v>
      </c>
      <c r="Y21" s="15">
        <v>2.2044449999999999E-5</v>
      </c>
      <c r="Z21" s="16">
        <v>8</v>
      </c>
      <c r="AA21" s="7">
        <v>-1.28663475804626</v>
      </c>
      <c r="AB21" s="7">
        <v>-6.6953741998137903E-2</v>
      </c>
      <c r="AC21" s="7">
        <v>1.2883756456019699</v>
      </c>
      <c r="AD21" s="15">
        <v>-0.95750232152093395</v>
      </c>
      <c r="AE21" s="15">
        <v>6.1093859999999999E-4</v>
      </c>
      <c r="AF21" s="15">
        <v>0.99940200000000001</v>
      </c>
      <c r="AG21" s="5">
        <v>-0.279896091354226</v>
      </c>
      <c r="AH21" s="5">
        <v>-1.21735479943943</v>
      </c>
      <c r="AI21" s="5">
        <v>1.2491175003471799</v>
      </c>
      <c r="AJ21" s="15">
        <v>0.18083740000000001</v>
      </c>
      <c r="AK21" s="15">
        <v>1.109774</v>
      </c>
      <c r="AL21" s="20">
        <v>0.41836667621661899</v>
      </c>
      <c r="AM21" s="20">
        <v>-0.41836667621661899</v>
      </c>
      <c r="AN21" s="10">
        <v>-0.279896091354226</v>
      </c>
      <c r="AO21" s="10">
        <v>-1.21735479943943</v>
      </c>
      <c r="AP21" s="10">
        <v>1.2491175003471799</v>
      </c>
      <c r="AQ21" s="15"/>
      <c r="AR21" s="13">
        <v>16</v>
      </c>
      <c r="AS21" s="13">
        <v>1</v>
      </c>
      <c r="AT21" s="13">
        <v>1</v>
      </c>
      <c r="AU21" s="13">
        <v>2</v>
      </c>
      <c r="AV21" s="13">
        <v>0.01</v>
      </c>
      <c r="AW21" s="13">
        <v>8</v>
      </c>
      <c r="AX21" s="13">
        <v>15000</v>
      </c>
      <c r="AY21" s="13">
        <v>562.9</v>
      </c>
    </row>
    <row r="22" spans="1:51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/>
      <c r="T22"/>
      <c r="U22" s="17"/>
      <c r="AA22" s="17"/>
      <c r="AB22" s="17"/>
      <c r="AC22" s="17"/>
    </row>
    <row r="23" spans="1:51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25" t="s">
        <v>56</v>
      </c>
      <c r="T23" s="17"/>
      <c r="U23" s="17"/>
      <c r="X23" s="22" t="s">
        <v>35</v>
      </c>
      <c r="AD23" s="17"/>
      <c r="AE23" s="17"/>
      <c r="AI23" s="17" t="s">
        <v>34</v>
      </c>
    </row>
    <row r="24" spans="1:51" x14ac:dyDescent="0.3">
      <c r="D24" s="17" t="s">
        <v>33</v>
      </c>
      <c r="R24" s="17" t="s">
        <v>60</v>
      </c>
      <c r="S24" s="25" t="s">
        <v>44</v>
      </c>
      <c r="T24" s="25" t="s">
        <v>45</v>
      </c>
      <c r="U24" s="25" t="s">
        <v>30</v>
      </c>
      <c r="V24" s="13"/>
      <c r="W24" s="13"/>
      <c r="X24" s="4" t="s">
        <v>11</v>
      </c>
      <c r="Y24" s="4" t="s">
        <v>12</v>
      </c>
      <c r="AA24" s="17"/>
      <c r="AB24" s="17"/>
      <c r="AD24" s="6" t="s">
        <v>31</v>
      </c>
      <c r="AE24" s="6" t="s">
        <v>29</v>
      </c>
      <c r="AF24" s="6" t="s">
        <v>30</v>
      </c>
      <c r="AG24" s="13"/>
      <c r="AH24" s="13"/>
      <c r="AI24" s="13"/>
      <c r="AJ24" s="4" t="s">
        <v>11</v>
      </c>
      <c r="AK24" s="4" t="s">
        <v>12</v>
      </c>
      <c r="AL24" s="4" t="s">
        <v>13</v>
      </c>
      <c r="AN24" s="19" t="s">
        <v>17</v>
      </c>
      <c r="AO24" s="13"/>
      <c r="AP24" s="13"/>
    </row>
    <row r="25" spans="1:51" x14ac:dyDescent="0.3">
      <c r="D25" s="17">
        <v>1</v>
      </c>
      <c r="E25" s="17">
        <v>0</v>
      </c>
      <c r="R25" s="17">
        <v>0</v>
      </c>
      <c r="S25" s="25">
        <v>0.30752200000000002</v>
      </c>
      <c r="T25" s="25">
        <v>-0.30752200000000002</v>
      </c>
      <c r="U25" s="25">
        <v>0.43490099999999998</v>
      </c>
      <c r="V25" s="24">
        <f>Z25-AL25</f>
        <v>-7.2164496600635175E-16</v>
      </c>
      <c r="W25" s="13"/>
      <c r="X25" s="17">
        <v>0.30751371411386302</v>
      </c>
      <c r="Y25" s="13">
        <v>-0.30753560602694202</v>
      </c>
      <c r="Z25" s="15">
        <f>SQRT(Y25^2+X25^2)</f>
        <v>0.43490554531123327</v>
      </c>
      <c r="AA25" s="15">
        <f t="shared" ref="AA25:AA42" si="21">Z25-AF25</f>
        <v>-3.7351285365692655E-3</v>
      </c>
      <c r="AB25" s="23">
        <f>AF25-AL25</f>
        <v>3.7351285365685438E-3</v>
      </c>
      <c r="AD25" s="11">
        <v>0.30090772494607898</v>
      </c>
      <c r="AE25" s="11">
        <v>-0.319155419539492</v>
      </c>
      <c r="AF25" s="15">
        <f>SQRT(AE25^2+AD25^2)</f>
        <v>0.43864067384780253</v>
      </c>
      <c r="AG25" s="18">
        <f>AF25-AL25</f>
        <v>3.7351285365685438E-3</v>
      </c>
      <c r="AH25" s="14"/>
      <c r="AI25" s="18">
        <f>AL25-AF25</f>
        <v>-3.7351285365685438E-3</v>
      </c>
      <c r="AJ25" s="12">
        <v>0.30751371411386302</v>
      </c>
      <c r="AK25" s="12">
        <v>-0.30753560602694202</v>
      </c>
      <c r="AL25" s="12">
        <v>0.43490554531123399</v>
      </c>
      <c r="AM25" s="15">
        <f>SQRT(AJ25^2+AK25^2)</f>
        <v>0.43490554531123327</v>
      </c>
      <c r="AN25" s="21">
        <v>-0.30752150772800002</v>
      </c>
      <c r="AO25" s="14" t="e">
        <f>SQRT(AN25^2+#REF!^2)</f>
        <v>#REF!</v>
      </c>
      <c r="AP25" s="13"/>
    </row>
    <row r="26" spans="1:51" x14ac:dyDescent="0.3">
      <c r="D26" s="17">
        <v>1</v>
      </c>
      <c r="E26" s="17">
        <v>0.05</v>
      </c>
      <c r="R26" s="17">
        <v>0.05</v>
      </c>
      <c r="S26" s="25">
        <v>0.30796899999999999</v>
      </c>
      <c r="T26" s="25">
        <v>-0.30707400000000001</v>
      </c>
      <c r="U26" s="25">
        <v>0.43490200000000001</v>
      </c>
      <c r="V26" s="24">
        <f t="shared" ref="V26:V42" si="22">Z26-AL26</f>
        <v>-8.3266726846886741E-16</v>
      </c>
      <c r="W26" s="13"/>
      <c r="X26" s="17">
        <v>0.30792449970265701</v>
      </c>
      <c r="Y26" s="13">
        <v>-0.30701084731864298</v>
      </c>
      <c r="Z26" s="15">
        <f t="shared" ref="Z26:Z42" si="23">SQRT(Y26^2+X26^2)</f>
        <v>0.43482543381044619</v>
      </c>
      <c r="AA26" s="15">
        <f t="shared" si="21"/>
        <v>5.817509501963386E-2</v>
      </c>
      <c r="AB26" s="23">
        <f t="shared" ref="AB26:AB42" si="24">AF26-AL26</f>
        <v>-5.8175095019634693E-2</v>
      </c>
      <c r="AD26" s="11">
        <v>0.26842235108495399</v>
      </c>
      <c r="AE26" s="11">
        <v>-0.26422512967024803</v>
      </c>
      <c r="AF26" s="15">
        <f t="shared" ref="AF26:AF42" si="25">SQRT(AE26^2+AD26^2)</f>
        <v>0.37665033879081233</v>
      </c>
      <c r="AG26" s="18">
        <f t="shared" ref="AG26:AG42" si="26">AF26-AL26</f>
        <v>-5.8175095019634693E-2</v>
      </c>
      <c r="AH26" s="13"/>
      <c r="AI26" s="13"/>
      <c r="AJ26" s="12">
        <v>0.30792449970265701</v>
      </c>
      <c r="AK26" s="12">
        <v>-0.30701084731864298</v>
      </c>
      <c r="AL26" s="12">
        <v>0.43482543381044703</v>
      </c>
      <c r="AN26" s="13"/>
      <c r="AO26" s="13"/>
      <c r="AP26" s="13"/>
    </row>
    <row r="27" spans="1:51" x14ac:dyDescent="0.3">
      <c r="D27" s="17">
        <v>1</v>
      </c>
      <c r="E27" s="17">
        <v>0.1</v>
      </c>
      <c r="R27" s="17">
        <v>0.1</v>
      </c>
      <c r="S27" s="25">
        <v>0.308417</v>
      </c>
      <c r="T27" s="25">
        <v>-0.30662600000000001</v>
      </c>
      <c r="U27" s="25">
        <v>0.43490299999999998</v>
      </c>
      <c r="V27" s="24">
        <f t="shared" si="22"/>
        <v>0</v>
      </c>
      <c r="W27" s="13"/>
      <c r="X27" s="17">
        <v>0.30827036180782402</v>
      </c>
      <c r="Y27" s="13">
        <v>-0.30712646009599198</v>
      </c>
      <c r="Z27" s="15">
        <f t="shared" si="23"/>
        <v>0.43515201764466366</v>
      </c>
      <c r="AA27" s="15">
        <f t="shared" si="21"/>
        <v>-0.29533191024897626</v>
      </c>
      <c r="AB27" s="23">
        <f t="shared" si="24"/>
        <v>0.29533191024897593</v>
      </c>
      <c r="AD27" s="11">
        <v>0.366782507997157</v>
      </c>
      <c r="AE27" s="11">
        <v>-0.63172570055225397</v>
      </c>
      <c r="AF27" s="15">
        <f t="shared" si="25"/>
        <v>0.73048392789363992</v>
      </c>
      <c r="AG27" s="18">
        <f t="shared" si="26"/>
        <v>0.29533191024897593</v>
      </c>
      <c r="AH27" s="13"/>
      <c r="AI27" s="13"/>
      <c r="AJ27" s="12">
        <v>0.30827036180782402</v>
      </c>
      <c r="AK27" s="12">
        <v>-0.30712646009599198</v>
      </c>
      <c r="AL27" s="12">
        <v>0.43515201764466399</v>
      </c>
      <c r="AN27" s="13"/>
      <c r="AO27" s="13"/>
      <c r="AP27" s="13"/>
    </row>
    <row r="28" spans="1:51" x14ac:dyDescent="0.3">
      <c r="D28" s="17">
        <v>1</v>
      </c>
      <c r="E28" s="17">
        <v>0.15</v>
      </c>
      <c r="R28" s="17">
        <v>0.15</v>
      </c>
      <c r="S28" s="25">
        <v>0.308865</v>
      </c>
      <c r="T28" s="25">
        <v>-0.30617800000000001</v>
      </c>
      <c r="U28" s="25">
        <v>0.43490499999999999</v>
      </c>
      <c r="V28" s="24">
        <f t="shared" si="22"/>
        <v>0</v>
      </c>
      <c r="W28" s="13"/>
      <c r="X28" s="17">
        <v>0.31689877136455002</v>
      </c>
      <c r="Y28" s="13">
        <v>-0.29740570589188903</v>
      </c>
      <c r="Z28" s="15">
        <f t="shared" si="23"/>
        <v>0.43459749790974883</v>
      </c>
      <c r="AA28" s="15">
        <f t="shared" si="21"/>
        <v>-0.79786988594604913</v>
      </c>
      <c r="AB28" s="23">
        <f t="shared" si="24"/>
        <v>0.79786988594604902</v>
      </c>
      <c r="AD28" s="11">
        <v>1.01946119786818</v>
      </c>
      <c r="AE28" s="11">
        <v>0.69258553140354495</v>
      </c>
      <c r="AF28" s="15">
        <f t="shared" si="25"/>
        <v>1.232467383855798</v>
      </c>
      <c r="AG28" s="18">
        <f t="shared" si="26"/>
        <v>0.79786988594604902</v>
      </c>
      <c r="AH28" s="13"/>
      <c r="AI28" s="13"/>
      <c r="AJ28" s="12">
        <v>0.31689877136455002</v>
      </c>
      <c r="AK28" s="12">
        <v>-0.29740570589188903</v>
      </c>
      <c r="AL28" s="12">
        <v>0.434597497909749</v>
      </c>
      <c r="AN28" s="13"/>
      <c r="AO28" s="13"/>
      <c r="AP28" s="13"/>
    </row>
    <row r="29" spans="1:51" x14ac:dyDescent="0.3">
      <c r="D29" s="17">
        <v>1</v>
      </c>
      <c r="E29" s="17">
        <v>0.2</v>
      </c>
      <c r="R29" s="17">
        <v>0.2</v>
      </c>
      <c r="S29" s="25">
        <v>0.30931199999999998</v>
      </c>
      <c r="T29" s="25">
        <v>-0.30573099999999998</v>
      </c>
      <c r="U29" s="25">
        <v>0.43490800000000002</v>
      </c>
      <c r="V29" s="24">
        <f t="shared" si="22"/>
        <v>-7.2164496600635175E-16</v>
      </c>
      <c r="W29" s="13"/>
      <c r="X29" s="17">
        <v>0.31162963488251999</v>
      </c>
      <c r="Y29" s="13">
        <v>-0.35540013675900101</v>
      </c>
      <c r="Z29" s="15">
        <f t="shared" si="23"/>
        <v>0.47267566739290628</v>
      </c>
      <c r="AA29" s="15">
        <f t="shared" si="21"/>
        <v>-0.97959487007113633</v>
      </c>
      <c r="AB29" s="23">
        <f t="shared" si="24"/>
        <v>0.97959487007113555</v>
      </c>
      <c r="AD29" s="11">
        <v>0.57007728970818705</v>
      </c>
      <c r="AE29" s="11">
        <v>-1.3357026606790401</v>
      </c>
      <c r="AF29" s="15">
        <f t="shared" si="25"/>
        <v>1.4522705374640426</v>
      </c>
      <c r="AG29" s="18">
        <f t="shared" si="26"/>
        <v>0.97959487007113555</v>
      </c>
      <c r="AH29" s="13"/>
      <c r="AI29" s="13"/>
      <c r="AJ29" s="12">
        <v>0.31162963488251999</v>
      </c>
      <c r="AK29" s="12">
        <v>-0.35540013675900101</v>
      </c>
      <c r="AL29" s="12">
        <v>0.47267566739290701</v>
      </c>
      <c r="AN29" s="13"/>
      <c r="AO29" s="13"/>
      <c r="AP29" s="13"/>
    </row>
    <row r="30" spans="1:51" x14ac:dyDescent="0.3">
      <c r="D30" s="17">
        <v>1</v>
      </c>
      <c r="E30" s="17">
        <v>0.3</v>
      </c>
      <c r="V30" s="24">
        <f t="shared" si="22"/>
        <v>5.2735593669694936E-16</v>
      </c>
      <c r="W30" s="13"/>
      <c r="X30" s="17">
        <v>0.158238165852533</v>
      </c>
      <c r="Y30" s="13">
        <v>-0.16667417251261499</v>
      </c>
      <c r="Z30" s="15">
        <f t="shared" si="23"/>
        <v>0.22982514421868352</v>
      </c>
      <c r="AA30" s="15">
        <f t="shared" si="21"/>
        <v>-0.43647319000971208</v>
      </c>
      <c r="AB30" s="23">
        <f t="shared" si="24"/>
        <v>0.43647319000971257</v>
      </c>
      <c r="AD30" s="11">
        <v>-0.54868454991467397</v>
      </c>
      <c r="AE30" s="11">
        <v>0.378019490080163</v>
      </c>
      <c r="AF30" s="15">
        <f t="shared" si="25"/>
        <v>0.66629833422839557</v>
      </c>
      <c r="AG30" s="18">
        <f t="shared" si="26"/>
        <v>0.43647319000971257</v>
      </c>
      <c r="AH30" s="13"/>
      <c r="AI30" s="13"/>
      <c r="AJ30" s="12">
        <v>0.158238165852533</v>
      </c>
      <c r="AK30" s="12">
        <v>-0.16667417251261499</v>
      </c>
      <c r="AL30" s="12">
        <v>0.229825144218683</v>
      </c>
      <c r="AN30" s="13"/>
      <c r="AO30" s="13"/>
      <c r="AP30" s="13"/>
    </row>
    <row r="31" spans="1:51" x14ac:dyDescent="0.3">
      <c r="D31" s="17">
        <v>1</v>
      </c>
      <c r="E31" s="17">
        <v>0.4</v>
      </c>
      <c r="V31" s="24">
        <f t="shared" si="22"/>
        <v>0</v>
      </c>
      <c r="W31" s="13"/>
      <c r="X31" s="17">
        <v>0.178161431444501</v>
      </c>
      <c r="Y31" s="13">
        <v>-0.68112296377902704</v>
      </c>
      <c r="Z31" s="15">
        <f t="shared" si="23"/>
        <v>0.70403834230919515</v>
      </c>
      <c r="AA31" s="15">
        <f t="shared" si="21"/>
        <v>-0.68890813594088929</v>
      </c>
      <c r="AB31" s="23">
        <f t="shared" si="24"/>
        <v>0.6889081359408894</v>
      </c>
      <c r="AD31" s="11">
        <v>5.7301930705959802E-3</v>
      </c>
      <c r="AE31" s="11">
        <v>-1.39293469199266</v>
      </c>
      <c r="AF31" s="15">
        <f t="shared" si="25"/>
        <v>1.3929464782500844</v>
      </c>
      <c r="AG31" s="18">
        <f t="shared" si="26"/>
        <v>0.6889081359408894</v>
      </c>
      <c r="AH31" s="13"/>
      <c r="AI31" s="13"/>
      <c r="AJ31" s="12">
        <v>0.178161431444501</v>
      </c>
      <c r="AK31" s="12">
        <v>-0.68112296377902704</v>
      </c>
      <c r="AL31" s="12">
        <v>0.70403834230919504</v>
      </c>
      <c r="AN31" s="13"/>
      <c r="AO31" s="13"/>
      <c r="AP31" s="13"/>
    </row>
    <row r="32" spans="1:51" x14ac:dyDescent="0.3">
      <c r="D32" s="17">
        <v>1</v>
      </c>
      <c r="E32" s="17">
        <v>0.5</v>
      </c>
      <c r="V32" s="24">
        <f t="shared" si="22"/>
        <v>0</v>
      </c>
      <c r="W32" s="13"/>
      <c r="X32" s="17">
        <v>8.1018078323665796E-2</v>
      </c>
      <c r="Y32" s="13">
        <v>-0.83197708377727997</v>
      </c>
      <c r="Z32" s="15">
        <f t="shared" si="23"/>
        <v>0.83591255340843329</v>
      </c>
      <c r="AA32" s="15">
        <f t="shared" si="21"/>
        <v>-0.57166209832239057</v>
      </c>
      <c r="AB32" s="23">
        <f t="shared" si="24"/>
        <v>0.5716620983223909</v>
      </c>
      <c r="AD32" s="11">
        <v>-8.7526255146810894E-2</v>
      </c>
      <c r="AE32" s="11">
        <v>-1.40485072333509</v>
      </c>
      <c r="AF32" s="15">
        <f t="shared" si="25"/>
        <v>1.4075746517308239</v>
      </c>
      <c r="AG32" s="18">
        <f t="shared" si="26"/>
        <v>0.5716620983223909</v>
      </c>
      <c r="AH32" s="13"/>
      <c r="AI32" s="13"/>
      <c r="AJ32" s="12">
        <v>8.1018078323665796E-2</v>
      </c>
      <c r="AK32" s="12">
        <v>-0.83197708377727997</v>
      </c>
      <c r="AL32" s="12">
        <v>0.83591255340843296</v>
      </c>
      <c r="AN32" s="13"/>
      <c r="AO32" s="13"/>
      <c r="AP32" s="13"/>
    </row>
    <row r="33" spans="1:42" x14ac:dyDescent="0.3">
      <c r="D33" s="17">
        <v>1</v>
      </c>
      <c r="E33" s="17">
        <v>0.6</v>
      </c>
      <c r="V33" s="24">
        <f t="shared" si="22"/>
        <v>0</v>
      </c>
      <c r="W33" s="13"/>
      <c r="X33" s="17">
        <v>1.03015285007262</v>
      </c>
      <c r="Y33" s="13">
        <v>-0.25665637333119901</v>
      </c>
      <c r="Z33" s="15">
        <f t="shared" si="23"/>
        <v>1.0616437201266091</v>
      </c>
      <c r="AA33" s="15">
        <f t="shared" si="21"/>
        <v>-0.45900963052278687</v>
      </c>
      <c r="AB33" s="23">
        <f t="shared" si="24"/>
        <v>0.45900963052278598</v>
      </c>
      <c r="AD33" s="11">
        <v>1.49989809412664</v>
      </c>
      <c r="AE33" s="11">
        <v>-0.250384344711301</v>
      </c>
      <c r="AF33" s="15">
        <f t="shared" si="25"/>
        <v>1.520653350649396</v>
      </c>
      <c r="AG33" s="18">
        <f t="shared" si="26"/>
        <v>0.45900963052278598</v>
      </c>
      <c r="AH33" s="13"/>
      <c r="AI33" s="13"/>
      <c r="AJ33" s="12">
        <v>1.03015285007262</v>
      </c>
      <c r="AK33" s="12">
        <v>-0.25665637333119901</v>
      </c>
      <c r="AL33" s="12">
        <v>1.06164372012661</v>
      </c>
      <c r="AN33" s="13"/>
      <c r="AO33" s="13"/>
      <c r="AP33" s="13"/>
    </row>
    <row r="34" spans="1:42" x14ac:dyDescent="0.3">
      <c r="D34" s="17">
        <v>1</v>
      </c>
      <c r="E34" s="17">
        <v>0.7</v>
      </c>
      <c r="V34" s="24">
        <f t="shared" si="22"/>
        <v>0</v>
      </c>
      <c r="W34" s="13"/>
      <c r="X34" s="17">
        <v>-0.49989492822739301</v>
      </c>
      <c r="Y34" s="13">
        <v>-0.44545698486931101</v>
      </c>
      <c r="Z34" s="15">
        <f t="shared" si="23"/>
        <v>0.66957215043363927</v>
      </c>
      <c r="AA34" s="15">
        <f t="shared" si="21"/>
        <v>-0.25675965893024089</v>
      </c>
      <c r="AB34" s="23">
        <f t="shared" si="24"/>
        <v>0.25675965893024111</v>
      </c>
      <c r="AD34" s="11">
        <v>-0.77237447931389402</v>
      </c>
      <c r="AE34" s="11">
        <v>-0.51139836208571399</v>
      </c>
      <c r="AF34" s="15">
        <f t="shared" si="25"/>
        <v>0.92633180936388015</v>
      </c>
      <c r="AG34" s="18">
        <f t="shared" si="26"/>
        <v>0.25675965893024111</v>
      </c>
      <c r="AH34" s="13"/>
      <c r="AI34" s="13"/>
      <c r="AJ34" s="12">
        <v>-0.49989492822739301</v>
      </c>
      <c r="AK34" s="12">
        <v>-0.44545698486931101</v>
      </c>
      <c r="AL34" s="12">
        <v>0.66957215043363905</v>
      </c>
      <c r="AN34" s="13"/>
      <c r="AO34" s="13"/>
      <c r="AP34" s="13"/>
    </row>
    <row r="35" spans="1:42" x14ac:dyDescent="0.3">
      <c r="D35" s="17">
        <v>1</v>
      </c>
      <c r="E35" s="17">
        <v>0.8</v>
      </c>
      <c r="V35" s="24">
        <f t="shared" si="22"/>
        <v>0</v>
      </c>
      <c r="W35" s="13"/>
      <c r="X35" s="17">
        <v>0.76934193755625901</v>
      </c>
      <c r="Y35" s="13">
        <v>0.48248284653412998</v>
      </c>
      <c r="Z35" s="15">
        <f t="shared" si="23"/>
        <v>0.90811712575113102</v>
      </c>
      <c r="AA35" s="15">
        <f t="shared" si="21"/>
        <v>-0.1795301904237373</v>
      </c>
      <c r="AB35" s="23">
        <f t="shared" si="24"/>
        <v>0.1795301904237373</v>
      </c>
      <c r="AD35" s="11">
        <v>0.871324703964382</v>
      </c>
      <c r="AE35" s="11">
        <v>0.65097614752291499</v>
      </c>
      <c r="AF35" s="15">
        <f t="shared" si="25"/>
        <v>1.0876473161748683</v>
      </c>
      <c r="AG35" s="18">
        <f t="shared" si="26"/>
        <v>0.1795301904237373</v>
      </c>
      <c r="AH35" s="13"/>
      <c r="AI35" s="13"/>
      <c r="AJ35" s="12">
        <v>0.76934193755625901</v>
      </c>
      <c r="AK35" s="12">
        <v>0.48248284653412998</v>
      </c>
      <c r="AL35" s="12">
        <v>0.90811712575113102</v>
      </c>
      <c r="AN35" s="13"/>
      <c r="AO35" s="13"/>
      <c r="AP35" s="13"/>
    </row>
    <row r="36" spans="1:42" x14ac:dyDescent="0.3">
      <c r="D36" s="17">
        <v>1</v>
      </c>
      <c r="E36" s="17">
        <v>0.9</v>
      </c>
      <c r="V36" s="24">
        <f t="shared" si="22"/>
        <v>0</v>
      </c>
      <c r="W36" s="13"/>
      <c r="X36" s="17">
        <v>1.0352627315682701</v>
      </c>
      <c r="Y36" s="13">
        <v>-0.93884585193734604</v>
      </c>
      <c r="Z36" s="15">
        <f t="shared" si="23"/>
        <v>1.3975694820201809</v>
      </c>
      <c r="AA36" s="15">
        <f t="shared" si="21"/>
        <v>-0.21656179816249677</v>
      </c>
      <c r="AB36" s="23">
        <f t="shared" si="24"/>
        <v>0.21656179816249765</v>
      </c>
      <c r="AD36" s="11">
        <v>1.13447902401245</v>
      </c>
      <c r="AE36" s="11">
        <v>-1.1482060502104701</v>
      </c>
      <c r="AF36" s="15">
        <f t="shared" si="25"/>
        <v>1.6141312801826777</v>
      </c>
      <c r="AG36" s="18">
        <f t="shared" si="26"/>
        <v>0.21656179816249765</v>
      </c>
      <c r="AH36" s="13"/>
      <c r="AI36" s="13"/>
      <c r="AJ36" s="12">
        <v>1.0352627315682701</v>
      </c>
      <c r="AK36" s="12">
        <v>-0.93884585193734604</v>
      </c>
      <c r="AL36" s="12">
        <v>1.3975694820201801</v>
      </c>
      <c r="AN36" s="13"/>
      <c r="AO36" s="13"/>
      <c r="AP36" s="13"/>
    </row>
    <row r="37" spans="1:42" x14ac:dyDescent="0.3">
      <c r="D37" s="17">
        <v>1</v>
      </c>
      <c r="E37" s="17">
        <v>1</v>
      </c>
      <c r="V37" s="24">
        <f t="shared" si="22"/>
        <v>1.7763568394002505E-15</v>
      </c>
      <c r="W37" s="13"/>
      <c r="X37" s="17">
        <v>-0.22992529647193599</v>
      </c>
      <c r="Y37" s="13">
        <v>-1.14351229870103</v>
      </c>
      <c r="Z37" s="15">
        <f t="shared" si="23"/>
        <v>1.1663987393847017</v>
      </c>
      <c r="AA37" s="15">
        <f t="shared" si="21"/>
        <v>-4.7935370049976944E-2</v>
      </c>
      <c r="AB37" s="23">
        <f t="shared" si="24"/>
        <v>4.7935370049978721E-2</v>
      </c>
      <c r="AD37" s="11">
        <v>-0.32873328891953002</v>
      </c>
      <c r="AE37" s="11">
        <v>-1.16899176818858</v>
      </c>
      <c r="AF37" s="15">
        <f t="shared" si="25"/>
        <v>1.2143341094346787</v>
      </c>
      <c r="AG37" s="18">
        <f t="shared" si="26"/>
        <v>4.7935370049978721E-2</v>
      </c>
      <c r="AH37" s="13"/>
      <c r="AI37" s="13"/>
      <c r="AJ37" s="12">
        <v>-0.22992529647193599</v>
      </c>
      <c r="AK37" s="12">
        <v>-1.14351229870103</v>
      </c>
      <c r="AL37" s="12">
        <v>1.1663987393847</v>
      </c>
      <c r="AN37" s="13"/>
      <c r="AO37" s="13"/>
      <c r="AP37" s="13"/>
    </row>
    <row r="38" spans="1:42" x14ac:dyDescent="0.3">
      <c r="D38" s="17">
        <v>1</v>
      </c>
      <c r="E38" s="17">
        <v>1.1000000000000001</v>
      </c>
      <c r="V38" s="24">
        <f t="shared" si="22"/>
        <v>0</v>
      </c>
      <c r="W38" s="13"/>
      <c r="X38" s="17">
        <v>-0.70798155275093599</v>
      </c>
      <c r="Y38" s="13">
        <v>-0.128362412243583</v>
      </c>
      <c r="Z38" s="15">
        <f t="shared" si="23"/>
        <v>0.71952400092882085</v>
      </c>
      <c r="AA38" s="15">
        <f t="shared" si="21"/>
        <v>7.3095095250550468E-3</v>
      </c>
      <c r="AB38" s="23">
        <f t="shared" si="24"/>
        <v>-7.3095095250551578E-3</v>
      </c>
      <c r="AD38" s="11">
        <v>-0.70793641888744996</v>
      </c>
      <c r="AE38" s="11">
        <v>-7.7945548803877704E-2</v>
      </c>
      <c r="AF38" s="15">
        <f t="shared" si="25"/>
        <v>0.7122144914037658</v>
      </c>
      <c r="AG38" s="18">
        <f t="shared" si="26"/>
        <v>-7.3095095250551578E-3</v>
      </c>
      <c r="AH38" s="13"/>
      <c r="AI38" s="13"/>
      <c r="AJ38" s="12">
        <v>-0.70798155275093599</v>
      </c>
      <c r="AK38" s="12">
        <v>-0.128362412243583</v>
      </c>
      <c r="AL38" s="12">
        <v>0.71952400092882096</v>
      </c>
      <c r="AN38" s="13"/>
      <c r="AO38" s="13"/>
      <c r="AP38" s="13"/>
    </row>
    <row r="39" spans="1:42" x14ac:dyDescent="0.3">
      <c r="D39" s="17">
        <v>1</v>
      </c>
      <c r="E39" s="17">
        <v>2</v>
      </c>
      <c r="V39" s="24">
        <f t="shared" si="22"/>
        <v>7.3274719625260332E-15</v>
      </c>
      <c r="W39" s="13"/>
      <c r="X39" s="17">
        <v>-0.399900989440299</v>
      </c>
      <c r="Y39" s="13">
        <v>-1.15921498375423</v>
      </c>
      <c r="Z39" s="15">
        <f t="shared" si="23"/>
        <v>1.2262545330866874</v>
      </c>
      <c r="AA39" s="15">
        <f t="shared" si="21"/>
        <v>-0.31053801398962677</v>
      </c>
      <c r="AB39" s="23">
        <f t="shared" si="24"/>
        <v>0.3105380139896341</v>
      </c>
      <c r="AD39" s="11">
        <v>-1.0870786505907299</v>
      </c>
      <c r="AE39" s="11">
        <v>-1.08627406310707</v>
      </c>
      <c r="AF39" s="15">
        <f t="shared" si="25"/>
        <v>1.5367925470763142</v>
      </c>
      <c r="AG39" s="18">
        <f t="shared" si="26"/>
        <v>0.3105380139896341</v>
      </c>
      <c r="AH39" s="13"/>
      <c r="AI39" s="13"/>
      <c r="AJ39" s="12">
        <v>-0.399900989440299</v>
      </c>
      <c r="AK39" s="12">
        <v>-1.15921498375423</v>
      </c>
      <c r="AL39" s="12">
        <v>1.2262545330866801</v>
      </c>
      <c r="AN39" s="13"/>
      <c r="AO39" s="13"/>
      <c r="AP39" s="13"/>
    </row>
    <row r="40" spans="1:42" x14ac:dyDescent="0.3">
      <c r="D40" s="17">
        <v>1</v>
      </c>
      <c r="E40" s="17">
        <v>3</v>
      </c>
      <c r="V40" s="24">
        <f t="shared" si="22"/>
        <v>0</v>
      </c>
      <c r="W40" s="13"/>
      <c r="X40" s="17">
        <v>4.7864493687262404E-3</v>
      </c>
      <c r="Y40" s="13">
        <v>0.82175618867133704</v>
      </c>
      <c r="Z40" s="15">
        <f t="shared" si="23"/>
        <v>0.82177012827018814</v>
      </c>
      <c r="AA40" s="15">
        <f t="shared" si="21"/>
        <v>-1.0214116298278069</v>
      </c>
      <c r="AB40" s="23">
        <f t="shared" si="24"/>
        <v>1.0214116298278069</v>
      </c>
      <c r="AD40" s="11">
        <v>0.92736744840374896</v>
      </c>
      <c r="AE40" s="11">
        <v>1.59289315681446</v>
      </c>
      <c r="AF40" s="15">
        <f t="shared" si="25"/>
        <v>1.843181758097995</v>
      </c>
      <c r="AG40" s="18">
        <f t="shared" si="26"/>
        <v>1.0214116298278069</v>
      </c>
      <c r="AH40" s="13"/>
      <c r="AI40" s="13"/>
      <c r="AJ40" s="12">
        <v>4.7864493687262404E-3</v>
      </c>
      <c r="AK40" s="12">
        <v>0.82175618867133704</v>
      </c>
      <c r="AL40" s="12">
        <v>0.82177012827018803</v>
      </c>
      <c r="AN40" s="13"/>
      <c r="AO40" s="13"/>
      <c r="AP40" s="13"/>
    </row>
    <row r="41" spans="1:42" x14ac:dyDescent="0.3">
      <c r="D41" s="17">
        <v>1</v>
      </c>
      <c r="E41" s="17">
        <v>4</v>
      </c>
      <c r="V41" s="24">
        <f t="shared" si="22"/>
        <v>-8.4376949871511897E-15</v>
      </c>
      <c r="W41" s="13"/>
      <c r="X41" s="17">
        <v>1.19360888306646</v>
      </c>
      <c r="Y41" s="13">
        <v>0.496629044835463</v>
      </c>
      <c r="Z41" s="15">
        <f t="shared" si="23"/>
        <v>1.2928041514124815</v>
      </c>
      <c r="AA41" s="15">
        <f t="shared" si="21"/>
        <v>-0.64131133535788676</v>
      </c>
      <c r="AB41" s="23">
        <f t="shared" si="24"/>
        <v>0.64131133535787832</v>
      </c>
      <c r="AD41" s="11">
        <v>1.9325228893370201</v>
      </c>
      <c r="AE41" s="11">
        <v>-7.8472914776207103E-2</v>
      </c>
      <c r="AF41" s="15">
        <f t="shared" si="25"/>
        <v>1.9341154867703683</v>
      </c>
      <c r="AG41" s="18">
        <f t="shared" si="26"/>
        <v>0.64131133535787832</v>
      </c>
      <c r="AH41" s="13"/>
      <c r="AI41" s="13"/>
      <c r="AJ41" s="12">
        <v>1.19360888306646</v>
      </c>
      <c r="AK41" s="12">
        <v>0.496629044835463</v>
      </c>
      <c r="AL41" s="12">
        <v>1.2928041514124899</v>
      </c>
      <c r="AN41" s="13"/>
      <c r="AO41" s="13"/>
      <c r="AP41" s="13"/>
    </row>
    <row r="42" spans="1:42" x14ac:dyDescent="0.3">
      <c r="D42" s="17">
        <v>1</v>
      </c>
      <c r="E42" s="17">
        <v>8</v>
      </c>
      <c r="V42" s="24">
        <f t="shared" si="22"/>
        <v>4.8849813083506888E-15</v>
      </c>
      <c r="W42" s="13"/>
      <c r="X42" s="17">
        <v>1.45090533050273</v>
      </c>
      <c r="Y42" s="13">
        <v>-0.65282312338162096</v>
      </c>
      <c r="Z42" s="15">
        <f t="shared" si="23"/>
        <v>1.5910073250940648</v>
      </c>
      <c r="AA42" s="15">
        <f t="shared" si="21"/>
        <v>-8.2268233429405369E-2</v>
      </c>
      <c r="AB42" s="23">
        <f t="shared" si="24"/>
        <v>8.2268233429410254E-2</v>
      </c>
      <c r="AD42" s="11">
        <v>1.6651192096282099</v>
      </c>
      <c r="AE42" s="11">
        <v>-0.16501246158747199</v>
      </c>
      <c r="AF42" s="15">
        <f t="shared" si="25"/>
        <v>1.6732755585234702</v>
      </c>
      <c r="AG42" s="18">
        <f t="shared" si="26"/>
        <v>8.2268233429410254E-2</v>
      </c>
      <c r="AH42" s="13"/>
      <c r="AI42" s="13"/>
      <c r="AJ42" s="12">
        <v>1.45090533050273</v>
      </c>
      <c r="AK42" s="12">
        <v>-0.65282312338162096</v>
      </c>
      <c r="AL42" s="12">
        <v>1.59100732509406</v>
      </c>
      <c r="AN42" s="13"/>
      <c r="AO42" s="13"/>
      <c r="AP42" s="13"/>
    </row>
    <row r="43" spans="1:42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AA43" s="17"/>
      <c r="AB43" s="17"/>
      <c r="AC43" s="8"/>
      <c r="AD43" s="17"/>
    </row>
    <row r="44" spans="1:42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AA44" s="17"/>
      <c r="AB44" s="17"/>
      <c r="AC44" s="17"/>
    </row>
    <row r="45" spans="1:42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AA45" s="13" t="s">
        <v>41</v>
      </c>
      <c r="AE45" s="17"/>
      <c r="AF45" s="17"/>
    </row>
    <row r="46" spans="1:42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AE46" s="17"/>
      <c r="AF46" s="17"/>
    </row>
    <row r="47" spans="1:42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 t="s">
        <v>30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AA47" s="13" t="s">
        <v>38</v>
      </c>
      <c r="AB47" s="13" t="s">
        <v>37</v>
      </c>
      <c r="AC47" s="3">
        <v>0.59154030956589698</v>
      </c>
      <c r="AE47" s="17"/>
      <c r="AF47" s="17"/>
    </row>
    <row r="48" spans="1:42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>
        <v>0.43490099999999998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AA48" s="13" t="s">
        <v>39</v>
      </c>
      <c r="AC48" s="13">
        <v>0.59199999999999997</v>
      </c>
      <c r="AE48" s="17"/>
      <c r="AF48" s="17"/>
    </row>
    <row r="49" spans="1:32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>
        <v>0.43490200000000001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AA49" s="13" t="s">
        <v>40</v>
      </c>
      <c r="AB49" s="13" t="s">
        <v>36</v>
      </c>
      <c r="AC49" s="13">
        <v>0.59242910402239002</v>
      </c>
      <c r="AE49" s="17"/>
      <c r="AF49" s="17"/>
    </row>
    <row r="50" spans="1:32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>
        <v>0.43490299999999998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AC50" s="13">
        <v>-0.364877719018873</v>
      </c>
      <c r="AD50" s="13">
        <v>3.5277430225033601E-2</v>
      </c>
      <c r="AE50" s="13">
        <v>0.36657911413458599</v>
      </c>
      <c r="AF50" s="17"/>
    </row>
    <row r="51" spans="1:32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>
        <v>0.43490499999999999</v>
      </c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AA51" s="17"/>
      <c r="AB51" s="17"/>
      <c r="AC51" s="17"/>
    </row>
    <row r="52" spans="1:32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>
        <v>0.43490800000000002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AA52" s="17"/>
      <c r="AB52" s="17"/>
      <c r="AC52" s="17"/>
    </row>
    <row r="53" spans="1:32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>
        <v>0.59165999999999996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AA53" s="17"/>
      <c r="AB53" s="17"/>
      <c r="AC53" s="17"/>
    </row>
    <row r="54" spans="1:32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>
        <v>0.59166200000000002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AA54" s="17"/>
      <c r="AB54" s="17"/>
      <c r="AC54" s="17"/>
    </row>
    <row r="55" spans="1:32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>
        <v>0.591669</v>
      </c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AA55" s="17"/>
      <c r="AB55" s="17"/>
      <c r="AC55" s="17"/>
    </row>
    <row r="56" spans="1:32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>
        <v>0.59167899999999995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AA56" s="17"/>
      <c r="AB56" s="17"/>
      <c r="AC56" s="17"/>
    </row>
    <row r="57" spans="1:32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>
        <v>0.59169499999999997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AA57" s="17"/>
      <c r="AB57" s="17"/>
      <c r="AC57" s="17"/>
    </row>
    <row r="58" spans="1:32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AA58" s="17"/>
      <c r="AB58" s="17"/>
      <c r="AC58" s="17"/>
    </row>
    <row r="59" spans="1:32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AA59" s="17"/>
      <c r="AB59" s="17"/>
      <c r="AC59" s="17"/>
    </row>
    <row r="60" spans="1:32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AA60" s="17"/>
      <c r="AB60" s="17"/>
      <c r="AC60" s="17"/>
    </row>
    <row r="61" spans="1:32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AA61" s="17"/>
      <c r="AB61" s="17"/>
      <c r="AC61" s="17"/>
    </row>
    <row r="62" spans="1:32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AA62" s="17"/>
      <c r="AB62" s="17"/>
      <c r="AC62" s="17"/>
    </row>
    <row r="63" spans="1:32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AA63" s="17"/>
      <c r="AB63" s="17"/>
      <c r="AC63" s="17"/>
    </row>
    <row r="64" spans="1:32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AA64" s="17"/>
      <c r="AB64" s="17"/>
      <c r="AC64" s="17"/>
    </row>
    <row r="65" spans="1:29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AA65" s="17"/>
      <c r="AB65" s="17"/>
      <c r="AC65" s="17"/>
    </row>
    <row r="66" spans="1:29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AA66" s="17"/>
      <c r="AB66" s="17"/>
      <c r="AC66" s="17"/>
    </row>
    <row r="67" spans="1:29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AA67" s="17"/>
      <c r="AB67" s="17"/>
      <c r="AC67" s="17"/>
    </row>
    <row r="68" spans="1:29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AA68" s="17"/>
      <c r="AB68" s="17"/>
      <c r="AC68" s="17"/>
    </row>
    <row r="69" spans="1:29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AA69" s="17"/>
      <c r="AB69" s="17"/>
      <c r="AC69" s="17"/>
    </row>
    <row r="70" spans="1:29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AA70" s="17"/>
      <c r="AB70" s="17"/>
      <c r="AC70" s="17"/>
    </row>
    <row r="71" spans="1:29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AA71" s="17"/>
      <c r="AB71" s="17"/>
      <c r="AC71" s="17"/>
    </row>
    <row r="72" spans="1:29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AA72" s="17"/>
      <c r="AB72" s="17"/>
      <c r="AC72" s="17"/>
    </row>
    <row r="73" spans="1:29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AA73" s="17"/>
      <c r="AB73" s="17"/>
      <c r="AC73" s="17"/>
    </row>
    <row r="74" spans="1:29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AA74" s="17"/>
      <c r="AB74" s="17"/>
      <c r="AC74" s="17"/>
    </row>
    <row r="75" spans="1:29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AA75" s="17"/>
      <c r="AB75" s="17"/>
      <c r="AC75" s="17"/>
    </row>
    <row r="76" spans="1:29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AA76" s="17"/>
      <c r="AB76" s="17"/>
      <c r="AC76" s="17"/>
    </row>
    <row r="77" spans="1:29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AA77" s="17"/>
      <c r="AB77" s="17"/>
      <c r="AC77" s="17"/>
    </row>
    <row r="78" spans="1:29" x14ac:dyDescent="0.3">
      <c r="V78" s="13"/>
      <c r="W78" s="13"/>
      <c r="X78" s="13"/>
    </row>
    <row r="79" spans="1:29" x14ac:dyDescent="0.3">
      <c r="V79" s="13"/>
      <c r="W79" s="13"/>
      <c r="X79" s="13"/>
    </row>
    <row r="80" spans="1:29" x14ac:dyDescent="0.3">
      <c r="V80" s="13"/>
      <c r="W80" s="13"/>
      <c r="X80" s="13"/>
    </row>
    <row r="81" spans="22:24" x14ac:dyDescent="0.3">
      <c r="V81" s="13"/>
      <c r="W81" s="13"/>
      <c r="X81" s="13"/>
    </row>
    <row r="82" spans="22:24" x14ac:dyDescent="0.3">
      <c r="V82" s="13"/>
      <c r="W82" s="13"/>
      <c r="X82" s="13"/>
    </row>
    <row r="83" spans="22:24" x14ac:dyDescent="0.3">
      <c r="V83" s="13"/>
      <c r="W83" s="13"/>
      <c r="X83" s="13"/>
    </row>
    <row r="84" spans="22:24" x14ac:dyDescent="0.3">
      <c r="V84" s="13"/>
      <c r="W84" s="13"/>
      <c r="X84" s="13"/>
    </row>
    <row r="85" spans="22:24" x14ac:dyDescent="0.3">
      <c r="V85" s="13"/>
      <c r="W85" s="13"/>
      <c r="X85" s="13"/>
    </row>
    <row r="86" spans="22:24" x14ac:dyDescent="0.3">
      <c r="V86" s="13"/>
      <c r="W86" s="13"/>
      <c r="X86" s="13"/>
    </row>
    <row r="87" spans="22:24" x14ac:dyDescent="0.3">
      <c r="V87" s="13"/>
      <c r="W87" s="13"/>
      <c r="X87" s="13"/>
    </row>
    <row r="88" spans="22:24" x14ac:dyDescent="0.3">
      <c r="V88" s="13"/>
      <c r="W88" s="13"/>
      <c r="X88" s="13"/>
    </row>
    <row r="89" spans="22:24" x14ac:dyDescent="0.3">
      <c r="V89" s="13"/>
      <c r="W89" s="13"/>
      <c r="X89" s="13"/>
    </row>
  </sheetData>
  <phoneticPr fontId="18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BB06A-07FF-48DB-8D56-09940EC73471}">
  <dimension ref="A1:AX22"/>
  <sheetViews>
    <sheetView topLeftCell="B11" workbookViewId="0">
      <selection activeCell="V3" sqref="V3:V20"/>
    </sheetView>
  </sheetViews>
  <sheetFormatPr defaultRowHeight="14.4" x14ac:dyDescent="0.3"/>
  <cols>
    <col min="28" max="29" width="12.6640625" bestFit="1" customWidth="1"/>
    <col min="30" max="33" width="12.6640625" customWidth="1"/>
    <col min="58" max="58" width="12" bestFit="1" customWidth="1"/>
  </cols>
  <sheetData>
    <row r="1" spans="1:50" x14ac:dyDescent="0.3">
      <c r="G1" t="s">
        <v>185</v>
      </c>
      <c r="J1" s="99" t="s">
        <v>182</v>
      </c>
      <c r="K1" s="99" t="s">
        <v>228</v>
      </c>
      <c r="L1" s="99"/>
      <c r="M1" s="105"/>
      <c r="N1" s="106"/>
      <c r="O1" s="106"/>
      <c r="P1" s="107"/>
      <c r="Q1" s="108" t="s">
        <v>83</v>
      </c>
      <c r="R1" s="13"/>
      <c r="S1" s="13"/>
      <c r="T1" s="13"/>
      <c r="U1" s="2"/>
      <c r="V1" s="2" t="s">
        <v>225</v>
      </c>
      <c r="W1" s="2"/>
      <c r="X1" t="s">
        <v>227</v>
      </c>
      <c r="Z1" s="104" t="s">
        <v>224</v>
      </c>
      <c r="AA1" s="104"/>
      <c r="AD1" s="118" t="s">
        <v>233</v>
      </c>
      <c r="AE1" s="119"/>
      <c r="AF1" s="119" t="s">
        <v>234</v>
      </c>
      <c r="AG1" s="120"/>
    </row>
    <row r="2" spans="1:50" x14ac:dyDescent="0.3">
      <c r="A2" t="s">
        <v>3</v>
      </c>
      <c r="B2" t="s">
        <v>0</v>
      </c>
      <c r="C2" t="s">
        <v>3</v>
      </c>
      <c r="D2" t="s">
        <v>91</v>
      </c>
      <c r="E2" t="s">
        <v>0</v>
      </c>
      <c r="F2" t="s">
        <v>92</v>
      </c>
      <c r="I2" s="99" t="s">
        <v>28</v>
      </c>
      <c r="J2" s="99" t="s">
        <v>44</v>
      </c>
      <c r="K2" s="99" t="s">
        <v>45</v>
      </c>
      <c r="L2" s="99" t="s">
        <v>30</v>
      </c>
      <c r="M2" s="109" t="s">
        <v>94</v>
      </c>
      <c r="N2" s="110" t="s">
        <v>95</v>
      </c>
      <c r="O2" s="110" t="s">
        <v>30</v>
      </c>
      <c r="P2" s="4" t="s">
        <v>75</v>
      </c>
      <c r="Q2" s="111" t="s">
        <v>62</v>
      </c>
      <c r="R2" s="13" t="s">
        <v>75</v>
      </c>
      <c r="S2" s="13" t="s">
        <v>229</v>
      </c>
      <c r="T2" s="13"/>
      <c r="U2" s="2" t="s">
        <v>28</v>
      </c>
      <c r="V2" s="2" t="s">
        <v>222</v>
      </c>
      <c r="W2" s="2" t="s">
        <v>223</v>
      </c>
      <c r="X2" s="4"/>
      <c r="Y2" s="4"/>
      <c r="Z2" s="104" t="s">
        <v>222</v>
      </c>
      <c r="AA2" s="104" t="s">
        <v>223</v>
      </c>
      <c r="AD2" s="121" t="s">
        <v>231</v>
      </c>
      <c r="AE2" s="2" t="s">
        <v>232</v>
      </c>
      <c r="AF2" s="2"/>
      <c r="AG2" s="122"/>
      <c r="AH2" s="4"/>
      <c r="AI2" t="s">
        <v>8</v>
      </c>
      <c r="AJ2" t="s">
        <v>9</v>
      </c>
      <c r="AK2" t="s">
        <v>10</v>
      </c>
      <c r="AL2" t="s">
        <v>16</v>
      </c>
      <c r="AM2" t="s">
        <v>17</v>
      </c>
      <c r="AN2" t="s">
        <v>96</v>
      </c>
      <c r="AO2" t="s">
        <v>18</v>
      </c>
      <c r="AP2" t="s">
        <v>19</v>
      </c>
      <c r="AQ2" t="s">
        <v>20</v>
      </c>
      <c r="AR2" t="s">
        <v>21</v>
      </c>
      <c r="AS2" t="s">
        <v>22</v>
      </c>
      <c r="AT2" t="s">
        <v>23</v>
      </c>
      <c r="AU2" t="s">
        <v>1</v>
      </c>
      <c r="AV2" t="s">
        <v>2</v>
      </c>
      <c r="AW2" t="s">
        <v>25</v>
      </c>
      <c r="AX2" t="s">
        <v>97</v>
      </c>
    </row>
    <row r="3" spans="1:50" x14ac:dyDescent="0.3">
      <c r="A3">
        <v>45</v>
      </c>
      <c r="B3">
        <v>0</v>
      </c>
      <c r="C3">
        <v>45</v>
      </c>
      <c r="D3">
        <v>0</v>
      </c>
      <c r="E3">
        <v>0</v>
      </c>
      <c r="F3" t="s">
        <v>18</v>
      </c>
      <c r="G3">
        <f>J3-M3</f>
        <v>2.9164510595403037E-4</v>
      </c>
      <c r="H3">
        <f>K3-N3</f>
        <v>1.0139897489097605E-4</v>
      </c>
      <c r="I3" s="99">
        <v>0</v>
      </c>
      <c r="J3" s="99">
        <v>0.30752200000000002</v>
      </c>
      <c r="K3" s="99">
        <v>-0.30752200000000002</v>
      </c>
      <c r="L3" s="99">
        <v>0.43490099999999998</v>
      </c>
      <c r="M3" s="109">
        <v>0.30723035489404599</v>
      </c>
      <c r="N3" s="110">
        <v>-0.30762339897489099</v>
      </c>
      <c r="O3" s="110">
        <v>0.434767347629955</v>
      </c>
      <c r="P3" s="4">
        <f>M3*-1</f>
        <v>-0.30723035489404599</v>
      </c>
      <c r="Q3" s="111">
        <f t="shared" ref="Q3:Q20" si="0">N3*-1</f>
        <v>0.30762339897489099</v>
      </c>
      <c r="R3" s="13">
        <f t="shared" ref="R3:S19" si="1">P3+V3</f>
        <v>2.9115283411501602E-4</v>
      </c>
      <c r="S3" s="13">
        <f t="shared" si="1"/>
        <v>1.0189124672999039E-4</v>
      </c>
      <c r="T3" s="13"/>
      <c r="U3" s="2">
        <v>0</v>
      </c>
      <c r="V3" s="2">
        <v>0.307521507728161</v>
      </c>
      <c r="W3" s="2">
        <v>-0.307521507728161</v>
      </c>
      <c r="X3" s="4">
        <f t="shared" ref="X3:Y19" si="2">V3-Z3</f>
        <v>0</v>
      </c>
      <c r="Y3" s="4">
        <f t="shared" si="2"/>
        <v>0</v>
      </c>
      <c r="Z3" s="104">
        <v>0.307521507728161</v>
      </c>
      <c r="AA3" s="104">
        <v>-0.307521507728161</v>
      </c>
      <c r="AB3">
        <f t="shared" ref="AB3:AB19" si="3">Z3+K3</f>
        <v>-4.9227183901434657E-7</v>
      </c>
      <c r="AC3">
        <f t="shared" ref="AC3:AC19" si="4">AA3+J3</f>
        <v>4.9227183901434657E-7</v>
      </c>
      <c r="AD3" s="121">
        <v>0.30752200000000002</v>
      </c>
      <c r="AE3" s="2">
        <v>-0.30752200000000002</v>
      </c>
      <c r="AF3" s="2">
        <f t="shared" ref="AF3:AF19" si="5">W3+AD3</f>
        <v>4.9227183901434657E-7</v>
      </c>
      <c r="AG3" s="122">
        <f t="shared" ref="AG3:AG19" si="6">V3+AE3</f>
        <v>-4.9227183901434657E-7</v>
      </c>
      <c r="AH3" s="4"/>
      <c r="AI3">
        <v>2.6007479999999999E-9</v>
      </c>
      <c r="AJ3" s="44">
        <v>4.34639E-12</v>
      </c>
      <c r="AK3">
        <v>1</v>
      </c>
      <c r="AL3">
        <v>0.307521507728162</v>
      </c>
      <c r="AM3">
        <v>-0.307521507728162</v>
      </c>
      <c r="AN3">
        <v>15000</v>
      </c>
      <c r="AO3">
        <v>16</v>
      </c>
      <c r="AP3">
        <v>1</v>
      </c>
      <c r="AQ3">
        <v>1</v>
      </c>
      <c r="AR3">
        <v>1</v>
      </c>
      <c r="AS3">
        <v>0.01</v>
      </c>
      <c r="AT3">
        <v>16</v>
      </c>
      <c r="AU3">
        <v>0</v>
      </c>
      <c r="AV3">
        <v>0</v>
      </c>
      <c r="AW3">
        <v>1411.9</v>
      </c>
      <c r="AX3" t="s">
        <v>162</v>
      </c>
    </row>
    <row r="4" spans="1:50" x14ac:dyDescent="0.3">
      <c r="A4">
        <v>45</v>
      </c>
      <c r="B4">
        <v>0.01</v>
      </c>
      <c r="C4">
        <v>45</v>
      </c>
      <c r="D4">
        <v>1</v>
      </c>
      <c r="E4">
        <v>0.01</v>
      </c>
      <c r="F4" t="s">
        <v>26</v>
      </c>
      <c r="G4">
        <f t="shared" ref="G4:H20" si="7">J4-M4</f>
        <v>1.7443563573099619E-4</v>
      </c>
      <c r="H4">
        <f t="shared" si="7"/>
        <v>-9.0779508360450123E-6</v>
      </c>
      <c r="I4" s="99">
        <v>0.01</v>
      </c>
      <c r="J4" s="99">
        <v>0.30743199999999998</v>
      </c>
      <c r="K4" s="99">
        <v>-0.30761100000000002</v>
      </c>
      <c r="L4" s="99">
        <v>0.43490099999999998</v>
      </c>
      <c r="M4" s="109">
        <v>0.30725756436426899</v>
      </c>
      <c r="N4" s="110">
        <v>-0.30760192204916398</v>
      </c>
      <c r="O4" s="110">
        <v>0.434771380506356</v>
      </c>
      <c r="P4" s="4">
        <f t="shared" ref="P4:P20" si="8">M4*-1</f>
        <v>-0.30725756436426899</v>
      </c>
      <c r="Q4" s="111">
        <f t="shared" si="0"/>
        <v>0.30760192204916398</v>
      </c>
      <c r="R4" s="13">
        <f t="shared" si="1"/>
        <v>3.5340625183399865E-4</v>
      </c>
      <c r="S4" s="13">
        <f t="shared" si="1"/>
        <v>1.7002751187999987E-4</v>
      </c>
      <c r="T4" s="13"/>
      <c r="U4" s="2">
        <v>0.01</v>
      </c>
      <c r="V4" s="2">
        <v>0.30761097061610299</v>
      </c>
      <c r="W4" s="2">
        <v>-0.30743189453728398</v>
      </c>
      <c r="X4" s="4">
        <f t="shared" si="2"/>
        <v>-7.5151467993084253E-8</v>
      </c>
      <c r="Y4" s="4">
        <f t="shared" si="2"/>
        <v>7.5151468048595405E-8</v>
      </c>
      <c r="Z4" s="104">
        <v>0.30761104576757098</v>
      </c>
      <c r="AA4" s="104">
        <v>-0.30743196968875203</v>
      </c>
      <c r="AB4">
        <f t="shared" si="3"/>
        <v>4.576757095531292E-8</v>
      </c>
      <c r="AC4">
        <f t="shared" si="4"/>
        <v>3.0311247956049669E-8</v>
      </c>
      <c r="AD4" s="121">
        <v>0.30743199999999998</v>
      </c>
      <c r="AE4" s="2">
        <v>-0.30761100000000002</v>
      </c>
      <c r="AF4" s="2">
        <f t="shared" si="5"/>
        <v>1.0546271600464507E-7</v>
      </c>
      <c r="AG4" s="122">
        <f t="shared" si="6"/>
        <v>-2.9383897037771334E-8</v>
      </c>
      <c r="AH4" s="4"/>
      <c r="AI4">
        <v>4.7580950000000001E-7</v>
      </c>
      <c r="AJ4">
        <v>1.1734569999999999E-7</v>
      </c>
      <c r="AK4">
        <v>1</v>
      </c>
      <c r="AL4">
        <v>0.307521507728162</v>
      </c>
      <c r="AM4">
        <v>-0.307521507728162</v>
      </c>
      <c r="AN4">
        <v>6000</v>
      </c>
      <c r="AO4">
        <v>16</v>
      </c>
      <c r="AP4">
        <v>1</v>
      </c>
      <c r="AQ4">
        <v>1</v>
      </c>
      <c r="AR4">
        <v>1</v>
      </c>
      <c r="AS4">
        <v>0.01</v>
      </c>
      <c r="AT4">
        <v>16</v>
      </c>
      <c r="AU4">
        <v>0</v>
      </c>
      <c r="AV4">
        <v>0</v>
      </c>
      <c r="AW4">
        <v>567.20000000000005</v>
      </c>
      <c r="AX4" t="s">
        <v>163</v>
      </c>
    </row>
    <row r="5" spans="1:50" x14ac:dyDescent="0.3">
      <c r="A5">
        <v>45</v>
      </c>
      <c r="B5">
        <v>0.05</v>
      </c>
      <c r="C5">
        <v>45</v>
      </c>
      <c r="D5">
        <v>2</v>
      </c>
      <c r="E5">
        <v>0.05</v>
      </c>
      <c r="F5" t="s">
        <v>26</v>
      </c>
      <c r="G5">
        <f t="shared" si="7"/>
        <v>-5.3986820482898601E-4</v>
      </c>
      <c r="H5">
        <f t="shared" si="7"/>
        <v>-7.2220158032598736E-4</v>
      </c>
      <c r="I5" s="99">
        <v>0.05</v>
      </c>
      <c r="J5" s="99">
        <v>0.30707400000000001</v>
      </c>
      <c r="K5" s="99">
        <v>-0.30796899999999999</v>
      </c>
      <c r="L5" s="99">
        <v>0.43490200000000001</v>
      </c>
      <c r="M5" s="109">
        <v>0.307613868204829</v>
      </c>
      <c r="N5" s="110">
        <v>-0.30724679841967401</v>
      </c>
      <c r="O5" s="110">
        <v>0.43477222433255602</v>
      </c>
      <c r="P5" s="4">
        <f t="shared" si="8"/>
        <v>-0.307613868204829</v>
      </c>
      <c r="Q5" s="111">
        <f t="shared" si="0"/>
        <v>0.30724679841967401</v>
      </c>
      <c r="R5" s="13">
        <f t="shared" si="1"/>
        <v>3.5345093367200597E-4</v>
      </c>
      <c r="S5" s="13">
        <f t="shared" si="1"/>
        <v>1.7485967526897905E-4</v>
      </c>
      <c r="T5" s="13"/>
      <c r="U5" s="2">
        <v>0.05</v>
      </c>
      <c r="V5" s="2">
        <v>0.30796731913850101</v>
      </c>
      <c r="W5" s="2">
        <v>-0.30707193874440503</v>
      </c>
      <c r="X5" s="4">
        <f t="shared" si="2"/>
        <v>-1.8787867079872456E-6</v>
      </c>
      <c r="Y5" s="4">
        <f t="shared" si="2"/>
        <v>1.8787867089864463E-6</v>
      </c>
      <c r="Z5" s="104">
        <v>0.30796919792520899</v>
      </c>
      <c r="AA5" s="104">
        <v>-0.30707381753111401</v>
      </c>
      <c r="AB5">
        <f t="shared" si="3"/>
        <v>1.979252090000827E-7</v>
      </c>
      <c r="AC5">
        <f t="shared" si="4"/>
        <v>1.8246888600081945E-7</v>
      </c>
      <c r="AD5" s="121">
        <v>0.30707200000000001</v>
      </c>
      <c r="AE5" s="2">
        <v>-0.30796699999999999</v>
      </c>
      <c r="AF5" s="2">
        <f t="shared" si="5"/>
        <v>6.125559498526556E-8</v>
      </c>
      <c r="AG5" s="122">
        <f t="shared" si="6"/>
        <v>3.1913850101483732E-7</v>
      </c>
      <c r="AH5" s="4"/>
      <c r="AI5">
        <v>2.3407860000000001E-6</v>
      </c>
      <c r="AJ5">
        <v>2.820847E-6</v>
      </c>
      <c r="AK5">
        <v>0.99999700000000002</v>
      </c>
      <c r="AL5">
        <v>0.307521507728162</v>
      </c>
      <c r="AM5">
        <v>-0.307521507728162</v>
      </c>
      <c r="AN5">
        <v>6000</v>
      </c>
      <c r="AO5">
        <v>16</v>
      </c>
      <c r="AP5">
        <v>1</v>
      </c>
      <c r="AQ5">
        <v>1</v>
      </c>
      <c r="AR5">
        <v>1</v>
      </c>
      <c r="AS5">
        <v>0.01</v>
      </c>
      <c r="AT5">
        <v>16</v>
      </c>
      <c r="AU5">
        <v>0</v>
      </c>
      <c r="AV5">
        <v>0</v>
      </c>
      <c r="AW5">
        <v>550.4</v>
      </c>
      <c r="AX5" t="s">
        <v>164</v>
      </c>
    </row>
    <row r="6" spans="1:50" x14ac:dyDescent="0.3">
      <c r="A6">
        <v>45</v>
      </c>
      <c r="B6">
        <v>0.1</v>
      </c>
      <c r="C6">
        <v>45</v>
      </c>
      <c r="D6">
        <v>3</v>
      </c>
      <c r="E6">
        <v>0.1</v>
      </c>
      <c r="F6" t="s">
        <v>26</v>
      </c>
      <c r="G6">
        <f t="shared" si="7"/>
        <v>-1.419422617312982E-3</v>
      </c>
      <c r="H6">
        <f t="shared" si="7"/>
        <v>-1.6151241433419727E-3</v>
      </c>
      <c r="I6" s="99">
        <v>0.1</v>
      </c>
      <c r="J6" s="99">
        <v>0.30662600000000001</v>
      </c>
      <c r="K6" s="99">
        <v>-0.308417</v>
      </c>
      <c r="L6" s="99">
        <v>0.43490299999999998</v>
      </c>
      <c r="M6" s="109">
        <v>0.30804542261731299</v>
      </c>
      <c r="N6" s="110">
        <v>-0.30680187585665802</v>
      </c>
      <c r="O6" s="110">
        <v>0.434763583369908</v>
      </c>
      <c r="P6" s="4">
        <f t="shared" si="8"/>
        <v>-0.30804542261731299</v>
      </c>
      <c r="Q6" s="111">
        <f t="shared" si="0"/>
        <v>0.30680187585665802</v>
      </c>
      <c r="R6" s="13">
        <f t="shared" si="1"/>
        <v>3.6395035810998788E-4</v>
      </c>
      <c r="S6" s="13">
        <f t="shared" si="1"/>
        <v>1.8326366942600369E-4</v>
      </c>
      <c r="T6" s="13"/>
      <c r="U6" s="2">
        <v>0.1</v>
      </c>
      <c r="V6" s="2">
        <v>0.30840937297542298</v>
      </c>
      <c r="W6" s="2">
        <v>-0.30661861218723202</v>
      </c>
      <c r="X6" s="4">
        <f t="shared" si="2"/>
        <v>-7.5151468340028948E-6</v>
      </c>
      <c r="Y6" s="4">
        <f t="shared" si="2"/>
        <v>7.5151468340028948E-6</v>
      </c>
      <c r="Z6" s="104">
        <v>0.30841688812225698</v>
      </c>
      <c r="AA6" s="104">
        <v>-0.30662612733406602</v>
      </c>
      <c r="AB6">
        <f t="shared" si="3"/>
        <v>-1.1187774301424369E-7</v>
      </c>
      <c r="AC6">
        <f t="shared" si="4"/>
        <v>-1.2733406601350694E-7</v>
      </c>
      <c r="AD6" s="121">
        <v>0.30661899999999997</v>
      </c>
      <c r="AE6" s="2">
        <v>-0.30840899999999999</v>
      </c>
      <c r="AF6" s="2">
        <f t="shared" si="5"/>
        <v>3.8781276795463171E-7</v>
      </c>
      <c r="AG6" s="122">
        <f t="shared" si="6"/>
        <v>3.7297542299086217E-7</v>
      </c>
      <c r="AH6" s="4"/>
      <c r="AI6">
        <v>4.5493819999999999E-6</v>
      </c>
      <c r="AJ6">
        <v>1.072965E-5</v>
      </c>
      <c r="AK6">
        <v>0.99998900000000002</v>
      </c>
      <c r="AL6">
        <v>0.307521507728162</v>
      </c>
      <c r="AM6">
        <v>-0.307521507728162</v>
      </c>
      <c r="AN6">
        <v>6000</v>
      </c>
      <c r="AO6">
        <v>16</v>
      </c>
      <c r="AP6">
        <v>1</v>
      </c>
      <c r="AQ6">
        <v>1</v>
      </c>
      <c r="AR6">
        <v>1</v>
      </c>
      <c r="AS6">
        <v>0.01</v>
      </c>
      <c r="AT6">
        <v>16</v>
      </c>
      <c r="AU6">
        <v>0</v>
      </c>
      <c r="AV6">
        <v>0</v>
      </c>
      <c r="AW6">
        <v>554.1</v>
      </c>
      <c r="AX6" t="s">
        <v>165</v>
      </c>
    </row>
    <row r="7" spans="1:50" x14ac:dyDescent="0.3">
      <c r="A7">
        <v>45</v>
      </c>
      <c r="B7">
        <v>0.15</v>
      </c>
      <c r="C7">
        <v>45</v>
      </c>
      <c r="D7">
        <v>4</v>
      </c>
      <c r="E7">
        <v>0.15</v>
      </c>
      <c r="F7" t="s">
        <v>26</v>
      </c>
      <c r="G7">
        <f t="shared" si="7"/>
        <v>-2.3534397657190009E-3</v>
      </c>
      <c r="H7">
        <f t="shared" si="7"/>
        <v>-2.548893341713987E-3</v>
      </c>
      <c r="I7" s="99">
        <v>0.15</v>
      </c>
      <c r="J7" s="99">
        <v>0.30617800000000001</v>
      </c>
      <c r="K7" s="99">
        <v>-0.308865</v>
      </c>
      <c r="L7" s="99">
        <v>0.43490499999999999</v>
      </c>
      <c r="M7" s="109">
        <v>0.30853143976571901</v>
      </c>
      <c r="N7" s="110">
        <v>-0.30631610665828601</v>
      </c>
      <c r="O7" s="110">
        <v>0.434765691519235</v>
      </c>
      <c r="P7" s="4">
        <f t="shared" si="8"/>
        <v>-0.30853143976571901</v>
      </c>
      <c r="Q7" s="111">
        <f t="shared" si="0"/>
        <v>0.30631610665828601</v>
      </c>
      <c r="R7" s="13">
        <f t="shared" si="1"/>
        <v>3.1622947320897321E-4</v>
      </c>
      <c r="S7" s="13">
        <f t="shared" si="1"/>
        <v>1.545786016430295E-4</v>
      </c>
      <c r="T7" s="13"/>
      <c r="U7" s="2">
        <v>0.15</v>
      </c>
      <c r="V7" s="2">
        <v>0.30884766923892798</v>
      </c>
      <c r="W7" s="2">
        <v>-0.30616152805664298</v>
      </c>
      <c r="X7" s="4">
        <f t="shared" si="2"/>
        <v>-1.6909080375993035E-5</v>
      </c>
      <c r="Y7" s="4">
        <f t="shared" si="2"/>
        <v>1.6909080375993035E-5</v>
      </c>
      <c r="Z7" s="104">
        <v>0.30886457831930397</v>
      </c>
      <c r="AA7" s="104">
        <v>-0.30617843713701898</v>
      </c>
      <c r="AB7">
        <f t="shared" si="3"/>
        <v>-4.2168069602777081E-7</v>
      </c>
      <c r="AC7">
        <f t="shared" si="4"/>
        <v>-4.3713701897152291E-7</v>
      </c>
      <c r="AD7" s="121">
        <v>0.30616199999999999</v>
      </c>
      <c r="AE7" s="2">
        <v>-0.30884800000000001</v>
      </c>
      <c r="AF7" s="2">
        <f t="shared" si="5"/>
        <v>4.7194335700551093E-7</v>
      </c>
      <c r="AG7" s="122">
        <f t="shared" si="6"/>
        <v>-3.3076107203156013E-7</v>
      </c>
      <c r="AH7" s="4"/>
      <c r="AI7">
        <v>6.6038049999999997E-6</v>
      </c>
      <c r="AJ7">
        <v>2.3132159999999999E-5</v>
      </c>
      <c r="AK7">
        <v>0.99997800000000003</v>
      </c>
      <c r="AL7">
        <v>0.307521507728162</v>
      </c>
      <c r="AM7">
        <v>-0.307521507728162</v>
      </c>
      <c r="AN7">
        <v>6000</v>
      </c>
      <c r="AO7">
        <v>16</v>
      </c>
      <c r="AP7">
        <v>1</v>
      </c>
      <c r="AQ7">
        <v>1</v>
      </c>
      <c r="AR7">
        <v>1</v>
      </c>
      <c r="AS7">
        <v>0.01</v>
      </c>
      <c r="AT7">
        <v>16</v>
      </c>
      <c r="AU7">
        <v>0</v>
      </c>
      <c r="AV7">
        <v>0</v>
      </c>
      <c r="AW7">
        <v>555.79999999999995</v>
      </c>
      <c r="AX7" t="s">
        <v>166</v>
      </c>
    </row>
    <row r="8" spans="1:50" x14ac:dyDescent="0.3">
      <c r="A8">
        <v>45</v>
      </c>
      <c r="B8">
        <v>0.2</v>
      </c>
      <c r="C8">
        <v>45</v>
      </c>
      <c r="D8">
        <v>5</v>
      </c>
      <c r="E8">
        <v>0.2</v>
      </c>
      <c r="F8" t="s">
        <v>26</v>
      </c>
      <c r="G8">
        <f t="shared" si="7"/>
        <v>-3.3209989493060421E-3</v>
      </c>
      <c r="H8">
        <f t="shared" si="7"/>
        <v>-3.5349454112439949E-3</v>
      </c>
      <c r="I8" s="99">
        <v>0.2</v>
      </c>
      <c r="J8" s="99">
        <v>0.30573099999999998</v>
      </c>
      <c r="K8" s="99">
        <v>-0.30931199999999998</v>
      </c>
      <c r="L8" s="99">
        <v>0.43490800000000002</v>
      </c>
      <c r="M8" s="109">
        <v>0.30905199894930602</v>
      </c>
      <c r="N8" s="110">
        <v>-0.30577705458875598</v>
      </c>
      <c r="O8" s="110">
        <v>0.43475596047384701</v>
      </c>
      <c r="P8" s="4">
        <f t="shared" si="8"/>
        <v>-0.30905199894930602</v>
      </c>
      <c r="Q8" s="111">
        <f t="shared" si="0"/>
        <v>0.30577705458875598</v>
      </c>
      <c r="R8" s="13">
        <f t="shared" si="1"/>
        <v>2.3020897970998933E-4</v>
      </c>
      <c r="S8" s="13">
        <f t="shared" si="1"/>
        <v>7.6368236120005761E-5</v>
      </c>
      <c r="T8" s="13"/>
      <c r="U8" s="2">
        <v>0.2</v>
      </c>
      <c r="V8" s="2">
        <v>0.30928220792901601</v>
      </c>
      <c r="W8" s="2">
        <v>-0.30570068635263598</v>
      </c>
      <c r="X8" s="4">
        <f t="shared" si="2"/>
        <v>-3.0060587336011579E-5</v>
      </c>
      <c r="Y8" s="4">
        <f t="shared" si="2"/>
        <v>3.0060587335012379E-5</v>
      </c>
      <c r="Z8" s="104">
        <v>0.30931226851635202</v>
      </c>
      <c r="AA8" s="104">
        <v>-0.30573074693997099</v>
      </c>
      <c r="AB8">
        <f t="shared" si="3"/>
        <v>2.6851635204216961E-7</v>
      </c>
      <c r="AC8">
        <f t="shared" si="4"/>
        <v>2.5306002898739521E-7</v>
      </c>
      <c r="AD8" s="121">
        <v>0.305701</v>
      </c>
      <c r="AE8" s="2">
        <v>-0.309282</v>
      </c>
      <c r="AF8" s="2">
        <f t="shared" si="5"/>
        <v>3.1364736402528237E-7</v>
      </c>
      <c r="AG8" s="122">
        <f t="shared" si="6"/>
        <v>2.0792901600508173E-7</v>
      </c>
      <c r="AH8" s="4"/>
      <c r="AI8">
        <v>8.4921729999999992E-6</v>
      </c>
      <c r="AJ8">
        <v>3.8932030000000001E-5</v>
      </c>
      <c r="AK8">
        <v>0.99996300000000005</v>
      </c>
      <c r="AL8">
        <v>0.307521507728162</v>
      </c>
      <c r="AM8">
        <v>-0.307521507728162</v>
      </c>
      <c r="AN8">
        <v>6000</v>
      </c>
      <c r="AO8">
        <v>16</v>
      </c>
      <c r="AP8">
        <v>1</v>
      </c>
      <c r="AQ8">
        <v>1</v>
      </c>
      <c r="AR8">
        <v>1</v>
      </c>
      <c r="AS8">
        <v>0.01</v>
      </c>
      <c r="AT8">
        <v>16</v>
      </c>
      <c r="AU8">
        <v>0</v>
      </c>
      <c r="AV8">
        <v>0</v>
      </c>
      <c r="AW8">
        <v>560.5</v>
      </c>
      <c r="AX8" t="s">
        <v>167</v>
      </c>
    </row>
    <row r="9" spans="1:50" x14ac:dyDescent="0.3">
      <c r="A9">
        <v>45</v>
      </c>
      <c r="B9">
        <v>0.3</v>
      </c>
      <c r="C9">
        <v>45</v>
      </c>
      <c r="D9">
        <v>6</v>
      </c>
      <c r="E9">
        <v>0.3</v>
      </c>
      <c r="F9" t="s">
        <v>26</v>
      </c>
      <c r="G9">
        <f t="shared" si="7"/>
        <v>-6.6472751895749749E-3</v>
      </c>
      <c r="H9">
        <f t="shared" si="7"/>
        <v>-6.1582553597139822E-3</v>
      </c>
      <c r="I9" s="99">
        <v>0.3</v>
      </c>
      <c r="J9" s="99">
        <v>0.30483500000000002</v>
      </c>
      <c r="K9" s="99">
        <v>-0.31020799999999998</v>
      </c>
      <c r="L9" s="99">
        <v>0.43491800000000003</v>
      </c>
      <c r="M9" s="109">
        <v>0.311482275189575</v>
      </c>
      <c r="N9" s="110">
        <v>-0.304049744640286</v>
      </c>
      <c r="O9" s="110">
        <v>0.43527859466449498</v>
      </c>
      <c r="P9" s="4">
        <f t="shared" si="8"/>
        <v>-0.311482275189575</v>
      </c>
      <c r="Q9" s="111">
        <f t="shared" si="0"/>
        <v>0.304049744640286</v>
      </c>
      <c r="R9" s="13">
        <f t="shared" si="1"/>
        <v>-1.3422626006319716E-3</v>
      </c>
      <c r="S9" s="13">
        <f t="shared" si="1"/>
        <v>-7.1798558408597835E-4</v>
      </c>
      <c r="T9" s="13"/>
      <c r="U9" s="2">
        <v>0.3</v>
      </c>
      <c r="V9" s="2">
        <v>0.31014001258894303</v>
      </c>
      <c r="W9" s="2">
        <v>-0.30476773022437198</v>
      </c>
      <c r="X9" s="4">
        <f t="shared" si="2"/>
        <v>-6.7636321503972141E-5</v>
      </c>
      <c r="Y9" s="4">
        <f t="shared" si="2"/>
        <v>6.7636321504027652E-5</v>
      </c>
      <c r="Z9" s="104">
        <v>0.310207648910447</v>
      </c>
      <c r="AA9" s="104">
        <v>-0.30483536654587601</v>
      </c>
      <c r="AB9">
        <f t="shared" si="3"/>
        <v>-3.5108955298568389E-7</v>
      </c>
      <c r="AC9">
        <f t="shared" si="4"/>
        <v>-3.6654587598494714E-7</v>
      </c>
      <c r="AD9" s="121">
        <v>0.30476799999999998</v>
      </c>
      <c r="AE9" s="2">
        <v>-0.31014000000000003</v>
      </c>
      <c r="AF9" s="2">
        <f t="shared" si="5"/>
        <v>2.6977562800345467E-7</v>
      </c>
      <c r="AG9" s="122">
        <f t="shared" si="6"/>
        <v>1.2588942999158803E-8</v>
      </c>
      <c r="AH9" s="4"/>
      <c r="AI9">
        <v>1.207952E-5</v>
      </c>
      <c r="AJ9">
        <v>7.8785119999999994E-5</v>
      </c>
      <c r="AK9">
        <v>0.99992700000000001</v>
      </c>
      <c r="AL9">
        <v>0.307521507728162</v>
      </c>
      <c r="AM9">
        <v>-0.307521507728162</v>
      </c>
      <c r="AN9">
        <v>6000</v>
      </c>
      <c r="AO9">
        <v>16</v>
      </c>
      <c r="AP9">
        <v>1</v>
      </c>
      <c r="AQ9">
        <v>1</v>
      </c>
      <c r="AR9">
        <v>1</v>
      </c>
      <c r="AS9">
        <v>0.01</v>
      </c>
      <c r="AT9">
        <v>16</v>
      </c>
      <c r="AU9">
        <v>0</v>
      </c>
      <c r="AV9">
        <v>0</v>
      </c>
      <c r="AW9">
        <v>558.9</v>
      </c>
      <c r="AX9" t="s">
        <v>168</v>
      </c>
    </row>
    <row r="10" spans="1:50" x14ac:dyDescent="0.3">
      <c r="A10">
        <v>45</v>
      </c>
      <c r="B10">
        <v>0.4</v>
      </c>
      <c r="C10">
        <v>45</v>
      </c>
      <c r="D10">
        <v>7</v>
      </c>
      <c r="E10">
        <v>0.4</v>
      </c>
      <c r="F10" t="s">
        <v>26</v>
      </c>
      <c r="G10">
        <f t="shared" si="7"/>
        <v>-7.543768549670038E-3</v>
      </c>
      <c r="H10">
        <f t="shared" si="7"/>
        <v>-7.4321703765060088E-3</v>
      </c>
      <c r="I10" s="99">
        <v>0.4</v>
      </c>
      <c r="J10" s="99">
        <v>0.30393999999999999</v>
      </c>
      <c r="K10" s="99">
        <v>-0.31110300000000002</v>
      </c>
      <c r="L10" s="99">
        <v>0.43493100000000001</v>
      </c>
      <c r="M10" s="109">
        <v>0.31148376854967003</v>
      </c>
      <c r="N10" s="110">
        <v>-0.30367082962349401</v>
      </c>
      <c r="O10" s="110">
        <v>0.43501506966325398</v>
      </c>
      <c r="P10" s="4">
        <f t="shared" si="8"/>
        <v>-0.31148376854967003</v>
      </c>
      <c r="Q10" s="111">
        <f t="shared" si="0"/>
        <v>0.30367082962349401</v>
      </c>
      <c r="R10" s="13">
        <f t="shared" si="1"/>
        <v>-5.00981594469041E-4</v>
      </c>
      <c r="S10" s="13">
        <f t="shared" si="1"/>
        <v>-1.4891417894696835E-4</v>
      </c>
      <c r="T10" s="13"/>
      <c r="U10" s="2">
        <v>0.4</v>
      </c>
      <c r="V10" s="2">
        <v>0.31098278695520098</v>
      </c>
      <c r="W10" s="2">
        <v>-0.30381974380244098</v>
      </c>
      <c r="X10" s="4">
        <f t="shared" si="2"/>
        <v>-1.202423493409932E-4</v>
      </c>
      <c r="Y10" s="4">
        <f t="shared" si="2"/>
        <v>1.2024234934004951E-4</v>
      </c>
      <c r="Z10" s="104">
        <v>0.31110302930454198</v>
      </c>
      <c r="AA10" s="104">
        <v>-0.30393998615178103</v>
      </c>
      <c r="AB10">
        <f t="shared" si="3"/>
        <v>2.9304541959707109E-8</v>
      </c>
      <c r="AC10">
        <f t="shared" si="4"/>
        <v>1.3848218960443859E-8</v>
      </c>
      <c r="AD10" s="121">
        <v>0.30381999999999998</v>
      </c>
      <c r="AE10" s="2">
        <v>-0.31098300000000001</v>
      </c>
      <c r="AF10" s="2">
        <f t="shared" si="5"/>
        <v>2.5619755900097019E-7</v>
      </c>
      <c r="AG10" s="122">
        <f t="shared" si="6"/>
        <v>-2.1304479902450879E-7</v>
      </c>
      <c r="AH10" s="4"/>
      <c r="AI10">
        <v>1.546696E-5</v>
      </c>
      <c r="AJ10">
        <v>1.2694989999999999E-4</v>
      </c>
      <c r="AK10">
        <v>0.99987999999999999</v>
      </c>
      <c r="AL10">
        <v>0.307521507728162</v>
      </c>
      <c r="AM10">
        <v>-0.307521507728162</v>
      </c>
      <c r="AN10">
        <v>6000</v>
      </c>
      <c r="AO10">
        <v>16</v>
      </c>
      <c r="AP10">
        <v>1</v>
      </c>
      <c r="AQ10">
        <v>1</v>
      </c>
      <c r="AR10">
        <v>1</v>
      </c>
      <c r="AS10">
        <v>0.01</v>
      </c>
      <c r="AT10">
        <v>16</v>
      </c>
      <c r="AU10">
        <v>0</v>
      </c>
      <c r="AV10">
        <v>0</v>
      </c>
      <c r="AW10">
        <v>552.9</v>
      </c>
      <c r="AX10" t="s">
        <v>169</v>
      </c>
    </row>
    <row r="11" spans="1:50" x14ac:dyDescent="0.3">
      <c r="A11">
        <v>45</v>
      </c>
      <c r="B11">
        <v>0.5</v>
      </c>
      <c r="C11">
        <v>45</v>
      </c>
      <c r="D11">
        <v>8</v>
      </c>
      <c r="E11">
        <v>0.5</v>
      </c>
      <c r="F11" t="s">
        <v>26</v>
      </c>
      <c r="G11">
        <f t="shared" si="7"/>
        <v>-8.6626521675269852E-3</v>
      </c>
      <c r="H11">
        <f t="shared" si="7"/>
        <v>-9.0015317128320227E-3</v>
      </c>
      <c r="I11" s="99">
        <v>0.5</v>
      </c>
      <c r="J11" s="99">
        <v>0.30304500000000001</v>
      </c>
      <c r="K11" s="99">
        <v>-0.311998</v>
      </c>
      <c r="L11" s="99">
        <v>0.43494699999999997</v>
      </c>
      <c r="M11" s="109">
        <v>0.31170765216752699</v>
      </c>
      <c r="N11" s="110">
        <v>-0.30299646828716797</v>
      </c>
      <c r="O11" s="110">
        <v>0.43470509568475202</v>
      </c>
      <c r="P11" s="4">
        <f t="shared" si="8"/>
        <v>-0.31170765216752699</v>
      </c>
      <c r="Q11" s="111">
        <f t="shared" si="0"/>
        <v>0.30299646828716797</v>
      </c>
      <c r="R11" s="13">
        <f t="shared" si="1"/>
        <v>1.0287886026499882E-4</v>
      </c>
      <c r="S11" s="13">
        <f t="shared" si="1"/>
        <v>1.3974120032694826E-4</v>
      </c>
      <c r="T11" s="13"/>
      <c r="U11" s="2">
        <v>0.5</v>
      </c>
      <c r="V11" s="2">
        <v>0.31181053102779199</v>
      </c>
      <c r="W11" s="2">
        <v>-0.30285672708684103</v>
      </c>
      <c r="X11" s="4">
        <f t="shared" si="2"/>
        <v>-1.8787867084502086E-4</v>
      </c>
      <c r="Y11" s="4">
        <f t="shared" si="2"/>
        <v>1.8787867084496535E-4</v>
      </c>
      <c r="Z11" s="104">
        <v>0.31199840969863701</v>
      </c>
      <c r="AA11" s="104">
        <v>-0.30304460575768599</v>
      </c>
      <c r="AB11">
        <f t="shared" si="3"/>
        <v>4.0969863701612041E-7</v>
      </c>
      <c r="AC11">
        <f t="shared" si="4"/>
        <v>3.9424231401685716E-7</v>
      </c>
      <c r="AD11" s="121">
        <v>0.30285699999999999</v>
      </c>
      <c r="AE11" s="2">
        <v>-0.311811</v>
      </c>
      <c r="AF11" s="2">
        <f t="shared" si="5"/>
        <v>2.7291315896071922E-7</v>
      </c>
      <c r="AG11" s="122">
        <f t="shared" si="6"/>
        <v>-4.6897220801200845E-7</v>
      </c>
      <c r="AH11" s="4"/>
      <c r="AI11">
        <v>1.879642E-5</v>
      </c>
      <c r="AJ11">
        <v>1.845793E-4</v>
      </c>
      <c r="AK11">
        <v>0.99982300000000002</v>
      </c>
      <c r="AL11">
        <v>0.307521507728162</v>
      </c>
      <c r="AM11">
        <v>-0.307521507728162</v>
      </c>
      <c r="AN11">
        <v>6000</v>
      </c>
      <c r="AO11">
        <v>16</v>
      </c>
      <c r="AP11">
        <v>1</v>
      </c>
      <c r="AQ11">
        <v>1</v>
      </c>
      <c r="AR11">
        <v>1</v>
      </c>
      <c r="AS11">
        <v>0.01</v>
      </c>
      <c r="AT11">
        <v>16</v>
      </c>
      <c r="AU11">
        <v>0</v>
      </c>
      <c r="AV11">
        <v>0</v>
      </c>
      <c r="AW11">
        <v>551.6</v>
      </c>
      <c r="AX11" t="s">
        <v>170</v>
      </c>
    </row>
    <row r="12" spans="1:50" x14ac:dyDescent="0.3">
      <c r="A12">
        <v>45</v>
      </c>
      <c r="B12">
        <v>0.6</v>
      </c>
      <c r="C12">
        <v>45</v>
      </c>
      <c r="D12">
        <v>9</v>
      </c>
      <c r="E12">
        <v>0.6</v>
      </c>
      <c r="F12" t="s">
        <v>26</v>
      </c>
      <c r="G12">
        <f t="shared" si="7"/>
        <v>-1.0127772247356004E-2</v>
      </c>
      <c r="H12">
        <f t="shared" si="7"/>
        <v>-1.0781125906687006E-2</v>
      </c>
      <c r="I12" s="99">
        <v>0.6</v>
      </c>
      <c r="J12" s="99">
        <v>0.302149</v>
      </c>
      <c r="K12" s="99">
        <v>-0.31289400000000001</v>
      </c>
      <c r="L12" s="99">
        <v>0.43496699999999999</v>
      </c>
      <c r="M12" s="109">
        <v>0.312276772247356</v>
      </c>
      <c r="N12" s="110">
        <v>-0.302112874093313</v>
      </c>
      <c r="O12" s="110">
        <v>0.43449852839583802</v>
      </c>
      <c r="P12" s="4">
        <f t="shared" si="8"/>
        <v>-0.312276772247356</v>
      </c>
      <c r="Q12" s="111">
        <f t="shared" si="0"/>
        <v>0.302112874093313</v>
      </c>
      <c r="R12" s="13">
        <f t="shared" si="1"/>
        <v>3.4647255935998933E-4</v>
      </c>
      <c r="S12" s="13">
        <f t="shared" si="1"/>
        <v>2.3419401573798737E-4</v>
      </c>
      <c r="T12" s="13"/>
      <c r="U12" s="2">
        <v>0.6</v>
      </c>
      <c r="V12" s="2">
        <v>0.31262324480671599</v>
      </c>
      <c r="W12" s="2">
        <v>-0.30187868007757501</v>
      </c>
      <c r="X12" s="4">
        <f t="shared" si="2"/>
        <v>-2.7054528601599959E-4</v>
      </c>
      <c r="Y12" s="4">
        <f t="shared" si="2"/>
        <v>2.7054528601599959E-4</v>
      </c>
      <c r="Z12" s="104">
        <v>0.31289379009273199</v>
      </c>
      <c r="AA12" s="104">
        <v>-0.30214922536359101</v>
      </c>
      <c r="AB12">
        <f t="shared" si="3"/>
        <v>-2.0990726801173309E-7</v>
      </c>
      <c r="AC12">
        <f t="shared" si="4"/>
        <v>-2.2536359101099634E-7</v>
      </c>
      <c r="AD12" s="121">
        <v>0.30187900000000001</v>
      </c>
      <c r="AE12" s="2">
        <v>-0.31262299999999998</v>
      </c>
      <c r="AF12" s="2">
        <f t="shared" si="5"/>
        <v>3.1992242499612189E-7</v>
      </c>
      <c r="AG12" s="122">
        <f t="shared" si="6"/>
        <v>2.4480671600990433E-7</v>
      </c>
      <c r="AH12" s="4"/>
      <c r="AI12">
        <v>2.2139919999999999E-5</v>
      </c>
      <c r="AJ12">
        <v>2.5545400000000001E-4</v>
      </c>
      <c r="AK12">
        <v>0.99975499999999995</v>
      </c>
      <c r="AL12">
        <v>0.307521507728162</v>
      </c>
      <c r="AM12">
        <v>-0.307521507728162</v>
      </c>
      <c r="AN12">
        <v>6000</v>
      </c>
      <c r="AO12">
        <v>16</v>
      </c>
      <c r="AP12">
        <v>1</v>
      </c>
      <c r="AQ12">
        <v>1</v>
      </c>
      <c r="AR12">
        <v>1</v>
      </c>
      <c r="AS12">
        <v>0.01</v>
      </c>
      <c r="AT12">
        <v>16</v>
      </c>
      <c r="AU12">
        <v>0</v>
      </c>
      <c r="AV12">
        <v>0</v>
      </c>
      <c r="AW12">
        <v>551.5</v>
      </c>
      <c r="AX12" t="s">
        <v>171</v>
      </c>
    </row>
    <row r="13" spans="1:50" x14ac:dyDescent="0.3">
      <c r="A13">
        <v>45</v>
      </c>
      <c r="B13">
        <v>0.8</v>
      </c>
      <c r="C13">
        <v>45</v>
      </c>
      <c r="D13">
        <v>10</v>
      </c>
      <c r="E13">
        <v>0.8</v>
      </c>
      <c r="F13" t="s">
        <v>26</v>
      </c>
      <c r="G13">
        <f t="shared" si="7"/>
        <v>-1.3437350831923989E-2</v>
      </c>
      <c r="H13">
        <f t="shared" si="7"/>
        <v>-1.4520265554721967E-2</v>
      </c>
      <c r="I13" s="99">
        <v>0.8</v>
      </c>
      <c r="J13" s="99">
        <v>0.30035800000000001</v>
      </c>
      <c r="K13" s="99">
        <v>-0.31468499999999999</v>
      </c>
      <c r="L13" s="99">
        <v>0.43501899999999999</v>
      </c>
      <c r="M13" s="109">
        <v>0.313795350831924</v>
      </c>
      <c r="N13" s="110">
        <v>-0.30016473444527803</v>
      </c>
      <c r="O13" s="110">
        <v>0.43424231715521999</v>
      </c>
      <c r="P13" s="4">
        <f t="shared" si="8"/>
        <v>-0.313795350831924</v>
      </c>
      <c r="Q13" s="111">
        <f t="shared" si="0"/>
        <v>0.30016473444527803</v>
      </c>
      <c r="R13" s="13">
        <f t="shared" si="1"/>
        <v>4.0823065163597683E-4</v>
      </c>
      <c r="S13" s="13">
        <f t="shared" si="1"/>
        <v>2.8723926723900339E-4</v>
      </c>
      <c r="T13" s="13"/>
      <c r="U13" s="2">
        <v>0.8</v>
      </c>
      <c r="V13" s="2">
        <v>0.31420358148355998</v>
      </c>
      <c r="W13" s="2">
        <v>-0.29987749517803902</v>
      </c>
      <c r="X13" s="4">
        <f t="shared" si="2"/>
        <v>-4.8096939736202993E-4</v>
      </c>
      <c r="Y13" s="4">
        <f t="shared" si="2"/>
        <v>4.8096939736197442E-4</v>
      </c>
      <c r="Z13" s="104">
        <v>0.31468455088092201</v>
      </c>
      <c r="AA13" s="104">
        <v>-0.300358464575401</v>
      </c>
      <c r="AB13">
        <f t="shared" si="3"/>
        <v>-4.491190779831733E-7</v>
      </c>
      <c r="AC13">
        <f t="shared" si="4"/>
        <v>-4.6457540098243655E-7</v>
      </c>
      <c r="AD13" s="121">
        <v>0.299877</v>
      </c>
      <c r="AE13" s="2">
        <v>-0.31420399999999998</v>
      </c>
      <c r="AF13" s="2">
        <f t="shared" si="5"/>
        <v>-4.9517803901721891E-7</v>
      </c>
      <c r="AG13" s="122">
        <f t="shared" si="6"/>
        <v>-4.1851644000390209E-7</v>
      </c>
      <c r="AH13" s="4"/>
      <c r="AI13">
        <v>2.8975129999999998E-5</v>
      </c>
      <c r="AJ13">
        <v>4.4176000000000003E-4</v>
      </c>
      <c r="AK13">
        <v>0.999579</v>
      </c>
      <c r="AL13">
        <v>0.307521507728162</v>
      </c>
      <c r="AM13">
        <v>-0.307521507728162</v>
      </c>
      <c r="AN13">
        <v>6000</v>
      </c>
      <c r="AO13">
        <v>16</v>
      </c>
      <c r="AP13">
        <v>1</v>
      </c>
      <c r="AQ13">
        <v>1</v>
      </c>
      <c r="AR13">
        <v>1</v>
      </c>
      <c r="AS13">
        <v>0.01</v>
      </c>
      <c r="AT13">
        <v>16</v>
      </c>
      <c r="AU13">
        <v>0</v>
      </c>
      <c r="AV13">
        <v>0</v>
      </c>
      <c r="AW13">
        <v>547.9</v>
      </c>
      <c r="AX13" t="s">
        <v>172</v>
      </c>
    </row>
    <row r="14" spans="1:50" x14ac:dyDescent="0.3">
      <c r="A14">
        <v>45</v>
      </c>
      <c r="B14">
        <v>1</v>
      </c>
      <c r="C14">
        <v>45</v>
      </c>
      <c r="D14">
        <v>11</v>
      </c>
      <c r="E14">
        <v>1</v>
      </c>
      <c r="F14" t="s">
        <v>26</v>
      </c>
      <c r="G14">
        <f t="shared" si="7"/>
        <v>-1.6708191915018988E-2</v>
      </c>
      <c r="H14">
        <f t="shared" si="7"/>
        <v>-1.8304071001238986E-2</v>
      </c>
      <c r="I14" s="99">
        <v>1</v>
      </c>
      <c r="J14" s="99">
        <v>0.298568</v>
      </c>
      <c r="K14" s="99">
        <v>-0.31647500000000001</v>
      </c>
      <c r="L14" s="99">
        <v>0.435085</v>
      </c>
      <c r="M14" s="109">
        <v>0.31527619191501899</v>
      </c>
      <c r="N14" s="110">
        <v>-0.29817092899876102</v>
      </c>
      <c r="O14" s="110">
        <v>0.43394121731914398</v>
      </c>
      <c r="P14" s="4">
        <f t="shared" si="8"/>
        <v>-0.31527619191501899</v>
      </c>
      <c r="Q14" s="111">
        <f t="shared" si="0"/>
        <v>0.29817092899876102</v>
      </c>
      <c r="R14" s="13">
        <f t="shared" si="1"/>
        <v>4.4760507071500699E-4</v>
      </c>
      <c r="S14" s="13">
        <f t="shared" si="1"/>
        <v>3.5473989492901259E-4</v>
      </c>
      <c r="T14" s="13"/>
      <c r="U14" s="2">
        <v>1</v>
      </c>
      <c r="V14" s="2">
        <v>0.315723796985734</v>
      </c>
      <c r="W14" s="2">
        <v>-0.29781618910383201</v>
      </c>
      <c r="X14" s="4">
        <f t="shared" si="2"/>
        <v>-7.5151468337802951E-4</v>
      </c>
      <c r="Y14" s="4">
        <f t="shared" si="2"/>
        <v>7.515146833789732E-4</v>
      </c>
      <c r="Z14" s="104">
        <v>0.31647531166911202</v>
      </c>
      <c r="AA14" s="104">
        <v>-0.29856770378721098</v>
      </c>
      <c r="AB14">
        <f t="shared" si="3"/>
        <v>3.1166911201863101E-7</v>
      </c>
      <c r="AC14">
        <f t="shared" si="4"/>
        <v>2.9621278901936776E-7</v>
      </c>
      <c r="AD14" s="121">
        <v>0.29781600000000003</v>
      </c>
      <c r="AE14" s="2">
        <v>-0.315724</v>
      </c>
      <c r="AF14" s="2">
        <f t="shared" si="5"/>
        <v>-1.8910383198234015E-7</v>
      </c>
      <c r="AG14" s="122">
        <f t="shared" si="6"/>
        <v>-2.0301426600921602E-7</v>
      </c>
      <c r="AH14" s="4"/>
      <c r="AI14">
        <v>3.5637879999999998E-5</v>
      </c>
      <c r="AJ14">
        <v>6.7495779999999996E-4</v>
      </c>
      <c r="AK14">
        <v>0.999359</v>
      </c>
      <c r="AL14">
        <v>0.307521507728162</v>
      </c>
      <c r="AM14">
        <v>-0.307521507728162</v>
      </c>
      <c r="AN14">
        <v>6000</v>
      </c>
      <c r="AO14">
        <v>16</v>
      </c>
      <c r="AP14">
        <v>1</v>
      </c>
      <c r="AQ14">
        <v>1</v>
      </c>
      <c r="AR14">
        <v>1</v>
      </c>
      <c r="AS14">
        <v>0.01</v>
      </c>
      <c r="AT14">
        <v>16</v>
      </c>
      <c r="AU14">
        <v>0</v>
      </c>
      <c r="AV14">
        <v>0</v>
      </c>
      <c r="AW14">
        <v>548.70000000000005</v>
      </c>
      <c r="AX14" t="s">
        <v>173</v>
      </c>
    </row>
    <row r="15" spans="1:50" x14ac:dyDescent="0.3">
      <c r="A15">
        <v>45</v>
      </c>
      <c r="B15">
        <v>1.5</v>
      </c>
      <c r="C15">
        <v>45</v>
      </c>
      <c r="D15">
        <v>12</v>
      </c>
      <c r="E15">
        <v>1.5</v>
      </c>
      <c r="F15" t="s">
        <v>26</v>
      </c>
      <c r="G15">
        <f t="shared" si="7"/>
        <v>-2.4582821212129013E-2</v>
      </c>
      <c r="H15">
        <f t="shared" si="7"/>
        <v>-2.7856024576949023E-2</v>
      </c>
      <c r="I15" s="99">
        <v>1.5</v>
      </c>
      <c r="J15" s="99">
        <v>0.29409099999999999</v>
      </c>
      <c r="K15" s="99">
        <v>-0.32095200000000002</v>
      </c>
      <c r="L15" s="99">
        <v>0.43531599999999998</v>
      </c>
      <c r="M15" s="109">
        <v>0.318673821212129</v>
      </c>
      <c r="N15" s="110">
        <v>-0.29309597542305099</v>
      </c>
      <c r="O15" s="110">
        <v>0.43296449639102003</v>
      </c>
      <c r="P15" s="4">
        <f t="shared" si="8"/>
        <v>-0.318673821212129</v>
      </c>
      <c r="Q15" s="111">
        <f t="shared" si="0"/>
        <v>0.29309597542305099</v>
      </c>
      <c r="R15" s="13">
        <f t="shared" si="1"/>
        <v>5.8748438985700702E-4</v>
      </c>
      <c r="S15" s="13">
        <f t="shared" si="1"/>
        <v>6.9608164391699034E-4</v>
      </c>
      <c r="T15" s="13"/>
      <c r="U15" s="2">
        <v>1.5</v>
      </c>
      <c r="V15" s="2">
        <v>0.31926130560198601</v>
      </c>
      <c r="W15" s="2">
        <v>-0.292399893779134</v>
      </c>
      <c r="X15" s="4">
        <f t="shared" si="2"/>
        <v>-1.6909080376019681E-3</v>
      </c>
      <c r="Y15" s="4">
        <f t="shared" si="2"/>
        <v>1.6909080376010244E-3</v>
      </c>
      <c r="Z15" s="104">
        <v>0.32095221363958798</v>
      </c>
      <c r="AA15" s="104">
        <v>-0.29409080181673503</v>
      </c>
      <c r="AB15">
        <f t="shared" si="3"/>
        <v>2.1363958796483118E-7</v>
      </c>
      <c r="AC15">
        <f t="shared" si="4"/>
        <v>1.9818326496556793E-7</v>
      </c>
      <c r="AD15" s="121">
        <v>0.29239999999999999</v>
      </c>
      <c r="AE15" s="2">
        <v>-0.31926100000000002</v>
      </c>
      <c r="AF15" s="2">
        <f t="shared" si="5"/>
        <v>1.0622086599187952E-7</v>
      </c>
      <c r="AG15" s="122">
        <f t="shared" si="6"/>
        <v>3.0560198599483002E-7</v>
      </c>
      <c r="AH15" s="4"/>
      <c r="AI15">
        <v>5.0974119999999998E-5</v>
      </c>
      <c r="AJ15">
        <v>1.408767E-3</v>
      </c>
      <c r="AK15">
        <v>0.99867300000000003</v>
      </c>
      <c r="AL15">
        <v>0.307521507728162</v>
      </c>
      <c r="AM15">
        <v>-0.307521507728162</v>
      </c>
      <c r="AN15">
        <v>6000</v>
      </c>
      <c r="AO15">
        <v>16</v>
      </c>
      <c r="AP15">
        <v>1</v>
      </c>
      <c r="AQ15">
        <v>1</v>
      </c>
      <c r="AR15">
        <v>1</v>
      </c>
      <c r="AS15">
        <v>0.01</v>
      </c>
      <c r="AT15">
        <v>16</v>
      </c>
      <c r="AU15">
        <v>0</v>
      </c>
      <c r="AV15">
        <v>0</v>
      </c>
      <c r="AW15">
        <v>544.1</v>
      </c>
      <c r="AX15" t="s">
        <v>174</v>
      </c>
    </row>
    <row r="16" spans="1:50" x14ac:dyDescent="0.3">
      <c r="A16">
        <v>45</v>
      </c>
      <c r="B16">
        <v>2</v>
      </c>
      <c r="C16">
        <v>45</v>
      </c>
      <c r="D16">
        <v>13</v>
      </c>
      <c r="E16">
        <v>2</v>
      </c>
      <c r="F16" t="s">
        <v>26</v>
      </c>
      <c r="G16">
        <f t="shared" si="7"/>
        <v>-3.201328092143102E-2</v>
      </c>
      <c r="H16">
        <f t="shared" si="7"/>
        <v>-3.7481938734005016E-2</v>
      </c>
      <c r="I16" s="99">
        <v>2</v>
      </c>
      <c r="J16" s="99">
        <v>0.28961399999999998</v>
      </c>
      <c r="K16" s="99">
        <v>-0.32542900000000002</v>
      </c>
      <c r="L16" s="99">
        <v>0.43563800000000003</v>
      </c>
      <c r="M16" s="109">
        <v>0.321627280921431</v>
      </c>
      <c r="N16" s="110">
        <v>-0.28794706126599501</v>
      </c>
      <c r="O16" s="110">
        <v>0.43169157731491098</v>
      </c>
      <c r="P16" s="4">
        <f t="shared" si="8"/>
        <v>-0.321627280921431</v>
      </c>
      <c r="Q16" s="111">
        <f t="shared" si="0"/>
        <v>0.28794706126599501</v>
      </c>
      <c r="R16" s="13">
        <f t="shared" si="1"/>
        <v>7.9577595511798327E-4</v>
      </c>
      <c r="S16" s="13">
        <f t="shared" si="1"/>
        <v>1.3392201532489989E-3</v>
      </c>
      <c r="T16" s="13"/>
      <c r="U16" s="2">
        <v>2</v>
      </c>
      <c r="V16" s="2">
        <v>0.32242305687654899</v>
      </c>
      <c r="W16" s="2">
        <v>-0.28660784111274601</v>
      </c>
      <c r="X16" s="4">
        <f t="shared" si="2"/>
        <v>-3.0060587335140054E-3</v>
      </c>
      <c r="Y16" s="4">
        <f t="shared" si="2"/>
        <v>3.0060587335140054E-3</v>
      </c>
      <c r="Z16" s="104">
        <v>0.32542911561006299</v>
      </c>
      <c r="AA16" s="104">
        <v>-0.28961389984626001</v>
      </c>
      <c r="AB16">
        <f t="shared" si="3"/>
        <v>1.1561006296734178E-7</v>
      </c>
      <c r="AC16">
        <f t="shared" si="4"/>
        <v>1.0015373996807853E-7</v>
      </c>
      <c r="AD16" s="121">
        <v>0.28660799999999997</v>
      </c>
      <c r="AE16" s="2">
        <v>-0.32242300000000002</v>
      </c>
      <c r="AF16" s="2">
        <f t="shared" si="5"/>
        <v>1.588872539648456E-7</v>
      </c>
      <c r="AG16" s="122">
        <f t="shared" si="6"/>
        <v>5.6876548970574703E-8</v>
      </c>
      <c r="AH16" s="4"/>
      <c r="AI16">
        <v>6.4640619999999994E-5</v>
      </c>
      <c r="AJ16">
        <v>2.3084960000000002E-3</v>
      </c>
      <c r="AK16">
        <v>0.99783999999999995</v>
      </c>
      <c r="AL16">
        <v>0.307521507728162</v>
      </c>
      <c r="AM16">
        <v>-0.307521507728162</v>
      </c>
      <c r="AN16">
        <v>6000</v>
      </c>
      <c r="AO16">
        <v>16</v>
      </c>
      <c r="AP16">
        <v>1</v>
      </c>
      <c r="AQ16">
        <v>1</v>
      </c>
      <c r="AR16">
        <v>1</v>
      </c>
      <c r="AS16">
        <v>0.01</v>
      </c>
      <c r="AT16">
        <v>16</v>
      </c>
      <c r="AU16">
        <v>0</v>
      </c>
      <c r="AV16">
        <v>0</v>
      </c>
      <c r="AW16">
        <v>561.79999999999995</v>
      </c>
      <c r="AX16" t="s">
        <v>175</v>
      </c>
    </row>
    <row r="17" spans="1:50" x14ac:dyDescent="0.3">
      <c r="A17">
        <v>45</v>
      </c>
      <c r="B17">
        <v>3</v>
      </c>
      <c r="C17">
        <v>45</v>
      </c>
      <c r="D17">
        <v>14</v>
      </c>
      <c r="E17">
        <v>3</v>
      </c>
      <c r="F17" t="s">
        <v>26</v>
      </c>
      <c r="G17">
        <f t="shared" si="7"/>
        <v>-4.5703101445636996E-2</v>
      </c>
      <c r="H17">
        <f t="shared" si="7"/>
        <v>-5.6732114939494982E-2</v>
      </c>
      <c r="I17" s="99">
        <v>3</v>
      </c>
      <c r="J17" s="99">
        <v>0.28066000000000002</v>
      </c>
      <c r="K17" s="99">
        <v>-0.33438299999999999</v>
      </c>
      <c r="L17" s="99">
        <v>0.43655699999999997</v>
      </c>
      <c r="M17" s="109">
        <v>0.32636310144563702</v>
      </c>
      <c r="N17" s="110">
        <v>-0.277650885060505</v>
      </c>
      <c r="O17" s="110">
        <v>0.42848907566015898</v>
      </c>
      <c r="P17" s="4">
        <f t="shared" si="8"/>
        <v>-0.32636310144563702</v>
      </c>
      <c r="Q17" s="111">
        <f t="shared" si="0"/>
        <v>0.277650885060505</v>
      </c>
      <c r="R17" s="13">
        <f t="shared" si="1"/>
        <v>1.2561859549699572E-3</v>
      </c>
      <c r="S17" s="13">
        <f t="shared" si="1"/>
        <v>3.7544213056019959E-3</v>
      </c>
      <c r="T17" s="13"/>
      <c r="U17" s="2">
        <v>3</v>
      </c>
      <c r="V17" s="2">
        <v>0.32761928740060697</v>
      </c>
      <c r="W17" s="2">
        <v>-0.27389646375490301</v>
      </c>
      <c r="X17" s="4">
        <f t="shared" si="2"/>
        <v>-6.7636321504070396E-3</v>
      </c>
      <c r="Y17" s="4">
        <f t="shared" si="2"/>
        <v>6.7636321504059849E-3</v>
      </c>
      <c r="Z17" s="104">
        <v>0.33438291955101401</v>
      </c>
      <c r="AA17" s="104">
        <v>-0.28066009590530899</v>
      </c>
      <c r="AB17">
        <f t="shared" si="3"/>
        <v>-8.0448985972925158E-8</v>
      </c>
      <c r="AC17">
        <f t="shared" si="4"/>
        <v>-9.5905308972188408E-8</v>
      </c>
      <c r="AD17" s="121">
        <v>0.27389599999999997</v>
      </c>
      <c r="AE17" s="2">
        <v>-0.32761899999999999</v>
      </c>
      <c r="AF17" s="2">
        <f t="shared" si="5"/>
        <v>-4.6375490303507405E-7</v>
      </c>
      <c r="AG17" s="122">
        <f t="shared" si="6"/>
        <v>2.8740060697973746E-7</v>
      </c>
      <c r="AH17" s="4"/>
      <c r="AI17">
        <v>8.7929200000000005E-5</v>
      </c>
      <c r="AJ17">
        <v>4.4126790000000001E-3</v>
      </c>
      <c r="AK17">
        <v>0.99593399999999999</v>
      </c>
      <c r="AL17">
        <v>0.307521507728162</v>
      </c>
      <c r="AM17">
        <v>-0.307521507728162</v>
      </c>
      <c r="AN17">
        <v>6000</v>
      </c>
      <c r="AO17">
        <v>16</v>
      </c>
      <c r="AP17">
        <v>1</v>
      </c>
      <c r="AQ17">
        <v>1</v>
      </c>
      <c r="AR17">
        <v>1</v>
      </c>
      <c r="AS17">
        <v>0.01</v>
      </c>
      <c r="AT17">
        <v>16</v>
      </c>
      <c r="AU17">
        <v>0</v>
      </c>
      <c r="AV17">
        <v>0</v>
      </c>
      <c r="AW17">
        <v>556.1</v>
      </c>
      <c r="AX17" t="s">
        <v>176</v>
      </c>
    </row>
    <row r="18" spans="1:50" x14ac:dyDescent="0.3">
      <c r="A18">
        <v>45</v>
      </c>
      <c r="B18">
        <v>4</v>
      </c>
      <c r="C18">
        <v>45</v>
      </c>
      <c r="D18">
        <v>15</v>
      </c>
      <c r="E18">
        <v>4</v>
      </c>
      <c r="F18" t="s">
        <v>26</v>
      </c>
      <c r="G18">
        <f t="shared" si="7"/>
        <v>-5.8100674053030987E-2</v>
      </c>
      <c r="H18">
        <f t="shared" si="7"/>
        <v>-7.5705287722338976E-2</v>
      </c>
      <c r="I18" s="99">
        <v>4</v>
      </c>
      <c r="J18" s="99">
        <v>0.271706</v>
      </c>
      <c r="K18" s="99">
        <v>-0.343337</v>
      </c>
      <c r="L18" s="99">
        <v>0.43784099999999998</v>
      </c>
      <c r="M18" s="109">
        <v>0.32980667405303099</v>
      </c>
      <c r="N18" s="110">
        <v>-0.26763171227766103</v>
      </c>
      <c r="O18" s="110">
        <v>0.424734241222196</v>
      </c>
      <c r="P18" s="4">
        <f t="shared" si="8"/>
        <v>-0.32980667405303099</v>
      </c>
      <c r="Q18" s="111">
        <f t="shared" si="0"/>
        <v>0.26763171227766103</v>
      </c>
      <c r="R18" s="13">
        <f t="shared" si="1"/>
        <v>1.5058145048780225E-3</v>
      </c>
      <c r="S18" s="13">
        <f t="shared" si="1"/>
        <v>7.9496552473590221E-3</v>
      </c>
      <c r="T18" s="13"/>
      <c r="U18" s="2">
        <v>4</v>
      </c>
      <c r="V18" s="2">
        <v>0.33131248855790901</v>
      </c>
      <c r="W18" s="2">
        <v>-0.259682057030302</v>
      </c>
      <c r="X18" s="4">
        <f t="shared" si="2"/>
        <v>-1.2024234934055966E-2</v>
      </c>
      <c r="Y18" s="4">
        <f t="shared" si="2"/>
        <v>1.2024234934056022E-2</v>
      </c>
      <c r="Z18" s="104">
        <v>0.34333672349196498</v>
      </c>
      <c r="AA18" s="104">
        <v>-0.27170629196435803</v>
      </c>
      <c r="AB18">
        <f t="shared" si="3"/>
        <v>-2.7650803502421439E-7</v>
      </c>
      <c r="AC18">
        <f t="shared" si="4"/>
        <v>-2.9196435802347764E-7</v>
      </c>
      <c r="AD18" s="121">
        <v>0.25968200000000002</v>
      </c>
      <c r="AE18" s="2">
        <v>-0.331312</v>
      </c>
      <c r="AF18" s="2">
        <f t="shared" si="5"/>
        <v>-5.7030301980898201E-8</v>
      </c>
      <c r="AG18" s="122">
        <f t="shared" si="6"/>
        <v>4.8855790901747298E-7</v>
      </c>
      <c r="AH18" s="4"/>
      <c r="AI18">
        <v>1.069419E-4</v>
      </c>
      <c r="AJ18">
        <v>6.6337660000000001E-3</v>
      </c>
      <c r="AK18">
        <v>0.99389099999999997</v>
      </c>
      <c r="AL18">
        <v>0.307521507728162</v>
      </c>
      <c r="AM18">
        <v>-0.307521507728162</v>
      </c>
      <c r="AN18">
        <v>6000</v>
      </c>
      <c r="AO18">
        <v>16</v>
      </c>
      <c r="AP18">
        <v>1</v>
      </c>
      <c r="AQ18">
        <v>1</v>
      </c>
      <c r="AR18">
        <v>1</v>
      </c>
      <c r="AS18">
        <v>0.01</v>
      </c>
      <c r="AT18">
        <v>16</v>
      </c>
      <c r="AU18">
        <v>0</v>
      </c>
      <c r="AV18">
        <v>0</v>
      </c>
      <c r="AW18">
        <v>559.5</v>
      </c>
      <c r="AX18" t="s">
        <v>177</v>
      </c>
    </row>
    <row r="19" spans="1:50" ht="15" thickBot="1" x14ac:dyDescent="0.35">
      <c r="A19">
        <v>45</v>
      </c>
      <c r="B19">
        <v>6</v>
      </c>
      <c r="C19">
        <v>45</v>
      </c>
      <c r="D19">
        <v>16</v>
      </c>
      <c r="E19">
        <v>6</v>
      </c>
      <c r="F19" t="s">
        <v>26</v>
      </c>
      <c r="G19">
        <f t="shared" si="7"/>
        <v>-8.0084312800747015E-2</v>
      </c>
      <c r="H19">
        <f t="shared" si="7"/>
        <v>-0.11229209949744501</v>
      </c>
      <c r="I19" s="99">
        <v>6</v>
      </c>
      <c r="J19" s="99">
        <v>0.253799</v>
      </c>
      <c r="K19" s="99">
        <v>-0.36124400000000001</v>
      </c>
      <c r="L19" s="99">
        <v>0.44148799999999999</v>
      </c>
      <c r="M19" s="109">
        <v>0.33388331280074701</v>
      </c>
      <c r="N19" s="110">
        <v>-0.248951900502555</v>
      </c>
      <c r="O19" s="110">
        <v>0.41647942966085999</v>
      </c>
      <c r="P19" s="4">
        <f t="shared" si="8"/>
        <v>-0.33388331280074701</v>
      </c>
      <c r="Q19" s="111">
        <f t="shared" si="0"/>
        <v>0.248951900502555</v>
      </c>
      <c r="R19" s="13">
        <f t="shared" si="1"/>
        <v>3.0648997149296253E-4</v>
      </c>
      <c r="S19" s="13">
        <f t="shared" si="1"/>
        <v>2.2207745021724012E-2</v>
      </c>
      <c r="T19" s="13"/>
      <c r="U19" s="2">
        <v>6</v>
      </c>
      <c r="V19" s="2">
        <v>0.33418980277223997</v>
      </c>
      <c r="W19" s="2">
        <v>-0.22674415548083099</v>
      </c>
      <c r="X19" s="4">
        <f t="shared" si="2"/>
        <v>-2.7054528601626049E-2</v>
      </c>
      <c r="Y19" s="4">
        <f t="shared" si="2"/>
        <v>2.7054528601625993E-2</v>
      </c>
      <c r="Z19" s="104">
        <v>0.36124433137386602</v>
      </c>
      <c r="AA19" s="104">
        <v>-0.25379868408245698</v>
      </c>
      <c r="AB19">
        <f t="shared" si="3"/>
        <v>3.3137386601378438E-7</v>
      </c>
      <c r="AC19">
        <f t="shared" si="4"/>
        <v>3.1591754301452113E-7</v>
      </c>
      <c r="AD19" s="121">
        <v>0.226744</v>
      </c>
      <c r="AE19" s="2">
        <v>-0.33418999999999999</v>
      </c>
      <c r="AF19" s="2">
        <f t="shared" si="5"/>
        <v>-1.5548083098781973E-7</v>
      </c>
      <c r="AG19" s="122">
        <f t="shared" si="6"/>
        <v>-1.9722776001263043E-7</v>
      </c>
      <c r="AH19" s="4"/>
      <c r="AI19">
        <v>1.359419E-4</v>
      </c>
      <c r="AJ19">
        <v>1.1131240000000001E-2</v>
      </c>
      <c r="AK19">
        <v>0.989761</v>
      </c>
      <c r="AL19">
        <v>0.307521507728162</v>
      </c>
      <c r="AM19">
        <v>-0.307521507728162</v>
      </c>
      <c r="AN19">
        <v>6000</v>
      </c>
      <c r="AO19">
        <v>16</v>
      </c>
      <c r="AP19">
        <v>1</v>
      </c>
      <c r="AQ19">
        <v>1</v>
      </c>
      <c r="AR19">
        <v>1</v>
      </c>
      <c r="AS19">
        <v>0.01</v>
      </c>
      <c r="AT19">
        <v>16</v>
      </c>
      <c r="AU19">
        <v>0</v>
      </c>
      <c r="AV19">
        <v>0</v>
      </c>
      <c r="AW19">
        <v>553.79999999999995</v>
      </c>
      <c r="AX19" t="s">
        <v>178</v>
      </c>
    </row>
    <row r="20" spans="1:50" ht="15" thickBot="1" x14ac:dyDescent="0.35">
      <c r="A20">
        <v>45</v>
      </c>
      <c r="B20">
        <v>8</v>
      </c>
      <c r="C20">
        <v>45</v>
      </c>
      <c r="D20">
        <v>17</v>
      </c>
      <c r="E20">
        <v>8</v>
      </c>
      <c r="F20" t="s">
        <v>26</v>
      </c>
      <c r="G20">
        <f t="shared" si="7"/>
        <v>-9.9563470721614006E-2</v>
      </c>
      <c r="H20">
        <f t="shared" si="7"/>
        <v>-0.146968815763622</v>
      </c>
      <c r="I20" s="100">
        <v>8</v>
      </c>
      <c r="J20" s="100">
        <v>0.23589099999999999</v>
      </c>
      <c r="K20" s="116">
        <v>-0.37915199999999999</v>
      </c>
      <c r="L20" s="100">
        <v>0.44654300000000002</v>
      </c>
      <c r="M20" s="112">
        <v>0.335454470721614</v>
      </c>
      <c r="N20" s="113">
        <v>-0.23218318423637799</v>
      </c>
      <c r="O20" s="113">
        <v>0.40796903432645798</v>
      </c>
      <c r="P20" s="115">
        <f t="shared" si="8"/>
        <v>-0.335454470721614</v>
      </c>
      <c r="Q20" s="114">
        <f t="shared" si="0"/>
        <v>0.23218318423637799</v>
      </c>
      <c r="R20" s="13">
        <f>P20+V20</f>
        <v>-4.3994712020700155E-3</v>
      </c>
      <c r="S20" s="13">
        <f>Q20+W20</f>
        <v>4.4389047772046997E-2</v>
      </c>
      <c r="T20" s="13"/>
      <c r="U20" s="2">
        <v>8</v>
      </c>
      <c r="V20" s="117">
        <v>0.33105499951954398</v>
      </c>
      <c r="W20" s="2">
        <v>-0.18779413646433099</v>
      </c>
      <c r="X20" s="4">
        <f>V20-Z20</f>
        <v>-4.8096939736224031E-2</v>
      </c>
      <c r="Y20" s="4">
        <f>W20-AA20</f>
        <v>4.8096939736224004E-2</v>
      </c>
      <c r="Z20" s="104">
        <v>0.37915193925576801</v>
      </c>
      <c r="AA20" s="104">
        <v>-0.23589107620055499</v>
      </c>
      <c r="AB20">
        <f>Z20+K20</f>
        <v>-6.074423197777179E-8</v>
      </c>
      <c r="AC20">
        <f>AA20+J20</f>
        <v>-7.6200555004790615E-8</v>
      </c>
      <c r="AD20" s="123">
        <v>0.18779399999999999</v>
      </c>
      <c r="AE20" s="124">
        <v>-0.33105499999999999</v>
      </c>
      <c r="AF20" s="124">
        <f>W20+AD20</f>
        <v>-1.3646433100200639E-7</v>
      </c>
      <c r="AG20" s="125">
        <f>V20+AE20</f>
        <v>-4.8045600831159163E-10</v>
      </c>
      <c r="AH20" s="4"/>
      <c r="AI20">
        <v>1.5679760000000001E-4</v>
      </c>
      <c r="AJ20">
        <v>1.504773E-2</v>
      </c>
      <c r="AK20">
        <v>0.98582099999999995</v>
      </c>
      <c r="AL20">
        <v>0.307521507728162</v>
      </c>
      <c r="AM20">
        <v>-0.307521507728162</v>
      </c>
      <c r="AN20">
        <v>6000</v>
      </c>
      <c r="AO20">
        <v>16</v>
      </c>
      <c r="AP20">
        <v>1</v>
      </c>
      <c r="AQ20">
        <v>1</v>
      </c>
      <c r="AR20">
        <v>1</v>
      </c>
      <c r="AS20">
        <v>0.01</v>
      </c>
      <c r="AT20">
        <v>16</v>
      </c>
      <c r="AU20">
        <v>0</v>
      </c>
      <c r="AV20">
        <v>0</v>
      </c>
      <c r="AW20">
        <v>561</v>
      </c>
      <c r="AX20" t="s">
        <v>179</v>
      </c>
    </row>
    <row r="21" spans="1:50" x14ac:dyDescent="0.3">
      <c r="P21" s="4" t="s">
        <v>184</v>
      </c>
      <c r="Q21" s="4" t="s">
        <v>183</v>
      </c>
      <c r="V21" t="s">
        <v>226</v>
      </c>
      <c r="AJ21" s="44"/>
    </row>
    <row r="22" spans="1:50" x14ac:dyDescent="0.3">
      <c r="V22" t="s">
        <v>230</v>
      </c>
    </row>
  </sheetData>
  <hyperlinks>
    <hyperlink ref="J1" r:id="rId1" xr:uid="{51D5268A-35BA-4B7A-9AB3-F60EFC2BC031}"/>
    <hyperlink ref="AD1" r:id="rId2" xr:uid="{FC7C9B8A-2239-45A3-8EB6-8D7230F41868}"/>
  </hyperlinks>
  <pageMargins left="0.7" right="0.7" top="0.75" bottom="0.75" header="0.3" footer="0.3"/>
  <drawing r:id="rId3"/>
  <legacy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C0595-75C8-4691-BEAE-78D2FB2062AC}">
  <dimension ref="B3:I10"/>
  <sheetViews>
    <sheetView zoomScale="130" zoomScaleNormal="130" workbookViewId="0">
      <selection activeCell="H12" sqref="H12"/>
    </sheetView>
  </sheetViews>
  <sheetFormatPr defaultRowHeight="14.4" x14ac:dyDescent="0.3"/>
  <cols>
    <col min="8" max="8" width="10.21875" customWidth="1"/>
  </cols>
  <sheetData>
    <row r="3" spans="2:9" x14ac:dyDescent="0.3">
      <c r="C3" t="s">
        <v>65</v>
      </c>
      <c r="D3" t="s">
        <v>66</v>
      </c>
      <c r="E3" t="s">
        <v>67</v>
      </c>
      <c r="F3" s="25" t="s">
        <v>68</v>
      </c>
      <c r="G3" s="25" t="s">
        <v>69</v>
      </c>
      <c r="H3" s="25" t="s">
        <v>70</v>
      </c>
      <c r="I3" s="46" t="s">
        <v>11</v>
      </c>
    </row>
    <row r="4" spans="2:9" x14ac:dyDescent="0.3">
      <c r="B4" s="17">
        <v>0</v>
      </c>
      <c r="C4" s="15">
        <v>0.41780845290741098</v>
      </c>
      <c r="D4" s="15">
        <v>-0.41836309733543903</v>
      </c>
      <c r="E4" s="44">
        <v>0.59126270348550403</v>
      </c>
      <c r="F4" s="25">
        <v>0.41836699999999999</v>
      </c>
      <c r="G4" s="25">
        <v>-0.41836699999999999</v>
      </c>
      <c r="H4" s="26">
        <v>0.59165999999999996</v>
      </c>
      <c r="I4" s="47">
        <v>0.41836404112053699</v>
      </c>
    </row>
    <row r="5" spans="2:9" x14ac:dyDescent="0.3">
      <c r="B5" s="17">
        <v>0.05</v>
      </c>
      <c r="C5" s="15">
        <v>0.41888723604943401</v>
      </c>
      <c r="D5" s="15">
        <v>-0.41713875947696</v>
      </c>
      <c r="E5" s="45">
        <v>0.59116094355353999</v>
      </c>
      <c r="F5" s="25">
        <v>0.41950199999999999</v>
      </c>
      <c r="G5" s="25">
        <v>-0.41723199999999999</v>
      </c>
      <c r="H5" s="26">
        <v>0.59166200000000002</v>
      </c>
      <c r="I5" s="47">
        <v>0.41947602637676601</v>
      </c>
    </row>
    <row r="6" spans="2:9" x14ac:dyDescent="0.3">
      <c r="B6" s="17">
        <v>0.1</v>
      </c>
      <c r="C6" s="15">
        <v>0.41985514395877999</v>
      </c>
      <c r="D6" s="15">
        <v>-0.41619351749012401</v>
      </c>
      <c r="E6" s="44">
        <v>0.59118134773472897</v>
      </c>
      <c r="F6" s="25">
        <v>0.42063600000000001</v>
      </c>
      <c r="G6" s="25">
        <v>-0.41609699999999999</v>
      </c>
      <c r="H6" s="26">
        <v>0.591669</v>
      </c>
      <c r="I6" s="47">
        <v>0.41366088541155099</v>
      </c>
    </row>
    <row r="7" spans="2:9" x14ac:dyDescent="0.3">
      <c r="B7" s="17">
        <v>0.2</v>
      </c>
      <c r="C7" s="15">
        <v>0.43903701064051498</v>
      </c>
      <c r="D7" s="15">
        <v>-0.40568558198158</v>
      </c>
      <c r="E7" s="45">
        <v>0.59777444587393702</v>
      </c>
      <c r="F7" s="25">
        <v>0.422906</v>
      </c>
      <c r="G7" s="25">
        <v>-0.413827</v>
      </c>
      <c r="H7" s="26">
        <v>0.59169499999999997</v>
      </c>
      <c r="I7" s="47">
        <v>0.56773347902228199</v>
      </c>
    </row>
    <row r="8" spans="2:9" x14ac:dyDescent="0.3">
      <c r="B8" s="17">
        <v>0.5</v>
      </c>
      <c r="C8" s="15">
        <v>0.43304269178049298</v>
      </c>
      <c r="D8" s="15">
        <v>-0.40562753767350901</v>
      </c>
      <c r="E8" s="45">
        <v>0.59334616559270803</v>
      </c>
      <c r="F8">
        <v>0.42971571055923502</v>
      </c>
      <c r="G8">
        <v>-0.40701764187400502</v>
      </c>
      <c r="H8">
        <v>0.59187748115476002</v>
      </c>
      <c r="I8" s="47">
        <v>-0.35918754602071101</v>
      </c>
    </row>
    <row r="9" spans="2:9" x14ac:dyDescent="0.3">
      <c r="B9" s="17">
        <v>0.7</v>
      </c>
      <c r="C9" s="15">
        <v>0.431500128778734</v>
      </c>
      <c r="D9" s="15">
        <v>-0.40116515446589002</v>
      </c>
      <c r="E9" s="44">
        <v>0.58917386423169305</v>
      </c>
      <c r="F9">
        <v>0.434255324296282</v>
      </c>
      <c r="G9">
        <v>-0.40247802813695999</v>
      </c>
      <c r="H9">
        <v>0.59208635334103399</v>
      </c>
      <c r="I9" s="47">
        <v>1.3532193644232</v>
      </c>
    </row>
    <row r="10" spans="2:9" x14ac:dyDescent="0.3">
      <c r="B10" s="17">
        <v>1</v>
      </c>
      <c r="C10" s="15">
        <v>0.43555484974580599</v>
      </c>
      <c r="D10" s="15">
        <v>-0.39331114032323899</v>
      </c>
      <c r="E10" s="45">
        <v>0.586857461603292</v>
      </c>
      <c r="F10">
        <v>0.44106474490185099</v>
      </c>
      <c r="G10">
        <v>-0.39566860753139099</v>
      </c>
      <c r="H10">
        <v>0.59252996226449495</v>
      </c>
      <c r="I10" s="5">
        <v>-0.75384195005925503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E21-565E-421D-94A3-079C7F86B7B1}">
  <dimension ref="A1:AD55"/>
  <sheetViews>
    <sheetView zoomScale="115" zoomScaleNormal="115" workbookViewId="0">
      <selection activeCell="G5" sqref="G5"/>
    </sheetView>
  </sheetViews>
  <sheetFormatPr defaultRowHeight="14.4" x14ac:dyDescent="0.3"/>
  <cols>
    <col min="6" max="6" width="13.6640625" style="2" customWidth="1"/>
    <col min="7" max="7" width="11.44140625" style="2" customWidth="1"/>
    <col min="8" max="8" width="19.88671875" style="2" customWidth="1"/>
    <col min="10" max="10" width="10" customWidth="1"/>
    <col min="11" max="11" width="10.5546875" customWidth="1"/>
    <col min="12" max="12" width="10.21875" customWidth="1"/>
    <col min="13" max="13" width="11.109375" customWidth="1"/>
    <col min="14" max="14" width="19.77734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J1" s="2" t="s">
        <v>61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41">
        <v>0.41775835303139602</v>
      </c>
      <c r="G2" s="41">
        <v>-0.41845728182989</v>
      </c>
      <c r="H2" s="40">
        <v>0.59129395248384198</v>
      </c>
      <c r="I2" s="1">
        <v>3.7952230000000002E-9</v>
      </c>
      <c r="J2" s="42">
        <v>0.41836667621661899</v>
      </c>
      <c r="K2" s="42">
        <v>-0.41836667621661899</v>
      </c>
      <c r="L2" s="10"/>
      <c r="M2" s="1">
        <f>H2-R2</f>
        <v>-3.641508477960631E-4</v>
      </c>
      <c r="N2" s="39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x14ac:dyDescent="0.3">
      <c r="A3">
        <v>0</v>
      </c>
      <c r="B3">
        <v>0</v>
      </c>
      <c r="C3">
        <v>0</v>
      </c>
      <c r="D3">
        <v>45</v>
      </c>
      <c r="E3" t="s">
        <v>18</v>
      </c>
      <c r="F3" s="41">
        <v>-0.41785368229436198</v>
      </c>
      <c r="G3" s="41">
        <v>0.41861575752434799</v>
      </c>
      <c r="H3" s="40">
        <v>0.59147345862231404</v>
      </c>
      <c r="I3" s="1">
        <v>3.8840919999999998E-9</v>
      </c>
      <c r="J3" s="42">
        <v>0.41836667621661899</v>
      </c>
      <c r="K3" s="42">
        <v>-0.41836667621661899</v>
      </c>
      <c r="M3" s="1">
        <f t="shared" ref="M3:M55" si="0">H3-R3</f>
        <v>-1.8464470932400001E-4</v>
      </c>
      <c r="N3" s="39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x14ac:dyDescent="0.3">
      <c r="A4">
        <v>0</v>
      </c>
      <c r="B4">
        <v>0</v>
      </c>
      <c r="C4">
        <v>0</v>
      </c>
      <c r="D4">
        <v>99</v>
      </c>
      <c r="E4" t="s">
        <v>18</v>
      </c>
      <c r="F4" s="41">
        <v>-0.41760494651178798</v>
      </c>
      <c r="G4" s="41">
        <v>0.41855326901747397</v>
      </c>
      <c r="H4" s="40">
        <v>0.59125352460372504</v>
      </c>
      <c r="I4" s="1">
        <v>3.6890510000000001E-9</v>
      </c>
      <c r="J4" s="42">
        <v>0.41836667621661899</v>
      </c>
      <c r="K4" s="42">
        <v>-0.41836667621661899</v>
      </c>
      <c r="L4" s="1"/>
      <c r="M4" s="1">
        <f t="shared" si="0"/>
        <v>-4.0457872791299643E-4</v>
      </c>
      <c r="N4" s="39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41">
        <v>-0.42117703484873398</v>
      </c>
      <c r="G5" s="41">
        <v>0.41615945003722599</v>
      </c>
      <c r="H5" s="3">
        <v>0.59209693677577702</v>
      </c>
      <c r="I5" s="1">
        <v>6.8381520000000004E-6</v>
      </c>
      <c r="J5" s="25">
        <v>0.41950199999999999</v>
      </c>
      <c r="K5" s="25">
        <v>-0.41723199999999999</v>
      </c>
      <c r="L5" s="26">
        <v>0.59166200000000002</v>
      </c>
      <c r="M5" s="1">
        <f t="shared" si="0"/>
        <v>4.6067367589297525E-4</v>
      </c>
      <c r="N5" s="39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41">
        <v>-0.41907586994882401</v>
      </c>
      <c r="G6" s="41">
        <v>0.417345859864308</v>
      </c>
      <c r="H6" s="3">
        <v>0.59144074218745102</v>
      </c>
      <c r="I6" s="1">
        <v>6.462594E-6</v>
      </c>
      <c r="J6" s="25">
        <v>0.41950199999999999</v>
      </c>
      <c r="K6" s="25">
        <v>-0.41723199999999999</v>
      </c>
      <c r="L6" s="26">
        <v>0.59166200000000002</v>
      </c>
      <c r="M6" s="1">
        <f t="shared" si="0"/>
        <v>-1.9552091243302261E-4</v>
      </c>
      <c r="N6" s="39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41">
        <v>0.41963681898939897</v>
      </c>
      <c r="G7" s="41">
        <v>-0.41692310800647098</v>
      </c>
      <c r="H7" s="3">
        <v>0.59154030956589698</v>
      </c>
      <c r="I7" s="1">
        <v>6.5112070000000004E-6</v>
      </c>
      <c r="J7" s="25">
        <v>0.41950199999999999</v>
      </c>
      <c r="K7" s="25">
        <v>-0.41723199999999999</v>
      </c>
      <c r="L7" s="26">
        <v>0.59166200000000002</v>
      </c>
      <c r="M7" s="1">
        <f t="shared" si="0"/>
        <v>-9.5953533987058748E-5</v>
      </c>
      <c r="N7" s="39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x14ac:dyDescent="0.3">
      <c r="A8">
        <v>0.1</v>
      </c>
      <c r="B8">
        <v>0</v>
      </c>
      <c r="C8">
        <v>0</v>
      </c>
      <c r="D8">
        <v>42</v>
      </c>
      <c r="E8" t="s">
        <v>18</v>
      </c>
      <c r="F8" s="41">
        <v>0.42362609015358699</v>
      </c>
      <c r="G8" s="41">
        <v>-0.41425595728869902</v>
      </c>
      <c r="H8" s="37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39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41">
        <v>0.42160636626889902</v>
      </c>
      <c r="G9" s="41">
        <v>-0.40674874977876802</v>
      </c>
      <c r="H9" s="37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39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41">
        <v>0.42501052300576297</v>
      </c>
      <c r="G10" s="41">
        <v>-0.41415725722987701</v>
      </c>
      <c r="H10" s="37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39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41">
        <v>0.428707914479522</v>
      </c>
      <c r="G11" s="41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39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41">
        <v>0.42887176385735898</v>
      </c>
      <c r="G12" s="41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39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41">
        <v>-0.421554354531534</v>
      </c>
      <c r="G13" s="41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39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41">
        <v>-0.43097276610749602</v>
      </c>
      <c r="G14" s="41">
        <v>0.36771866454008101</v>
      </c>
      <c r="H14" s="37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39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41">
        <v>0.43316492739521101</v>
      </c>
      <c r="G15" s="41">
        <v>-0.41213577276419999</v>
      </c>
      <c r="H15" s="37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39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41">
        <v>0.422779652242463</v>
      </c>
      <c r="G16" s="41">
        <v>-0.41364440212949699</v>
      </c>
      <c r="H16" s="37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39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41">
        <v>0.42948948987345698</v>
      </c>
      <c r="G17" s="41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39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41">
        <v>0.44167671796432401</v>
      </c>
      <c r="G18" s="41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39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41">
        <v>-0.42904637874163098</v>
      </c>
      <c r="G19" s="41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39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41">
        <v>0.43447872656870301</v>
      </c>
      <c r="G20" s="41">
        <v>-0.28735576903575299</v>
      </c>
      <c r="H20" s="37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39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41">
        <v>0.432712624318568</v>
      </c>
      <c r="G21" s="41">
        <v>-0.322657799427637</v>
      </c>
      <c r="H21" s="37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39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41">
        <v>0.43513703968689699</v>
      </c>
      <c r="G22" s="41">
        <v>-0.35222644984106699</v>
      </c>
      <c r="H22" s="37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39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41">
        <v>1.10500221497013</v>
      </c>
      <c r="G23" s="41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39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41">
        <v>-0.441358775995073</v>
      </c>
      <c r="G24" s="41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39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41">
        <v>-0.43906727337715101</v>
      </c>
      <c r="G25" s="41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39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41">
        <v>-0.43306211496137098</v>
      </c>
      <c r="G26" s="41">
        <v>0.27798353385122498</v>
      </c>
      <c r="H26" s="37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39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41">
        <v>-0.632934496398049</v>
      </c>
      <c r="G27" s="41">
        <v>-0.20728309741505099</v>
      </c>
      <c r="H27" s="37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39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41">
        <v>0.439673905538146</v>
      </c>
      <c r="G28" s="41">
        <v>-0.252272658152836</v>
      </c>
      <c r="H28" s="37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39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41">
        <v>0.42898998344863298</v>
      </c>
      <c r="G29" s="41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39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41">
        <v>0.43013981718821498</v>
      </c>
      <c r="G30" s="41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39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41">
        <v>-0.441515997630191</v>
      </c>
      <c r="G31" s="41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39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41">
        <v>0.40284725419550899</v>
      </c>
      <c r="G32" s="41">
        <v>-7.8836044366930799E-2</v>
      </c>
      <c r="H32" s="37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39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41">
        <v>-0.43286965517553999</v>
      </c>
      <c r="G33" s="41">
        <v>0.53639272718551301</v>
      </c>
      <c r="H33" s="37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39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41">
        <v>-0.44345781507742998</v>
      </c>
      <c r="G34" s="41">
        <v>0.26844629637560202</v>
      </c>
      <c r="H34" s="37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39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41">
        <v>0.34111336882891702</v>
      </c>
      <c r="G35" s="41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39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41">
        <v>-0.49939487189447102</v>
      </c>
      <c r="G36" s="41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39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41">
        <v>-0.44753086447989698</v>
      </c>
      <c r="G37" s="41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39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41">
        <v>2.0533890624311102</v>
      </c>
      <c r="G38" s="41">
        <v>0.338717222635674</v>
      </c>
      <c r="H38" s="38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39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41">
        <v>0.38875603774941703</v>
      </c>
      <c r="G39" s="41">
        <v>-0.18253668829335301</v>
      </c>
      <c r="H39" s="38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39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41">
        <v>-0.39580043246682001</v>
      </c>
      <c r="G40" s="41">
        <v>0.16185105293874</v>
      </c>
      <c r="H40" s="38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39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41">
        <v>0.71890564638125098</v>
      </c>
      <c r="G41" s="41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39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41">
        <v>0.458220440771819</v>
      </c>
      <c r="G42" s="41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39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41">
        <v>0.43364537005112902</v>
      </c>
      <c r="G43" s="41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39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41">
        <v>-0.27992729188315002</v>
      </c>
      <c r="G44" s="41">
        <v>0.12574003548159199</v>
      </c>
      <c r="H44" s="38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39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41">
        <v>-0.33105506082549102</v>
      </c>
      <c r="G45" s="41">
        <v>5.0014672478682902E-2</v>
      </c>
      <c r="H45" s="38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39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41">
        <v>-0.41630155072723501</v>
      </c>
      <c r="G46" s="41">
        <v>0.13287502594477099</v>
      </c>
      <c r="H46" s="38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39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41">
        <v>0.44467422076545299</v>
      </c>
      <c r="G47" s="41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39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41">
        <v>0.29923569080071399</v>
      </c>
      <c r="G48" s="41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39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41">
        <v>0.97432581904182802</v>
      </c>
      <c r="G49" s="41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39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41">
        <v>8.9165534081367695E-2</v>
      </c>
      <c r="G50" s="41">
        <v>-0.12134322732285099</v>
      </c>
      <c r="H50" s="38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39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41">
        <v>0.190003751384313</v>
      </c>
      <c r="G51" s="41">
        <v>-7.5393716807126004E-2</v>
      </c>
      <c r="H51" s="38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39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41">
        <v>-0.114025896146698</v>
      </c>
      <c r="G52" s="41">
        <v>-0.132418384039168</v>
      </c>
      <c r="H52" s="38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39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41">
        <v>0.17679566077806</v>
      </c>
      <c r="G53" s="41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39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41">
        <v>0.28774808947310299</v>
      </c>
      <c r="G54" s="41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39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41">
        <v>-7.2729668710166298E-2</v>
      </c>
      <c r="G55" s="41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39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BBA0-0265-4ED1-84CC-3F7871A06E9C}">
  <sheetPr filterMode="1"/>
  <dimension ref="A1:AD55"/>
  <sheetViews>
    <sheetView workbookViewId="0">
      <selection activeCell="I54" sqref="I54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hidden="1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hidden="1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hidden="1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hidden="1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hidden="1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hidden="1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hidden="1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hidden="1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hidden="1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hidden="1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hidden="1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hidden="1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hidden="1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hidden="1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hidden="1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hidden="1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hidden="1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hidden="1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hidden="1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hidden="1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hidden="1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hidden="1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hidden="1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hidden="1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hidden="1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hidden="1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hidden="1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hidden="1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hidden="1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hidden="1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hidden="1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hidden="1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hidden="1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hidden="1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hidden="1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hidden="1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autoFilter ref="A1:AD55" xr:uid="{2177BBA0-0265-4ED1-84CC-3F7871A06E9C}">
    <filterColumn colId="4">
      <filters>
        <filter val="Y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warm_start_scan_omega1_T1_N16_m</vt:lpstr>
      <vt:lpstr>EpsilonScan</vt:lpstr>
      <vt:lpstr>mehler_kernel_xi0_varying_xf_op</vt:lpstr>
      <vt:lpstr>Diff_End_Pnts</vt:lpstr>
      <vt:lpstr>Omega_1_WarmML_vs_Pet</vt:lpstr>
      <vt:lpstr>Warm_om1_lam_scan00</vt:lpstr>
      <vt:lpstr>Sheet4</vt:lpstr>
      <vt:lpstr>Peturbation Results</vt:lpstr>
      <vt:lpstr>Omega is 2warm</vt:lpstr>
      <vt:lpstr>warm</vt:lpstr>
      <vt:lpstr>Gemini</vt:lpstr>
      <vt:lpstr>Omega is 2</vt:lpstr>
      <vt:lpstr>Omega_1_WarmML_vs_Pet Epsilon</vt:lpstr>
      <vt:lpstr>Sheet1</vt:lpstr>
      <vt:lpstr>nn_loop_startfinish0</vt:lpstr>
      <vt:lpstr>nn_loop_startfinish0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2026-04-12T12:10:34Z</dcterms:created>
  <dcterms:modified xsi:type="dcterms:W3CDTF">2026-05-22T12:06:22Z</dcterms:modified>
</cp:coreProperties>
</file>