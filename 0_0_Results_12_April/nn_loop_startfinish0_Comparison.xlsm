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F870BCD9-F861-41E8-8E27-12C170E51E21}" xr6:coauthVersionLast="47" xr6:coauthVersionMax="47" xr10:uidLastSave="{00000000-0000-0000-0000-000000000000}"/>
  <bookViews>
    <workbookView xWindow="-108" yWindow="-108" windowWidth="23256" windowHeight="12576" tabRatio="854" activeTab="1" xr2:uid="{0214F829-416B-417F-A884-792D136A6FF9}"/>
  </bookViews>
  <sheets>
    <sheet name="Omega_1_WarmML_vs_Pet" sheetId="9" r:id="rId1"/>
    <sheet name="Warm_om1_lam_scan00" sheetId="11" r:id="rId2"/>
    <sheet name="Sheet4" sheetId="8" r:id="rId3"/>
    <sheet name="Peturbation Results" sheetId="10" r:id="rId4"/>
    <sheet name="Omega is 2warm" sheetId="5" r:id="rId5"/>
    <sheet name="warm" sheetId="6" r:id="rId6"/>
    <sheet name="Gemini" sheetId="7" r:id="rId7"/>
    <sheet name="Omega is 2" sheetId="3" r:id="rId8"/>
    <sheet name="Sheet1" sheetId="4" r:id="rId9"/>
    <sheet name="nn_loop_startfinish0" sheetId="1" r:id="rId10"/>
    <sheet name="nn_loop_startfinish0 (2)" sheetId="2" r:id="rId11"/>
  </sheets>
  <definedNames>
    <definedName name="_xlnm._FilterDatabase" localSheetId="10" hidden="1">'nn_loop_startfinish0 (2)'!$A$1:$AD$55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9" l="1"/>
  <c r="H4" i="9"/>
  <c r="G5" i="9"/>
  <c r="H5" i="9"/>
  <c r="G6" i="9"/>
  <c r="H6" i="9"/>
  <c r="G7" i="9"/>
  <c r="H7" i="9"/>
  <c r="G8" i="9"/>
  <c r="H8" i="9"/>
  <c r="G9" i="9"/>
  <c r="H9" i="9"/>
  <c r="G10" i="9"/>
  <c r="H10" i="9"/>
  <c r="G11" i="9"/>
  <c r="H11" i="9"/>
  <c r="G12" i="9"/>
  <c r="H12" i="9"/>
  <c r="G13" i="9"/>
  <c r="H13" i="9"/>
  <c r="G14" i="9"/>
  <c r="H14" i="9"/>
  <c r="G15" i="9"/>
  <c r="H15" i="9"/>
  <c r="G16" i="9"/>
  <c r="H16" i="9"/>
  <c r="G17" i="9"/>
  <c r="H17" i="9"/>
  <c r="G18" i="9"/>
  <c r="H18" i="9"/>
  <c r="G19" i="9"/>
  <c r="H19" i="9"/>
  <c r="G20" i="9"/>
  <c r="H20" i="9"/>
  <c r="H3" i="9"/>
  <c r="G3" i="9"/>
  <c r="Q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3" i="9"/>
  <c r="Q4" i="9"/>
  <c r="Q5" i="9"/>
  <c r="Q6" i="9"/>
  <c r="R6" i="9" s="1"/>
  <c r="Q7" i="9"/>
  <c r="Q8" i="9"/>
  <c r="Q9" i="9"/>
  <c r="Q10" i="9"/>
  <c r="R10" i="9" s="1"/>
  <c r="Q11" i="9"/>
  <c r="Q12" i="9"/>
  <c r="Q13" i="9"/>
  <c r="R13" i="9" s="1"/>
  <c r="Q14" i="9"/>
  <c r="Q15" i="9"/>
  <c r="Q16" i="9"/>
  <c r="R16" i="9" s="1"/>
  <c r="Q17" i="9"/>
  <c r="Q18" i="9"/>
  <c r="R18" i="9" s="1"/>
  <c r="Q19" i="9"/>
  <c r="R19" i="9" s="1"/>
  <c r="Q20" i="9"/>
  <c r="R20" i="9" s="1"/>
  <c r="R7" i="9"/>
  <c r="R8" i="9"/>
  <c r="R11" i="9"/>
  <c r="R14" i="9"/>
  <c r="R17" i="9"/>
  <c r="R3" i="9"/>
  <c r="R4" i="9"/>
  <c r="R5" i="9"/>
  <c r="R9" i="9"/>
  <c r="R12" i="9"/>
  <c r="R15" i="9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4" i="7"/>
  <c r="K7" i="5"/>
  <c r="L7" i="5"/>
  <c r="K8" i="5"/>
  <c r="L8" i="5"/>
  <c r="K9" i="5"/>
  <c r="L9" i="5"/>
  <c r="K10" i="5"/>
  <c r="L10" i="5"/>
  <c r="K11" i="5"/>
  <c r="L11" i="5"/>
  <c r="K12" i="5"/>
  <c r="L12" i="5"/>
  <c r="K13" i="5"/>
  <c r="L13" i="5"/>
  <c r="K14" i="5"/>
  <c r="L14" i="5"/>
  <c r="K15" i="5"/>
  <c r="L15" i="5"/>
  <c r="K16" i="5"/>
  <c r="L16" i="5"/>
  <c r="L6" i="5"/>
  <c r="K6" i="5"/>
  <c r="N16" i="5"/>
  <c r="M16" i="5"/>
  <c r="N13" i="5"/>
  <c r="M13" i="5"/>
  <c r="N11" i="5"/>
  <c r="M11" i="5"/>
  <c r="N8" i="5"/>
  <c r="M8" i="5"/>
  <c r="N6" i="5"/>
  <c r="M6" i="5"/>
  <c r="N4" i="5"/>
  <c r="M4" i="5"/>
  <c r="L4" i="5"/>
  <c r="K4" i="5"/>
  <c r="AN10" i="5"/>
  <c r="AM11" i="5"/>
  <c r="AM10" i="5"/>
  <c r="AM8" i="5"/>
  <c r="AL6" i="5"/>
  <c r="AQ4" i="5"/>
  <c r="AP4" i="5"/>
  <c r="AS16" i="5"/>
  <c r="AR16" i="5"/>
  <c r="AS11" i="5"/>
  <c r="AR11" i="5"/>
  <c r="AS8" i="5"/>
  <c r="AR8" i="5"/>
  <c r="AR5" i="5"/>
  <c r="AS5" i="5"/>
  <c r="AR6" i="5"/>
  <c r="AS6" i="5"/>
  <c r="AS4" i="5"/>
  <c r="AR4" i="5"/>
  <c r="AU16" i="5"/>
  <c r="AT16" i="5"/>
  <c r="AU13" i="5"/>
  <c r="AT13" i="5"/>
  <c r="AU11" i="5"/>
  <c r="AT11" i="5"/>
  <c r="AU8" i="5"/>
  <c r="AT8" i="5"/>
  <c r="AT5" i="5"/>
  <c r="AU5" i="5"/>
  <c r="AT6" i="5"/>
  <c r="AU6" i="5"/>
  <c r="AU4" i="5"/>
  <c r="AT4" i="5"/>
  <c r="BF42" i="5"/>
  <c r="BE42" i="5"/>
  <c r="BF41" i="5"/>
  <c r="BE41" i="5"/>
  <c r="BF40" i="5"/>
  <c r="BE40" i="5"/>
  <c r="BF39" i="5"/>
  <c r="BE39" i="5"/>
  <c r="BF38" i="5"/>
  <c r="BE38" i="5"/>
  <c r="BF37" i="5"/>
  <c r="BE37" i="5"/>
  <c r="BF36" i="5"/>
  <c r="BE36" i="5"/>
  <c r="BF35" i="5"/>
  <c r="BE35" i="5"/>
  <c r="BF34" i="5"/>
  <c r="BE34" i="5"/>
  <c r="BF33" i="5"/>
  <c r="BE33" i="5"/>
  <c r="BF32" i="5"/>
  <c r="BE32" i="5"/>
  <c r="BF31" i="5"/>
  <c r="BE31" i="5"/>
  <c r="BF30" i="5"/>
  <c r="BE30" i="5"/>
  <c r="BF29" i="5"/>
  <c r="BE29" i="5"/>
  <c r="BF28" i="5"/>
  <c r="BE28" i="5"/>
  <c r="BF27" i="5"/>
  <c r="BE27" i="5"/>
  <c r="BF26" i="5"/>
  <c r="BE26" i="5"/>
  <c r="BF25" i="5"/>
  <c r="BB42" i="5"/>
  <c r="BB41" i="5"/>
  <c r="BB40" i="5"/>
  <c r="BB39" i="5"/>
  <c r="BB38" i="5"/>
  <c r="BB37" i="5"/>
  <c r="BB36" i="5"/>
  <c r="BB35" i="5"/>
  <c r="BB34" i="5"/>
  <c r="BB33" i="5"/>
  <c r="BB32" i="5"/>
  <c r="BB31" i="5"/>
  <c r="BB30" i="5"/>
  <c r="BB29" i="5"/>
  <c r="BB28" i="5"/>
  <c r="BB27" i="5"/>
  <c r="BB26" i="5"/>
  <c r="BD25" i="5"/>
  <c r="BE25" i="5" s="1"/>
  <c r="BB25" i="5"/>
  <c r="AG5" i="5"/>
  <c r="AH5" i="5"/>
  <c r="AG6" i="5"/>
  <c r="AH6" i="5"/>
  <c r="AG8" i="5"/>
  <c r="AH8" i="5"/>
  <c r="AG11" i="5"/>
  <c r="AH11" i="5"/>
  <c r="AG13" i="5"/>
  <c r="AH13" i="5"/>
  <c r="AG16" i="5"/>
  <c r="AH16" i="5"/>
  <c r="AH4" i="5"/>
  <c r="AG4" i="5"/>
  <c r="BR42" i="5"/>
  <c r="BS42" i="5" s="1"/>
  <c r="BL42" i="5"/>
  <c r="BR41" i="5"/>
  <c r="BN41" i="5" s="1"/>
  <c r="BL41" i="5"/>
  <c r="BH41" i="5" s="1"/>
  <c r="BR40" i="5"/>
  <c r="BS40" i="5" s="1"/>
  <c r="BL40" i="5"/>
  <c r="BH40" i="5" s="1"/>
  <c r="BR39" i="5"/>
  <c r="BS39" i="5" s="1"/>
  <c r="BL39" i="5"/>
  <c r="BH39" i="5" s="1"/>
  <c r="BR38" i="5"/>
  <c r="BS38" i="5" s="1"/>
  <c r="BL38" i="5"/>
  <c r="BH38" i="5" s="1"/>
  <c r="BR37" i="5"/>
  <c r="BN37" i="5" s="1"/>
  <c r="BL37" i="5"/>
  <c r="BH37" i="5" s="1"/>
  <c r="BR36" i="5"/>
  <c r="BS36" i="5" s="1"/>
  <c r="BL36" i="5"/>
  <c r="BH36" i="5" s="1"/>
  <c r="BR35" i="5"/>
  <c r="BS35" i="5" s="1"/>
  <c r="BL35" i="5"/>
  <c r="BH35" i="5" s="1"/>
  <c r="BR34" i="5"/>
  <c r="BS34" i="5" s="1"/>
  <c r="BL34" i="5"/>
  <c r="BH34" i="5" s="1"/>
  <c r="BR33" i="5"/>
  <c r="BN33" i="5" s="1"/>
  <c r="BL33" i="5"/>
  <c r="BR32" i="5"/>
  <c r="BS32" i="5" s="1"/>
  <c r="BL32" i="5"/>
  <c r="BH32" i="5" s="1"/>
  <c r="BR31" i="5"/>
  <c r="BS31" i="5" s="1"/>
  <c r="BL31" i="5"/>
  <c r="BH31" i="5" s="1"/>
  <c r="BR30" i="5"/>
  <c r="BS30" i="5" s="1"/>
  <c r="BL30" i="5"/>
  <c r="BH30" i="5" s="1"/>
  <c r="BR29" i="5"/>
  <c r="BS29" i="5" s="1"/>
  <c r="BL29" i="5"/>
  <c r="BH29" i="5" s="1"/>
  <c r="BR28" i="5"/>
  <c r="BS28" i="5" s="1"/>
  <c r="BL28" i="5"/>
  <c r="BH28" i="5" s="1"/>
  <c r="BR27" i="5"/>
  <c r="BS27" i="5" s="1"/>
  <c r="BL27" i="5"/>
  <c r="BH27" i="5" s="1"/>
  <c r="BR26" i="5"/>
  <c r="BS26" i="5" s="1"/>
  <c r="BL26" i="5"/>
  <c r="BH26" i="5" s="1"/>
  <c r="CA25" i="5"/>
  <c r="BY25" i="5"/>
  <c r="BR25" i="5"/>
  <c r="BU25" i="5" s="1"/>
  <c r="BL25" i="5"/>
  <c r="BH25" i="5" s="1"/>
  <c r="AD21" i="5"/>
  <c r="AC21" i="5"/>
  <c r="AB21" i="5"/>
  <c r="U21" i="5"/>
  <c r="T21" i="5"/>
  <c r="AD20" i="5"/>
  <c r="AC20" i="5"/>
  <c r="AB20" i="5"/>
  <c r="U20" i="5"/>
  <c r="T20" i="5"/>
  <c r="AD19" i="5"/>
  <c r="AC19" i="5"/>
  <c r="AB19" i="5"/>
  <c r="U19" i="5"/>
  <c r="T19" i="5"/>
  <c r="AD18" i="5"/>
  <c r="AC18" i="5"/>
  <c r="AB18" i="5"/>
  <c r="U18" i="5"/>
  <c r="T18" i="5"/>
  <c r="AD17" i="5"/>
  <c r="AC17" i="5"/>
  <c r="AB17" i="5"/>
  <c r="U17" i="5"/>
  <c r="T17" i="5"/>
  <c r="AD16" i="5"/>
  <c r="AC16" i="5"/>
  <c r="AB16" i="5"/>
  <c r="U16" i="5"/>
  <c r="T16" i="5"/>
  <c r="AD15" i="5"/>
  <c r="AC15" i="5"/>
  <c r="AB15" i="5"/>
  <c r="U15" i="5"/>
  <c r="T15" i="5"/>
  <c r="AD14" i="5"/>
  <c r="AC14" i="5"/>
  <c r="AB14" i="5"/>
  <c r="U14" i="5"/>
  <c r="T14" i="5"/>
  <c r="AF13" i="5"/>
  <c r="AE13" i="5"/>
  <c r="AD13" i="5"/>
  <c r="AC13" i="5"/>
  <c r="AB13" i="5"/>
  <c r="Z13" i="5"/>
  <c r="Y13" i="5"/>
  <c r="W13" i="5"/>
  <c r="V13" i="5"/>
  <c r="U13" i="5"/>
  <c r="T13" i="5"/>
  <c r="AF12" i="5"/>
  <c r="AE12" i="5"/>
  <c r="AD12" i="5"/>
  <c r="AC12" i="5"/>
  <c r="AB12" i="5"/>
  <c r="Z12" i="5"/>
  <c r="Y12" i="5"/>
  <c r="W12" i="5"/>
  <c r="V12" i="5"/>
  <c r="U12" i="5"/>
  <c r="T12" i="5"/>
  <c r="AF11" i="5"/>
  <c r="AE11" i="5"/>
  <c r="AD11" i="5"/>
  <c r="AC11" i="5"/>
  <c r="AB11" i="5"/>
  <c r="Z11" i="5"/>
  <c r="Y11" i="5"/>
  <c r="W11" i="5"/>
  <c r="V11" i="5"/>
  <c r="U11" i="5"/>
  <c r="T11" i="5"/>
  <c r="AF10" i="5"/>
  <c r="AE10" i="5"/>
  <c r="AD10" i="5"/>
  <c r="AC10" i="5"/>
  <c r="AB10" i="5"/>
  <c r="Z10" i="5"/>
  <c r="Y10" i="5"/>
  <c r="W10" i="5"/>
  <c r="V10" i="5"/>
  <c r="U10" i="5"/>
  <c r="T10" i="5"/>
  <c r="AF9" i="5"/>
  <c r="AE9" i="5"/>
  <c r="AD9" i="5"/>
  <c r="AC9" i="5"/>
  <c r="AB9" i="5"/>
  <c r="Z9" i="5"/>
  <c r="Y9" i="5"/>
  <c r="W9" i="5"/>
  <c r="V9" i="5"/>
  <c r="U9" i="5"/>
  <c r="T9" i="5"/>
  <c r="AF8" i="5"/>
  <c r="AE8" i="5"/>
  <c r="AD8" i="5"/>
  <c r="AC8" i="5"/>
  <c r="AB8" i="5"/>
  <c r="Z8" i="5"/>
  <c r="Y8" i="5"/>
  <c r="W8" i="5"/>
  <c r="V8" i="5"/>
  <c r="U8" i="5"/>
  <c r="T8" i="5"/>
  <c r="AF7" i="5"/>
  <c r="AE7" i="5"/>
  <c r="AD7" i="5"/>
  <c r="AC7" i="5"/>
  <c r="AB7" i="5"/>
  <c r="Z7" i="5"/>
  <c r="Y7" i="5"/>
  <c r="W7" i="5"/>
  <c r="V7" i="5"/>
  <c r="U7" i="5"/>
  <c r="T7" i="5"/>
  <c r="AF6" i="5"/>
  <c r="AE6" i="5"/>
  <c r="AD6" i="5"/>
  <c r="AC6" i="5"/>
  <c r="AB6" i="5"/>
  <c r="Z6" i="5"/>
  <c r="Y6" i="5"/>
  <c r="W6" i="5"/>
  <c r="V6" i="5"/>
  <c r="U6" i="5"/>
  <c r="T6" i="5"/>
  <c r="AF5" i="5"/>
  <c r="AE5" i="5"/>
  <c r="AD5" i="5"/>
  <c r="AC5" i="5"/>
  <c r="AB5" i="5"/>
  <c r="Z5" i="5"/>
  <c r="Y5" i="5"/>
  <c r="W5" i="5"/>
  <c r="V5" i="5"/>
  <c r="U5" i="5"/>
  <c r="T5" i="5"/>
  <c r="AF4" i="5"/>
  <c r="AE4" i="5"/>
  <c r="AD4" i="5"/>
  <c r="AC4" i="5"/>
  <c r="AB4" i="5"/>
  <c r="Z4" i="5"/>
  <c r="Y4" i="5"/>
  <c r="W4" i="5"/>
  <c r="V4" i="5"/>
  <c r="U4" i="5"/>
  <c r="T4" i="5"/>
  <c r="H12" i="3"/>
  <c r="J12" i="3" s="1"/>
  <c r="I12" i="3"/>
  <c r="H13" i="3"/>
  <c r="I13" i="3"/>
  <c r="J13" i="3" s="1"/>
  <c r="I11" i="3"/>
  <c r="H11" i="3"/>
  <c r="M4" i="3"/>
  <c r="I5" i="3"/>
  <c r="I6" i="3"/>
  <c r="I7" i="3"/>
  <c r="I8" i="3"/>
  <c r="I9" i="3"/>
  <c r="I10" i="3"/>
  <c r="H8" i="3"/>
  <c r="J8" i="3" s="1"/>
  <c r="K5" i="3"/>
  <c r="M5" i="3" s="1"/>
  <c r="L5" i="3"/>
  <c r="K6" i="3"/>
  <c r="L6" i="3"/>
  <c r="K7" i="3"/>
  <c r="L7" i="3"/>
  <c r="M7" i="3" s="1"/>
  <c r="K8" i="3"/>
  <c r="M8" i="3" s="1"/>
  <c r="L8" i="3"/>
  <c r="K9" i="3"/>
  <c r="M9" i="3" s="1"/>
  <c r="L9" i="3"/>
  <c r="K10" i="3"/>
  <c r="L10" i="3"/>
  <c r="K11" i="3"/>
  <c r="L11" i="3"/>
  <c r="K12" i="3"/>
  <c r="M12" i="3" s="1"/>
  <c r="L12" i="3"/>
  <c r="K13" i="3"/>
  <c r="M13" i="3" s="1"/>
  <c r="L13" i="3"/>
  <c r="L4" i="3"/>
  <c r="K4" i="3"/>
  <c r="H9" i="3"/>
  <c r="J9" i="3" s="1"/>
  <c r="H10" i="3"/>
  <c r="J10" i="3" s="1"/>
  <c r="H5" i="3"/>
  <c r="J5" i="3" s="1"/>
  <c r="H6" i="3"/>
  <c r="J6" i="3" s="1"/>
  <c r="H7" i="3"/>
  <c r="J7" i="3" s="1"/>
  <c r="I4" i="3"/>
  <c r="H4" i="3"/>
  <c r="Q11" i="3"/>
  <c r="R11" i="3"/>
  <c r="Q12" i="3"/>
  <c r="R12" i="3"/>
  <c r="Q13" i="3"/>
  <c r="R13" i="3"/>
  <c r="Q9" i="3"/>
  <c r="R9" i="3"/>
  <c r="Q10" i="3"/>
  <c r="R10" i="3"/>
  <c r="Q5" i="3"/>
  <c r="R5" i="3"/>
  <c r="Q6" i="3"/>
  <c r="R6" i="3"/>
  <c r="Q7" i="3"/>
  <c r="R7" i="3"/>
  <c r="Q8" i="3"/>
  <c r="R8" i="3"/>
  <c r="R4" i="3"/>
  <c r="Q4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5" i="3"/>
  <c r="O5" i="3"/>
  <c r="P5" i="3"/>
  <c r="N6" i="3"/>
  <c r="O6" i="3"/>
  <c r="P6" i="3"/>
  <c r="N7" i="3"/>
  <c r="O7" i="3"/>
  <c r="P7" i="3"/>
  <c r="N8" i="3"/>
  <c r="O8" i="3"/>
  <c r="P8" i="3"/>
  <c r="P4" i="3"/>
  <c r="O4" i="3"/>
  <c r="N4" i="3"/>
  <c r="AF26" i="3"/>
  <c r="AB26" i="3" s="1"/>
  <c r="AF27" i="3"/>
  <c r="AG27" i="3" s="1"/>
  <c r="AF28" i="3"/>
  <c r="AG28" i="3" s="1"/>
  <c r="AF29" i="3"/>
  <c r="AF30" i="3"/>
  <c r="AG30" i="3" s="1"/>
  <c r="AF31" i="3"/>
  <c r="AB31" i="3" s="1"/>
  <c r="AF32" i="3"/>
  <c r="AF33" i="3"/>
  <c r="AG33" i="3" s="1"/>
  <c r="AF34" i="3"/>
  <c r="AB34" i="3" s="1"/>
  <c r="AF35" i="3"/>
  <c r="AG35" i="3" s="1"/>
  <c r="AF36" i="3"/>
  <c r="AG36" i="3" s="1"/>
  <c r="AF37" i="3"/>
  <c r="AB37" i="3" s="1"/>
  <c r="AF38" i="3"/>
  <c r="AB38" i="3" s="1"/>
  <c r="AF39" i="3"/>
  <c r="AG39" i="3" s="1"/>
  <c r="AF40" i="3"/>
  <c r="AF41" i="3"/>
  <c r="AG41" i="3" s="1"/>
  <c r="AF42" i="3"/>
  <c r="AB42" i="3" s="1"/>
  <c r="Z26" i="3"/>
  <c r="V26" i="3" s="1"/>
  <c r="Z27" i="3"/>
  <c r="V27" i="3" s="1"/>
  <c r="Z28" i="3"/>
  <c r="V28" i="3" s="1"/>
  <c r="Z29" i="3"/>
  <c r="V29" i="3" s="1"/>
  <c r="Z30" i="3"/>
  <c r="V30" i="3" s="1"/>
  <c r="Z31" i="3"/>
  <c r="Z32" i="3"/>
  <c r="V32" i="3" s="1"/>
  <c r="Z33" i="3"/>
  <c r="V33" i="3" s="1"/>
  <c r="Z34" i="3"/>
  <c r="V34" i="3" s="1"/>
  <c r="Z35" i="3"/>
  <c r="V35" i="3" s="1"/>
  <c r="Z36" i="3"/>
  <c r="V36" i="3" s="1"/>
  <c r="Z37" i="3"/>
  <c r="V37" i="3" s="1"/>
  <c r="Z38" i="3"/>
  <c r="V38" i="3" s="1"/>
  <c r="Z39" i="3"/>
  <c r="V39" i="3" s="1"/>
  <c r="Z40" i="3"/>
  <c r="V40" i="3" s="1"/>
  <c r="Z41" i="3"/>
  <c r="V41" i="3" s="1"/>
  <c r="Z42" i="3"/>
  <c r="V42" i="3" s="1"/>
  <c r="Z25" i="3"/>
  <c r="V25" i="3" s="1"/>
  <c r="AF25" i="3"/>
  <c r="AI25" i="3" s="1"/>
  <c r="AO25" i="3"/>
  <c r="AM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AA4" i="5" l="1"/>
  <c r="AA12" i="5"/>
  <c r="X11" i="5"/>
  <c r="X12" i="5"/>
  <c r="BM42" i="5"/>
  <c r="BM33" i="5"/>
  <c r="BM37" i="5"/>
  <c r="AA10" i="5"/>
  <c r="AA8" i="5"/>
  <c r="X10" i="5"/>
  <c r="AA5" i="5"/>
  <c r="AA6" i="5"/>
  <c r="AA11" i="5"/>
  <c r="X5" i="5"/>
  <c r="AA7" i="5"/>
  <c r="X8" i="5"/>
  <c r="BM29" i="5"/>
  <c r="BM27" i="5"/>
  <c r="BN29" i="5"/>
  <c r="AA13" i="5"/>
  <c r="BM39" i="5"/>
  <c r="X6" i="5"/>
  <c r="BM28" i="5"/>
  <c r="BH33" i="5"/>
  <c r="BM35" i="5"/>
  <c r="BM40" i="5"/>
  <c r="X4" i="5"/>
  <c r="X9" i="5"/>
  <c r="X13" i="5"/>
  <c r="BM25" i="5"/>
  <c r="BM31" i="5"/>
  <c r="BM36" i="5"/>
  <c r="BM41" i="5"/>
  <c r="X7" i="5"/>
  <c r="AA9" i="5"/>
  <c r="BN25" i="5"/>
  <c r="BS25" i="5"/>
  <c r="BM32" i="5"/>
  <c r="BN28" i="5"/>
  <c r="BN32" i="5"/>
  <c r="BS33" i="5"/>
  <c r="BN36" i="5"/>
  <c r="BS37" i="5"/>
  <c r="BN40" i="5"/>
  <c r="BS41" i="5"/>
  <c r="BH42" i="5"/>
  <c r="BN27" i="5"/>
  <c r="BN31" i="5"/>
  <c r="BN35" i="5"/>
  <c r="BN39" i="5"/>
  <c r="BM26" i="5"/>
  <c r="BM30" i="5"/>
  <c r="BM34" i="5"/>
  <c r="BM38" i="5"/>
  <c r="BN26" i="5"/>
  <c r="BN30" i="5"/>
  <c r="BN34" i="5"/>
  <c r="BN38" i="5"/>
  <c r="BN42" i="5"/>
  <c r="M11" i="3"/>
  <c r="M6" i="3"/>
  <c r="M10" i="3"/>
  <c r="J4" i="3"/>
  <c r="J11" i="3"/>
  <c r="AA31" i="3"/>
  <c r="AA32" i="3"/>
  <c r="AA27" i="3"/>
  <c r="AB36" i="3"/>
  <c r="AG34" i="3"/>
  <c r="AA37" i="3"/>
  <c r="AA29" i="3"/>
  <c r="AA40" i="3"/>
  <c r="AB29" i="3"/>
  <c r="AB28" i="3"/>
  <c r="AB40" i="3"/>
  <c r="AG31" i="3"/>
  <c r="AA42" i="3"/>
  <c r="AA34" i="3"/>
  <c r="AA26" i="3"/>
  <c r="AB39" i="3"/>
  <c r="AG32" i="3"/>
  <c r="AG29" i="3"/>
  <c r="AA39" i="3"/>
  <c r="AB30" i="3"/>
  <c r="AG40" i="3"/>
  <c r="AA38" i="3"/>
  <c r="AB25" i="3"/>
  <c r="AB35" i="3"/>
  <c r="AB27" i="3"/>
  <c r="V31" i="3"/>
  <c r="AG37" i="3"/>
  <c r="AB41" i="3"/>
  <c r="AB33" i="3"/>
  <c r="AB32" i="3"/>
  <c r="AG38" i="3"/>
  <c r="AA41" i="3"/>
  <c r="AA33" i="3"/>
  <c r="AG42" i="3"/>
  <c r="AG26" i="3"/>
  <c r="AA30" i="3"/>
  <c r="AA36" i="3"/>
  <c r="AA28" i="3"/>
  <c r="AA35" i="3"/>
  <c r="AG25" i="3"/>
  <c r="AA25" i="3"/>
</calcChain>
</file>

<file path=xl/sharedStrings.xml><?xml version="1.0" encoding="utf-8"?>
<sst xmlns="http://schemas.openxmlformats.org/spreadsheetml/2006/main" count="828" uniqueCount="222">
  <si>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</si>
  <si>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</si>
  <si>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</si>
  <si>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</si>
  <si>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</si>
  <si>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</si>
  <si>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</si>
  <si>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</si>
  <si>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</si>
  <si>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</si>
  <si>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</si>
  <si>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</si>
  <si>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</si>
  <si>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</si>
  <si>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</si>
  <si>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</si>
  <si>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</si>
  <si>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</si>
  <si>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</si>
  <si>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</si>
  <si>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</si>
  <si>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</si>
  <si>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</si>
  <si>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</si>
  <si>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</si>
  <si>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</si>
  <si>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</si>
  <si>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</si>
  <si>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</si>
  <si>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</si>
  <si>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</si>
  <si>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</si>
  <si>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</si>
  <si>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</si>
  <si>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</si>
  <si>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</si>
  <si>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</si>
  <si>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</si>
  <si>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</si>
  <si>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</si>
  <si>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</si>
  <si>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</si>
  <si>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</si>
  <si>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</si>
  <si>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</si>
  <si>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</si>
  <si>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</si>
  <si>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</si>
  <si>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</si>
  <si>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</si>
  <si>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</si>
  <si>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</si>
  <si>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</si>
  <si>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</si>
  <si>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</si>
  <si>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</si>
  <si>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</si>
  <si>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</si>
  <si>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</si>
  <si>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</si>
  <si>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</si>
  <si>
    <t>Muler than olipinska</t>
  </si>
  <si>
    <t>Real</t>
  </si>
  <si>
    <t>Imaginary</t>
  </si>
  <si>
    <t>abs</t>
  </si>
  <si>
    <t>K_re Warm</t>
  </si>
  <si>
    <t>K_im Warm</t>
  </si>
  <si>
    <t>abs_K Warm</t>
  </si>
  <si>
    <t>K_real Okopińska</t>
  </si>
  <si>
    <t>K_imag Okopińska</t>
  </si>
  <si>
    <t>abs_K Okopińska</t>
  </si>
  <si>
    <t>ML - Okop</t>
  </si>
  <si>
    <t>Real diff</t>
  </si>
  <si>
    <t>IM diff</t>
  </si>
  <si>
    <t>PETURBATION GPT</t>
  </si>
  <si>
    <t>IM</t>
  </si>
  <si>
    <t>Ok</t>
  </si>
  <si>
    <t>λ\lambdaλ</t>
  </si>
  <si>
    <t>Re K\mathrm{Re}\,KReK</t>
  </si>
  <si>
    <t>Im K\mathrm{Im}\,KImK</t>
  </si>
  <si>
    <t>Peturbation ChatGPT</t>
  </si>
  <si>
    <t>λ</t>
  </si>
  <si>
    <t>OKIN</t>
  </si>
  <si>
    <t>ML</t>
  </si>
  <si>
    <t>LAMDA PETURBATION GPT</t>
  </si>
  <si>
    <t>LAMDA/4 PETURBATION GPT</t>
  </si>
  <si>
    <t>Re(K)</t>
  </si>
  <si>
    <t>Im(K)</t>
  </si>
  <si>
    <t>Re_K_pert</t>
  </si>
  <si>
    <t>Im_K_pert</t>
  </si>
  <si>
    <t xml:space="preserve">Recompute all the values ( for lam/4 again) </t>
  </si>
  <si>
    <t>ladder_step</t>
  </si>
  <si>
    <t>warm_start</t>
  </si>
  <si>
    <t>source_lam</t>
  </si>
  <si>
    <t>K_re</t>
  </si>
  <si>
    <t>K_im</t>
  </si>
  <si>
    <t>epochs_used</t>
  </si>
  <si>
    <t>weight_file</t>
  </si>
  <si>
    <t>warm_start_weights\seed42_step00_lam0.0000_xi0_xf0.pt</t>
  </si>
  <si>
    <t>warm_start_weights\seed45_step00_lam0.0000_xi0_xf0.pt</t>
  </si>
  <si>
    <t>warm_start_weights\seed99_step00_lam0.0000_xi0_xf0.pt</t>
  </si>
  <si>
    <t>warm_start_weights\seed42_step01_lam0.0500_xi0_xf0.pt</t>
  </si>
  <si>
    <t>warm_start_weights\seed45_step01_lam0.0500_xi0_xf0.pt</t>
  </si>
  <si>
    <t>warm_start_weights\seed99_step01_lam0.0500_xi0_xf0.pt</t>
  </si>
  <si>
    <t>warm_start_weights\seed42_step02_lam0.1000_xi0_xf0.pt</t>
  </si>
  <si>
    <t>warm_start_weights\seed45_step02_lam0.1000_xi0_xf0.pt</t>
  </si>
  <si>
    <t>warm_start_weights\seed99_step02_lam0.1000_xi0_xf0.pt</t>
  </si>
  <si>
    <t>warm_start_weights\seed42_step03_lam0.2000_xi0_xf0.pt</t>
  </si>
  <si>
    <t>warm_start_weights\seed45_step03_lam0.2000_xi0_xf0.pt</t>
  </si>
  <si>
    <t>warm_start_weights\seed99_step03_lam0.2000_xi0_xf0.pt</t>
  </si>
  <si>
    <t>warm_start_weights\seed42_step04_lam0.3500_xi0_xf0.pt</t>
  </si>
  <si>
    <t>warm_start_weights\seed45_step04_lam0.3500_xi0_xf0.pt</t>
  </si>
  <si>
    <t>warm_start_weights\seed99_step04_lam0.3500_xi0_xf0.pt</t>
  </si>
  <si>
    <t>warm_start_weights\seed42_step05_lam0.5000_xi0_xf0.pt</t>
  </si>
  <si>
    <t>warm_start_weights\seed45_step05_lam0.5000_xi0_xf0.pt</t>
  </si>
  <si>
    <t>warm_start_weights\seed99_step05_lam0.5000_xi0_xf0.pt</t>
  </si>
  <si>
    <t>warm_start_weights\seed42_step06_lam0.7000_xi0_xf0.pt</t>
  </si>
  <si>
    <t>warm_start_weights\seed45_step06_lam0.7000_xi0_xf0.pt</t>
  </si>
  <si>
    <t>warm_start_weights\seed99_step06_lam0.7000_xi0_xf0.pt</t>
  </si>
  <si>
    <t>warm_start_weights\seed42_step07_lam1.0000_xi0_xf0.pt</t>
  </si>
  <si>
    <t>warm_start_weights\seed45_step07_lam1.0000_xi0_xf0.pt</t>
  </si>
  <si>
    <t>warm_start_weights\seed99_step07_lam1.0000_xi0_xf0.pt</t>
  </si>
  <si>
    <t>Seed variablity for lam = 0.2</t>
  </si>
  <si>
    <t>high lambda</t>
  </si>
  <si>
    <t>warm_start_weights\seed42_step00_lam1.2000_xi0_xf0.pt</t>
  </si>
  <si>
    <t>warm_start_weights\seed45_step00_lam1.2000_xi0_xf0.pt</t>
  </si>
  <si>
    <t>warm_start_weights\seed99_step00_lam1.2000_xi0_xf0.pt</t>
  </si>
  <si>
    <t>warm_start_weights\seed42_step01_lam1.5000_xi0_xf0.pt</t>
  </si>
  <si>
    <t>warm_start_weights\seed45_step01_lam1.5000_xi0_xf0.pt</t>
  </si>
  <si>
    <t>warm_start_weights\seed99_step01_lam1.5000_xi0_xf0.pt</t>
  </si>
  <si>
    <t>warm_start_weights\seed42_step02_lam2.0000_xi0_xf0.pt</t>
  </si>
  <si>
    <t>warm_start_weights\seed45_step02_lam2.0000_xi0_xf0.pt</t>
  </si>
  <si>
    <t>warm_start_weights\seed99_step02_lam2.0000_xi0_xf0.pt</t>
  </si>
  <si>
    <t>warm_start_weights\seed42_step03_lam2.5000_xi0_xf0.pt</t>
  </si>
  <si>
    <t>warm_start_weights\seed45_step03_lam2.5000_xi0_xf0.pt</t>
  </si>
  <si>
    <t>warm_start_weights\seed99_step03_lam2.5000_xi0_xf0.pt</t>
  </si>
  <si>
    <t>warm_start_weights\seed42_step04_lam3.0000_xi0_xf0.pt</t>
  </si>
  <si>
    <t>warm_start_weights\seed45_step04_lam3.0000_xi0_xf0.pt</t>
  </si>
  <si>
    <t>warm_start_weights\seed99_step04_lam3.0000_xi0_xf0.pt</t>
  </si>
  <si>
    <t>warm_start_weights\seed42_step05_lam3.5000_xi0_xf0.pt</t>
  </si>
  <si>
    <t>warm_start_weights\seed45_step05_lam3.5000_xi0_xf0.pt</t>
  </si>
  <si>
    <t>warm_start_weights\seed99_step05_lam3.5000_xi0_xf0.pt</t>
  </si>
  <si>
    <t>warm_start_weights\seed42_step06_lam4.0000_xi0_xf0.pt</t>
  </si>
  <si>
    <t>warm_start_weights\seed45_step06_lam4.0000_xi0_xf0.pt</t>
  </si>
  <si>
    <t>warm_start_weights\seed99_step06_lam4.0000_xi0_xf0.pt</t>
  </si>
  <si>
    <t>warm_start_weights\seed42_step07_lam4.5000_xi0_xf0.pt</t>
  </si>
  <si>
    <t>warm_start_weights\seed45_step07_lam4.5000_xi0_xf0.pt</t>
  </si>
  <si>
    <t>warm_start_weights\seed99_step07_lam4.5000_xi0_xf0.pt</t>
  </si>
  <si>
    <t>warm_start_weights\seed42_step08_lam5.0000_xi0_xf0.pt</t>
  </si>
  <si>
    <t>warm_start_weights\seed45_step08_lam5.0000_xi0_xf0.pt</t>
  </si>
  <si>
    <t>warm_start_weights\seed99_step08_lam5.0000_xi0_xf0.pt</t>
  </si>
  <si>
    <t>warm_start_weights\seed42_step09_lam6.0000_xi0_xf0.pt</t>
  </si>
  <si>
    <t>warm_start_weights\seed45_step09_lam6.0000_xi0_xf0.pt</t>
  </si>
  <si>
    <t>warm_start_weights\seed99_step09_lam6.0000_xi0_xf0.pt</t>
  </si>
  <si>
    <t>warm_start_weights\seed42_step10_lam7.0000_xi0_xf0.pt</t>
  </si>
  <si>
    <t>warm_start_weights\seed45_step10_lam7.0000_xi0_xf0.pt</t>
  </si>
  <si>
    <t>warm_start_weights\seed99_step10_lam7.0000_xi0_xf0.pt</t>
  </si>
  <si>
    <t>warm_start_weights\seed42_step11_lam8.0000_xi0_xf0.pt</t>
  </si>
  <si>
    <t>warm_start_weights\seed45_step11_lam8.0000_xi0_xf0.pt</t>
  </si>
  <si>
    <t>warm_start_weights\seed99_step11_lam8.0000_xi0_xf0.pt</t>
  </si>
  <si>
    <t>Get AI to do peturbations for these lada values</t>
  </si>
  <si>
    <t>Consider re-running for omega =1 as its easier! Better seed convergence</t>
  </si>
  <si>
    <t>warm_start_weights/seed45_step00_lam0.0000_xi0_xf0.pt</t>
  </si>
  <si>
    <t>warm_start_weights/seed45_step01_lam0.0100_xi0_xf0.pt</t>
  </si>
  <si>
    <t>warm_start_weights/seed45_step02_lam0.0500_xi0_xf0.pt</t>
  </si>
  <si>
    <t>warm_start_weights/seed45_step03_lam0.1000_xi0_xf0.pt</t>
  </si>
  <si>
    <t>warm_start_weights/seed45_step04_lam0.1500_xi0_xf0.pt</t>
  </si>
  <si>
    <t>warm_start_weights/seed45_step05_lam0.2000_xi0_xf0.pt</t>
  </si>
  <si>
    <t>warm_start_weights/seed45_step06_lam0.3000_xi0_xf0.pt</t>
  </si>
  <si>
    <t>warm_start_weights/seed45_step07_lam0.4000_xi0_xf0.pt</t>
  </si>
  <si>
    <t>warm_start_weights/seed45_step08_lam0.5000_xi0_xf0.pt</t>
  </si>
  <si>
    <t>warm_start_weights/seed45_step09_lam0.6000_xi0_xf0.pt</t>
  </si>
  <si>
    <t>warm_start_weights/seed45_step10_lam0.8000_xi0_xf0.pt</t>
  </si>
  <si>
    <t>warm_start_weights/seed45_step11_lam1.0000_xi0_xf0.pt</t>
  </si>
  <si>
    <t>warm_start_weights/seed45_step12_lam1.5000_xi0_xf0.pt</t>
  </si>
  <si>
    <t>warm_start_weights/seed45_step13_lam2.0000_xi0_xf0.pt</t>
  </si>
  <si>
    <t>warm_start_weights/seed45_step14_lam3.0000_xi0_xf0.pt</t>
  </si>
  <si>
    <t>warm_start_weights/seed45_step15_lam4.0000_xi0_xf0.pt</t>
  </si>
  <si>
    <t>warm_start_weights/seed45_step16_lam6.0000_xi0_xf0.pt</t>
  </si>
  <si>
    <t>warm_start_weights/seed45_step17_lam8.0000_xi0_xf0.pt</t>
  </si>
  <si>
    <t>ML Resuls</t>
  </si>
  <si>
    <t>Here is the table for ω=1\omega=1ω=1, m=1m=1m=1, t=1t=1t=1, xa=xb=0x_a=x_b=0xa​=xb​=0, with potential (λ/4)x4(\lambda/4)x^4(λ/4)x4.</t>
  </si>
  <si>
    <t>PETURBATION</t>
  </si>
  <si>
    <t>ML IM x -1</t>
  </si>
  <si>
    <t>ML R x -1</t>
  </si>
  <si>
    <t>Pet - ML</t>
  </si>
  <si>
    <t>warm_start_weights/seed42_step00_lam0.0000_xi0_xf0.pt</t>
  </si>
  <si>
    <t>warm_start_weights/seed99_step00_lam0.0000_xi0_xf0.pt</t>
  </si>
  <si>
    <t>warm_start_weights/seed42_step01_lam0.0100_xi0_xf0.pt</t>
  </si>
  <si>
    <t>warm_start_weights/seed99_step01_lam0.0100_xi0_xf0.pt</t>
  </si>
  <si>
    <t>warm_start_weights/seed42_step02_lam0.0500_xi0_xf0.pt</t>
  </si>
  <si>
    <t>warm_start_weights/seed99_step02_lam0.0500_xi0_xf0.pt</t>
  </si>
  <si>
    <t>warm_start_weights/seed42_step03_lam0.1000_xi0_xf0.pt</t>
  </si>
  <si>
    <t>warm_start_weights/seed99_step03_lam0.1000_xi0_xf0.pt</t>
  </si>
  <si>
    <t>warm_start_weights/seed42_step04_lam0.1500_xi0_xf0.pt</t>
  </si>
  <si>
    <t>warm_start_weights/seed99_step04_lam0.1500_xi0_xf0.pt</t>
  </si>
  <si>
    <t>warm_start_weights/seed42_step05_lam0.2000_xi0_xf0.pt</t>
  </si>
  <si>
    <t>warm_start_weights/seed99_step05_lam0.2000_xi0_xf0.pt</t>
  </si>
  <si>
    <t>warm_start_weights/seed42_step06_lam0.3000_xi0_xf0.pt</t>
  </si>
  <si>
    <t>warm_start_weights/seed99_step06_lam0.3000_xi0_xf0.pt</t>
  </si>
  <si>
    <t>warm_start_weights/seed42_step07_lam0.4000_xi0_xf0.pt</t>
  </si>
  <si>
    <t>warm_start_weights/seed99_step07_lam0.4000_xi0_xf0.pt</t>
  </si>
  <si>
    <t>warm_start_weights/seed42_step08_lam0.5000_xi0_xf0.pt</t>
  </si>
  <si>
    <t>warm_start_weights/seed99_step08_lam0.5000_xi0_xf0.pt</t>
  </si>
  <si>
    <t>warm_start_weights/seed42_step09_lam0.6000_xi0_xf0.pt</t>
  </si>
  <si>
    <t>warm_start_weights/seed99_step09_lam0.6000_xi0_xf0.pt</t>
  </si>
  <si>
    <t>warm_start_weights/seed42_step10_lam0.8000_xi0_xf0.pt</t>
  </si>
  <si>
    <t>warm_start_weights/seed99_step10_lam0.8000_xi0_xf0.pt</t>
  </si>
  <si>
    <t>warm_start_weights/seed42_step11_lam1.0000_xi0_xf0.pt</t>
  </si>
  <si>
    <t>warm_start_weights/seed99_step11_lam1.0000_xi0_xf0.pt</t>
  </si>
  <si>
    <t>warm_start_weights/seed42_step12_lam1.5000_xi0_xf0.pt</t>
  </si>
  <si>
    <t>warm_start_weights/seed99_step12_lam1.5000_xi0_xf0.pt</t>
  </si>
  <si>
    <t>warm_start_weights/seed42_step13_lam2.0000_xi0_xf0.pt</t>
  </si>
  <si>
    <t>warm_start_weights/seed99_step13_lam2.0000_xi0_xf0.pt</t>
  </si>
  <si>
    <t>warm_start_weights/seed42_step14_lam3.0000_xi0_xf0.pt</t>
  </si>
  <si>
    <t>warm_start_weights/seed99_step14_lam3.0000_xi0_xf0.pt</t>
  </si>
  <si>
    <t>warm_start_weights/seed42_step15_lam4.0000_xi0_xf0.pt</t>
  </si>
  <si>
    <t>warm_start_weights/seed99_step15_lam4.0000_xi0_xf0.pt</t>
  </si>
  <si>
    <t>warm_start_weights/seed42_step16_lam6.0000_xi0_xf0.pt</t>
  </si>
  <si>
    <t>warm_start_weights/seed99_step16_lam6.0000_xi0_xf0.pt</t>
  </si>
  <si>
    <t>warm_start_weights/seed42_step17_lam8.0000_xi0_xf0.pt</t>
  </si>
  <si>
    <t>warm_start_weights/seed99_step17_lam8.0000_xi0_xf0.pt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</si>
</sst>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000"/>
    <numFmt numFmtId="166" formatCode="0.0"/>
    <numFmt numFmtId="167" formatCode="0.00000000"/>
    <numFmt numFmtId="168" formatCode="0.0000000"/>
    <numFmt numFmtId="169" formatCode="0.00000"/>
    <numFmt numFmtId="170" formatCode="0.0E+00"/>
    <numFmt numFmtId="171" formatCode="0.000000000000"/>
  </numFmts>
  <fonts count="2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6"/>
      <color rgb="FF3D3D3A"/>
      <name val="Courier New"/>
      <family val="3"/>
    </font>
    <font>
      <sz val="7"/>
      <color rgb="FF141413"/>
      <name val="Courier New"/>
      <family val="3"/>
    </font>
    <font>
      <u/>
      <sz val="11"/>
      <color theme="10"/>
      <name val="Aptos Narrow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1" fillId="0" borderId="0" applyNumberFormat="0" applyFill="0" applyBorder="0" applyAlignment="0" applyProtection="0"/>
  </cellStyleXfs>
  <cellXfs count="106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5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5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5" fontId="0" fillId="37" borderId="0" xfId="0" applyNumberFormat="1" applyFill="1" applyAlignment="1">
      <alignment horizontal="center"/>
    </xf>
    <xf numFmtId="167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68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6" fontId="0" fillId="37" borderId="0" xfId="0" applyNumberFormat="1" applyFill="1" applyAlignment="1">
      <alignment horizontal="center"/>
    </xf>
    <xf numFmtId="164" fontId="0" fillId="40" borderId="0" xfId="0" applyNumberFormat="1" applyFill="1" applyAlignment="1">
      <alignment horizontal="center"/>
    </xf>
    <xf numFmtId="164" fontId="0" fillId="41" borderId="0" xfId="0" applyNumberFormat="1" applyFill="1" applyAlignment="1">
      <alignment horizontal="center"/>
    </xf>
    <xf numFmtId="170" fontId="0" fillId="0" borderId="0" xfId="0" applyNumberFormat="1" applyAlignment="1">
      <alignment horizontal="center"/>
    </xf>
    <xf numFmtId="169" fontId="0" fillId="40" borderId="0" xfId="0" applyNumberFormat="1" applyFill="1" applyAlignment="1">
      <alignment horizontal="center"/>
    </xf>
    <xf numFmtId="169" fontId="0" fillId="33" borderId="0" xfId="0" applyNumberFormat="1" applyFill="1" applyAlignment="1">
      <alignment horizontal="center"/>
    </xf>
    <xf numFmtId="169" fontId="0" fillId="38" borderId="0" xfId="0" applyNumberFormat="1" applyFill="1" applyAlignment="1">
      <alignment horizontal="center"/>
    </xf>
    <xf numFmtId="0" fontId="0" fillId="34" borderId="18" xfId="0" applyFill="1" applyBorder="1" applyAlignment="1">
      <alignment horizontal="center"/>
    </xf>
    <xf numFmtId="11" fontId="0" fillId="0" borderId="0" xfId="0" applyNumberFormat="1"/>
    <xf numFmtId="11" fontId="0" fillId="42" borderId="0" xfId="0" applyNumberFormat="1" applyFill="1"/>
    <xf numFmtId="0" fontId="0" fillId="43" borderId="0" xfId="0" applyFill="1"/>
    <xf numFmtId="164" fontId="0" fillId="43" borderId="0" xfId="0" applyNumberFormat="1" applyFill="1" applyAlignment="1">
      <alignment horizontal="center"/>
    </xf>
    <xf numFmtId="164" fontId="0" fillId="44" borderId="0" xfId="0" applyNumberFormat="1" applyFill="1" applyAlignment="1">
      <alignment horizontal="center"/>
    </xf>
    <xf numFmtId="0" fontId="0" fillId="44" borderId="0" xfId="0" applyFill="1" applyAlignment="1">
      <alignment horizontal="center"/>
    </xf>
    <xf numFmtId="164" fontId="0" fillId="45" borderId="0" xfId="0" applyNumberFormat="1" applyFill="1" applyAlignment="1">
      <alignment horizontal="center"/>
    </xf>
    <xf numFmtId="0" fontId="0" fillId="45" borderId="0" xfId="0" applyFill="1" applyAlignment="1">
      <alignment horizontal="center"/>
    </xf>
    <xf numFmtId="171" fontId="0" fillId="37" borderId="0" xfId="0" applyNumberFormat="1" applyFill="1" applyAlignment="1">
      <alignment horizontal="center"/>
    </xf>
    <xf numFmtId="171" fontId="0" fillId="33" borderId="0" xfId="0" applyNumberFormat="1" applyFill="1" applyAlignment="1">
      <alignment horizontal="center"/>
    </xf>
    <xf numFmtId="0" fontId="0" fillId="37" borderId="10" xfId="0" applyFill="1" applyBorder="1" applyAlignment="1">
      <alignment horizontal="center"/>
    </xf>
    <xf numFmtId="0" fontId="0" fillId="37" borderId="11" xfId="0" applyFill="1" applyBorder="1" applyAlignment="1">
      <alignment horizontal="center"/>
    </xf>
    <xf numFmtId="0" fontId="0" fillId="37" borderId="12" xfId="0" applyFill="1" applyBorder="1" applyAlignment="1">
      <alignment horizontal="center"/>
    </xf>
    <xf numFmtId="0" fontId="0" fillId="37" borderId="13" xfId="0" applyFill="1" applyBorder="1" applyAlignment="1">
      <alignment horizontal="center"/>
    </xf>
    <xf numFmtId="0" fontId="0" fillId="37" borderId="14" xfId="0" applyFill="1" applyBorder="1" applyAlignment="1">
      <alignment horizontal="center"/>
    </xf>
    <xf numFmtId="0" fontId="0" fillId="37" borderId="15" xfId="0" applyFill="1" applyBorder="1" applyAlignment="1">
      <alignment horizontal="center"/>
    </xf>
    <xf numFmtId="0" fontId="0" fillId="37" borderId="16" xfId="0" applyFill="1" applyBorder="1" applyAlignment="1">
      <alignment horizontal="center"/>
    </xf>
    <xf numFmtId="0" fontId="0" fillId="37" borderId="17" xfId="0" applyFill="1" applyBorder="1" applyAlignment="1">
      <alignment horizontal="center"/>
    </xf>
    <xf numFmtId="0" fontId="0" fillId="46" borderId="0" xfId="0" applyFill="1" applyAlignment="1">
      <alignment horizontal="center"/>
    </xf>
    <xf numFmtId="164" fontId="0" fillId="46" borderId="0" xfId="0" applyNumberFormat="1" applyFill="1" applyAlignment="1">
      <alignment horizontal="center"/>
    </xf>
    <xf numFmtId="164" fontId="0" fillId="46" borderId="13" xfId="0" applyNumberFormat="1" applyFill="1" applyBorder="1" applyAlignment="1">
      <alignment horizontal="center"/>
    </xf>
    <xf numFmtId="164" fontId="0" fillId="46" borderId="14" xfId="0" applyNumberFormat="1" applyFill="1" applyBorder="1" applyAlignment="1">
      <alignment horizontal="center"/>
    </xf>
    <xf numFmtId="166" fontId="0" fillId="46" borderId="0" xfId="0" applyNumberFormat="1" applyFill="1" applyAlignment="1">
      <alignment horizontal="center"/>
    </xf>
    <xf numFmtId="0" fontId="0" fillId="46" borderId="13" xfId="0" applyFill="1" applyBorder="1" applyAlignment="1">
      <alignment horizontal="center"/>
    </xf>
    <xf numFmtId="0" fontId="14" fillId="46" borderId="0" xfId="0" applyFont="1" applyFill="1"/>
    <xf numFmtId="0" fontId="0" fillId="46" borderId="14" xfId="0" applyFill="1" applyBorder="1" applyAlignment="1">
      <alignment horizontal="center"/>
    </xf>
    <xf numFmtId="11" fontId="0" fillId="46" borderId="0" xfId="0" applyNumberFormat="1" applyFill="1"/>
    <xf numFmtId="168" fontId="0" fillId="46" borderId="0" xfId="0" applyNumberFormat="1" applyFill="1" applyAlignment="1">
      <alignment horizontal="center"/>
    </xf>
    <xf numFmtId="2" fontId="0" fillId="46" borderId="0" xfId="0" applyNumberFormat="1" applyFill="1" applyAlignment="1">
      <alignment horizontal="center"/>
    </xf>
    <xf numFmtId="2" fontId="0" fillId="46" borderId="0" xfId="0" applyNumberFormat="1" applyFill="1"/>
    <xf numFmtId="0" fontId="0" fillId="46" borderId="0" xfId="0" applyFill="1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37" borderId="10" xfId="0" applyFill="1" applyBorder="1" applyAlignment="1">
      <alignment horizontal="left"/>
    </xf>
    <xf numFmtId="0" fontId="19" fillId="0" borderId="0" xfId="0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0" fontId="0" fillId="37" borderId="19" xfId="0" applyFill="1" applyBorder="1" applyAlignment="1">
      <alignment horizontal="center"/>
    </xf>
    <xf numFmtId="0" fontId="0" fillId="37" borderId="20" xfId="0" applyFill="1" applyBorder="1" applyAlignment="1">
      <alignment horizontal="center"/>
    </xf>
    <xf numFmtId="0" fontId="0" fillId="37" borderId="21" xfId="0" applyFill="1" applyBorder="1" applyAlignment="1">
      <alignment horizontal="center"/>
    </xf>
    <xf numFmtId="0" fontId="0" fillId="37" borderId="22" xfId="0" applyFill="1" applyBorder="1" applyAlignment="1">
      <alignment horizontal="center"/>
    </xf>
    <xf numFmtId="168" fontId="0" fillId="46" borderId="21" xfId="0" applyNumberFormat="1" applyFill="1" applyBorder="1" applyAlignment="1">
      <alignment horizontal="center"/>
    </xf>
    <xf numFmtId="168" fontId="0" fillId="46" borderId="22" xfId="0" applyNumberFormat="1" applyFill="1" applyBorder="1" applyAlignment="1">
      <alignment horizontal="center"/>
    </xf>
    <xf numFmtId="0" fontId="0" fillId="37" borderId="23" xfId="0" applyFill="1" applyBorder="1" applyAlignment="1">
      <alignment horizontal="center"/>
    </xf>
    <xf numFmtId="0" fontId="0" fillId="37" borderId="24" xfId="0" applyFill="1" applyBorder="1" applyAlignment="1">
      <alignment horizontal="center"/>
    </xf>
    <xf numFmtId="164" fontId="0" fillId="46" borderId="21" xfId="0" applyNumberFormat="1" applyFill="1" applyBorder="1" applyAlignment="1">
      <alignment horizontal="center"/>
    </xf>
    <xf numFmtId="164" fontId="0" fillId="46" borderId="22" xfId="0" applyNumberFormat="1" applyFill="1" applyBorder="1" applyAlignment="1">
      <alignment horizontal="center"/>
    </xf>
    <xf numFmtId="164" fontId="0" fillId="37" borderId="21" xfId="0" applyNumberFormat="1" applyFill="1" applyBorder="1" applyAlignment="1">
      <alignment horizontal="center"/>
    </xf>
    <xf numFmtId="164" fontId="0" fillId="37" borderId="22" xfId="0" applyNumberFormat="1" applyFill="1" applyBorder="1" applyAlignment="1">
      <alignment horizontal="center"/>
    </xf>
    <xf numFmtId="164" fontId="0" fillId="37" borderId="23" xfId="0" applyNumberFormat="1" applyFill="1" applyBorder="1" applyAlignment="1">
      <alignment horizontal="center"/>
    </xf>
    <xf numFmtId="164" fontId="0" fillId="37" borderId="24" xfId="0" applyNumberFormat="1" applyFill="1" applyBorder="1" applyAlignment="1">
      <alignment horizontal="center"/>
    </xf>
    <xf numFmtId="0" fontId="0" fillId="37" borderId="19" xfId="0" applyFill="1" applyBorder="1"/>
    <xf numFmtId="0" fontId="0" fillId="37" borderId="20" xfId="0" applyFill="1" applyBorder="1"/>
    <xf numFmtId="0" fontId="0" fillId="37" borderId="21" xfId="0" applyFill="1" applyBorder="1"/>
    <xf numFmtId="0" fontId="0" fillId="37" borderId="22" xfId="0" applyFill="1" applyBorder="1"/>
    <xf numFmtId="11" fontId="0" fillId="47" borderId="0" xfId="0" applyNumberFormat="1" applyFill="1"/>
    <xf numFmtId="0" fontId="0" fillId="42" borderId="0" xfId="0" applyFill="1"/>
    <xf numFmtId="0" fontId="0" fillId="42" borderId="0" xfId="0" applyFill="1" applyAlignment="1">
      <alignment vertical="center" wrapText="1"/>
    </xf>
    <xf numFmtId="0" fontId="21" fillId="42" borderId="0" xfId="42" applyFill="1"/>
    <xf numFmtId="0" fontId="0" fillId="45" borderId="0" xfId="0" applyFill="1"/>
    <xf numFmtId="0" fontId="0" fillId="0" borderId="25" xfId="0" applyBorder="1"/>
    <xf numFmtId="0" fontId="0" fillId="0" borderId="26" xfId="0" applyBorder="1"/>
    <xf numFmtId="0" fontId="0" fillId="0" borderId="27" xfId="0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Omega_1_WarmML_vs_Pet!$J$3:$J$20</c:f>
              <c:numCache>
                <c:formatCode>General</c:formatCode>
                <c:ptCount val="18"/>
                <c:pt idx="0">
                  <c:v>0.30752200000000002</c:v>
                </c:pt>
                <c:pt idx="1">
                  <c:v>0.30743199999999998</c:v>
                </c:pt>
                <c:pt idx="2">
                  <c:v>0.30707400000000001</c:v>
                </c:pt>
                <c:pt idx="3">
                  <c:v>0.30662600000000001</c:v>
                </c:pt>
                <c:pt idx="4">
                  <c:v>0.30617800000000001</c:v>
                </c:pt>
                <c:pt idx="5">
                  <c:v>0.30573099999999998</c:v>
                </c:pt>
                <c:pt idx="6">
                  <c:v>0.30483500000000002</c:v>
                </c:pt>
                <c:pt idx="7">
                  <c:v>0.30393999999999999</c:v>
                </c:pt>
                <c:pt idx="8">
                  <c:v>0.30304500000000001</c:v>
                </c:pt>
                <c:pt idx="9">
                  <c:v>0.302149</c:v>
                </c:pt>
                <c:pt idx="10">
                  <c:v>0.30035800000000001</c:v>
                </c:pt>
                <c:pt idx="11">
                  <c:v>0.298568</c:v>
                </c:pt>
                <c:pt idx="12">
                  <c:v>0.29409099999999999</c:v>
                </c:pt>
                <c:pt idx="13">
                  <c:v>0.28961399999999998</c:v>
                </c:pt>
                <c:pt idx="14">
                  <c:v>0.28066000000000002</c:v>
                </c:pt>
                <c:pt idx="15">
                  <c:v>0.271706</c:v>
                </c:pt>
                <c:pt idx="16">
                  <c:v>0.253799</c:v>
                </c:pt>
                <c:pt idx="17">
                  <c:v>0.23589099999999999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07-4424-AB61-5F2B71846873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Omega_1_WarmML_vs_Pet!$Q$3:$Q$20</c:f>
              <c:numCache>
                <c:formatCode>General</c:formatCode>
                <c:ptCount val="18"/>
                <c:pt idx="0">
                  <c:v>0.30762339897489099</c:v>
                </c:pt>
                <c:pt idx="1">
                  <c:v>0.30760192204916398</c:v>
                </c:pt>
                <c:pt idx="2">
                  <c:v>0.30724679841967401</c:v>
                </c:pt>
                <c:pt idx="3">
                  <c:v>0.30680187585665802</c:v>
                </c:pt>
                <c:pt idx="4">
                  <c:v>0.30631610665828601</c:v>
                </c:pt>
                <c:pt idx="5">
                  <c:v>0.30577705458875598</c:v>
                </c:pt>
                <c:pt idx="6">
                  <c:v>0.304049744640286</c:v>
                </c:pt>
                <c:pt idx="7">
                  <c:v>0.30367082962349401</c:v>
                </c:pt>
                <c:pt idx="8">
                  <c:v>0.30299646828716797</c:v>
                </c:pt>
                <c:pt idx="9">
                  <c:v>0.302112874093313</c:v>
                </c:pt>
                <c:pt idx="10">
                  <c:v>0.30016473444527803</c:v>
                </c:pt>
                <c:pt idx="11">
                  <c:v>0.29817092899876102</c:v>
                </c:pt>
                <c:pt idx="12">
                  <c:v>0.29309597542305099</c:v>
                </c:pt>
                <c:pt idx="13">
                  <c:v>0.28794706126599501</c:v>
                </c:pt>
                <c:pt idx="14">
                  <c:v>0.277650885060505</c:v>
                </c:pt>
                <c:pt idx="15">
                  <c:v>0.26763171227766103</c:v>
                </c:pt>
                <c:pt idx="16">
                  <c:v>0.248951900502555</c:v>
                </c:pt>
                <c:pt idx="17">
                  <c:v>0.23218318423637799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07-4424-AB61-5F2B71846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84208"/>
        <c:axId val="1300497168"/>
      </c:lineChart>
      <c:catAx>
        <c:axId val="1300484208"/>
        <c:scaling>
          <c:orientation val="minMax"/>
        </c:scaling>
        <c:delete val="0"/>
        <c:axPos val="b"/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7168"/>
        <c:crosses val="autoZero"/>
        <c:auto val="1"/>
        <c:lblAlgn val="ctr"/>
        <c:lblOffset val="100"/>
        <c:noMultiLvlLbl val="0"/>
      </c:catAx>
      <c:valAx>
        <c:axId val="130049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Omega_1_WarmML_vs_Pet!$K$3:$K$20</c:f>
              <c:numCache>
                <c:formatCode>General</c:formatCode>
                <c:ptCount val="18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  <c:pt idx="9">
                  <c:v>-0.31289400000000001</c:v>
                </c:pt>
                <c:pt idx="10">
                  <c:v>-0.31468499999999999</c:v>
                </c:pt>
                <c:pt idx="11">
                  <c:v>-0.31647500000000001</c:v>
                </c:pt>
                <c:pt idx="12">
                  <c:v>-0.32095200000000002</c:v>
                </c:pt>
                <c:pt idx="13">
                  <c:v>-0.32542900000000002</c:v>
                </c:pt>
                <c:pt idx="14">
                  <c:v>-0.33438299999999999</c:v>
                </c:pt>
                <c:pt idx="15">
                  <c:v>-0.343337</c:v>
                </c:pt>
                <c:pt idx="16">
                  <c:v>-0.36124400000000001</c:v>
                </c:pt>
                <c:pt idx="17">
                  <c:v>-0.37915199999999999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3A-4954-A1D3-E2352561A1F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Omega_1_WarmML_vs_Pet!$B$3:$B$20</c:f>
              <c:numCache>
                <c:formatCode>General</c:formatCode>
                <c:ptCount val="18"/>
                <c:pt idx="0">
                  <c:v>0</c:v>
                </c:pt>
                <c:pt idx="1">
                  <c:v>0.01</c:v>
                </c:pt>
                <c:pt idx="2">
                  <c:v>0.05</c:v>
                </c:pt>
                <c:pt idx="3">
                  <c:v>0.1</c:v>
                </c:pt>
                <c:pt idx="4">
                  <c:v>0.15</c:v>
                </c:pt>
                <c:pt idx="5">
                  <c:v>0.2</c:v>
                </c:pt>
                <c:pt idx="6">
                  <c:v>0.3</c:v>
                </c:pt>
                <c:pt idx="7">
                  <c:v>0.4</c:v>
                </c:pt>
                <c:pt idx="8">
                  <c:v>0.5</c:v>
                </c:pt>
                <c:pt idx="9">
                  <c:v>0.6</c:v>
                </c:pt>
                <c:pt idx="10">
                  <c:v>0.8</c:v>
                </c:pt>
                <c:pt idx="11">
                  <c:v>1</c:v>
                </c:pt>
                <c:pt idx="12">
                  <c:v>1.5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  <c:pt idx="16">
                  <c:v>6</c:v>
                </c:pt>
                <c:pt idx="17">
                  <c:v>8</c:v>
                </c:pt>
              </c:numCache>
            </c:numRef>
          </c:cat>
          <c:val>
            <c:numRef>
              <c:f>Omega_1_WarmML_vs_Pet!$P$3:$P$20</c:f>
              <c:numCache>
                <c:formatCode>General</c:formatCode>
                <c:ptCount val="18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  <c:pt idx="9">
                  <c:v>-0.312276772247356</c:v>
                </c:pt>
                <c:pt idx="10">
                  <c:v>-0.313795350831924</c:v>
                </c:pt>
                <c:pt idx="11">
                  <c:v>-0.31527619191501899</c:v>
                </c:pt>
                <c:pt idx="12">
                  <c:v>-0.318673821212129</c:v>
                </c:pt>
                <c:pt idx="13">
                  <c:v>-0.321627280921431</c:v>
                </c:pt>
                <c:pt idx="14">
                  <c:v>-0.32636310144563702</c:v>
                </c:pt>
                <c:pt idx="15">
                  <c:v>-0.32980667405303099</c:v>
                </c:pt>
                <c:pt idx="16">
                  <c:v>-0.33388331280074701</c:v>
                </c:pt>
                <c:pt idx="17">
                  <c:v>-0.335454470721614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3A-4954-A1D3-E2352561A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00490448"/>
        <c:axId val="1300484688"/>
      </c:lineChart>
      <c:catAx>
        <c:axId val="130049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84688"/>
        <c:crosses val="autoZero"/>
        <c:auto val="1"/>
        <c:lblAlgn val="ctr"/>
        <c:lblOffset val="100"/>
        <c:noMultiLvlLbl val="0"/>
      </c:catAx>
      <c:valAx>
        <c:axId val="130048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9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Omega_1_WarmML_vs_Pet!$K$3:$K$11</c:f>
              <c:numCache>
                <c:formatCode>General</c:formatCode>
                <c:ptCount val="9"/>
                <c:pt idx="0">
                  <c:v>-0.30752200000000002</c:v>
                </c:pt>
                <c:pt idx="1">
                  <c:v>-0.30761100000000002</c:v>
                </c:pt>
                <c:pt idx="2">
                  <c:v>-0.30796899999999999</c:v>
                </c:pt>
                <c:pt idx="3">
                  <c:v>-0.308417</c:v>
                </c:pt>
                <c:pt idx="4">
                  <c:v>-0.308865</c:v>
                </c:pt>
                <c:pt idx="5">
                  <c:v>-0.30931199999999998</c:v>
                </c:pt>
                <c:pt idx="6">
                  <c:v>-0.31020799999999998</c:v>
                </c:pt>
                <c:pt idx="7">
                  <c:v>-0.31110300000000002</c:v>
                </c:pt>
                <c:pt idx="8">
                  <c:v>-0.311998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07-4F9B-9910-EB19FC76452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Omega_1_WarmML_vs_Pet!$P$3:$P$11</c:f>
              <c:numCache>
                <c:formatCode>General</c:formatCode>
                <c:ptCount val="9"/>
                <c:pt idx="0">
                  <c:v>-0.30723035489404599</c:v>
                </c:pt>
                <c:pt idx="1">
                  <c:v>-0.30725756436426899</c:v>
                </c:pt>
                <c:pt idx="2">
                  <c:v>-0.307613868204829</c:v>
                </c:pt>
                <c:pt idx="3">
                  <c:v>-0.30804542261731299</c:v>
                </c:pt>
                <c:pt idx="4">
                  <c:v>-0.30853143976571901</c:v>
                </c:pt>
                <c:pt idx="5">
                  <c:v>-0.30905199894930602</c:v>
                </c:pt>
                <c:pt idx="6">
                  <c:v>-0.311482275189575</c:v>
                </c:pt>
                <c:pt idx="7">
                  <c:v>-0.31148376854967003</c:v>
                </c:pt>
                <c:pt idx="8">
                  <c:v>-0.31170765216752699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07-4F9B-9910-EB19FC764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4745920"/>
        <c:axId val="2094754080"/>
      </c:lineChart>
      <c:catAx>
        <c:axId val="20947459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54080"/>
        <c:crosses val="autoZero"/>
        <c:auto val="1"/>
        <c:lblAlgn val="ctr"/>
        <c:lblOffset val="100"/>
        <c:noMultiLvlLbl val="0"/>
      </c:catAx>
      <c:valAx>
        <c:axId val="209475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74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Sheet4!$D$5:$D$11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0.42971599999999999</c:v>
                </c:pt>
                <c:pt idx="5">
                  <c:v>0.434255</c:v>
                </c:pt>
                <c:pt idx="6">
                  <c:v>0.44106499999999998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7B-470E-8E22-15C102A8868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Sheet4!$C$5:$C$11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cat>
          <c:val>
            <c:numRef>
              <c:f>Sheet4!$F$5:$F$11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 formatCode="0.00E+00">
                  <c:v>0.433744546607023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7B-470E-8E22-15C102A88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3599152"/>
        <c:axId val="833598192"/>
      </c:lineChart>
      <c:catAx>
        <c:axId val="833599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8192"/>
        <c:crosses val="autoZero"/>
        <c:auto val="1"/>
        <c:lblAlgn val="ctr"/>
        <c:lblOffset val="100"/>
        <c:noMultiLvlLbl val="0"/>
      </c:catAx>
      <c:valAx>
        <c:axId val="83359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5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2warm'!$BO$4:$BO$21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6-4D7F-A3FC-3469D295BDB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2warm'!$BU$4:$BU$21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06-4D7F-A3FC-3469D295BDBB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06-4D7F-A3FC-3469D295B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2warm'!$BJ$4:$BJ$21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F-477E-981B-A8EE390EB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2warm'!$BL$25:$BL$42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C-4670-8E5D-F4BB895918B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2warm'!$E$25:$E$42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2warm'!$BR$25:$BR$42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DC-4670-8E5D-F4BB89591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2warm'!$AY$3</c:f>
              <c:strCache>
                <c:ptCount val="1"/>
                <c:pt idx="0">
                  <c:v>K_real Okopińska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2warm'!$AY$4:$AY$8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59-42B4-B83E-17C6F1AA12E9}"/>
            </c:ext>
          </c:extLst>
        </c:ser>
        <c:ser>
          <c:idx val="1"/>
          <c:order val="1"/>
          <c:tx>
            <c:strRef>
              <c:f>'Omega is 2warm'!$BH$3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2warm'!$BH$4:$BH$8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59-42B4-B83E-17C6F1AA12E9}"/>
            </c:ext>
          </c:extLst>
        </c:ser>
        <c:ser>
          <c:idx val="2"/>
          <c:order val="2"/>
          <c:tx>
            <c:strRef>
              <c:f>'Omega is 2warm'!$BS$3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2warm'!$BS$4:$BS$8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59-42B4-B83E-17C6F1AA1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2'!$AI$4:$AI$21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2'!$AF$25:$AF$42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Real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'Omega is 2'!$S$3</c:f>
              <c:strCache>
                <c:ptCount val="1"/>
                <c:pt idx="0">
                  <c:v>K_real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'Omega is 2'!$S$4:$S$8</c:f>
              <c:numCache>
                <c:formatCode>General</c:formatCode>
                <c:ptCount val="5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0.42177100000000001</c:v>
                </c:pt>
                <c:pt idx="4">
                  <c:v>0.422906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0-4C19-8B0F-FC956A116B48}"/>
            </c:ext>
          </c:extLst>
        </c:ser>
        <c:ser>
          <c:idx val="1"/>
          <c:order val="1"/>
          <c:tx>
            <c:strRef>
              <c:f>'Omega is 2'!$V$3</c:f>
              <c:strCache>
                <c:ptCount val="1"/>
                <c:pt idx="0">
                  <c:v>K_ml_re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'Omega is 2'!$V$4:$V$8</c:f>
              <c:numCache>
                <c:formatCode>0.000</c:formatCode>
                <c:ptCount val="5"/>
                <c:pt idx="0">
                  <c:v>0.41775835303139602</c:v>
                </c:pt>
                <c:pt idx="1">
                  <c:v>0.41963681898939897</c:v>
                </c:pt>
                <c:pt idx="2">
                  <c:v>0.42160636626889902</c:v>
                </c:pt>
                <c:pt idx="3">
                  <c:v>0.428707914479522</c:v>
                </c:pt>
                <c:pt idx="4">
                  <c:v>0.43097276610749602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0-4C19-8B0F-FC956A116B48}"/>
            </c:ext>
          </c:extLst>
        </c:ser>
        <c:ser>
          <c:idx val="2"/>
          <c:order val="2"/>
          <c:tx>
            <c:strRef>
              <c:f>'Omega is 2'!$AG$3</c:f>
              <c:strCache>
                <c:ptCount val="1"/>
                <c:pt idx="0">
                  <c:v>K_basis_re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2'!$AG$4:$AG$8</c:f>
              <c:numCache>
                <c:formatCode>0.000</c:formatCode>
                <c:ptCount val="5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0.36774430674153502</c:v>
                </c:pt>
                <c:pt idx="4">
                  <c:v>0.56773347902228199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0-4C19-8B0F-FC956A116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0215727"/>
        <c:axId val="1420199887"/>
      </c:lineChart>
      <c:catAx>
        <c:axId val="1420215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199887"/>
        <c:crosses val="autoZero"/>
        <c:auto val="1"/>
        <c:lblAlgn val="ctr"/>
        <c:lblOffset val="100"/>
        <c:noMultiLvlLbl val="0"/>
      </c:catAx>
      <c:valAx>
        <c:axId val="1420199887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0215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Sheet1!$B$4:$B$10</c:f>
              <c:numCache>
                <c:formatCode>General</c:formatCode>
                <c:ptCount val="7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0.2</c:v>
                </c:pt>
                <c:pt idx="4">
                  <c:v>0.5</c:v>
                </c:pt>
                <c:pt idx="5">
                  <c:v>0.7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0E-4503-A7D4-21AD5795BFE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Sheet1!$C$4:$C$10</c:f>
              <c:numCache>
                <c:formatCode>0.000</c:formatCode>
                <c:ptCount val="7"/>
                <c:pt idx="0">
                  <c:v>0.41780845290741098</c:v>
                </c:pt>
                <c:pt idx="1">
                  <c:v>0.41888723604943401</c:v>
                </c:pt>
                <c:pt idx="2">
                  <c:v>0.41985514395877999</c:v>
                </c:pt>
                <c:pt idx="3">
                  <c:v>0.43903701064051498</c:v>
                </c:pt>
                <c:pt idx="4">
                  <c:v>0.43304269178049298</c:v>
                </c:pt>
                <c:pt idx="5">
                  <c:v>0.431500128778734</c:v>
                </c:pt>
                <c:pt idx="6">
                  <c:v>0.43555484974580599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0E-4503-A7D4-21AD5795BFE4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Sheet1!$F$4:$F$10</c:f>
              <c:numCache>
                <c:formatCode>General</c:formatCode>
                <c:ptCount val="7"/>
                <c:pt idx="0">
                  <c:v>0.41836699999999999</c:v>
                </c:pt>
                <c:pt idx="1">
                  <c:v>0.41950199999999999</c:v>
                </c:pt>
                <c:pt idx="2">
                  <c:v>0.42063600000000001</c:v>
                </c:pt>
                <c:pt idx="3">
                  <c:v>0.422906</c:v>
                </c:pt>
                <c:pt idx="4">
                  <c:v>0.42971571055923502</c:v>
                </c:pt>
                <c:pt idx="5">
                  <c:v>0.434255324296282</c:v>
                </c:pt>
                <c:pt idx="6">
                  <c:v>0.44106474490185099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0E-4503-A7D4-21AD5795BFE4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Sheet1!$I$4:$I$10</c:f>
              <c:numCache>
                <c:formatCode>0.000</c:formatCode>
                <c:ptCount val="7"/>
                <c:pt idx="0">
                  <c:v>0.41836404112053699</c:v>
                </c:pt>
                <c:pt idx="1">
                  <c:v>0.41947602637676601</c:v>
                </c:pt>
                <c:pt idx="2">
                  <c:v>0.41366088541155099</c:v>
                </c:pt>
                <c:pt idx="3">
                  <c:v>0.56773347902228199</c:v>
                </c:pt>
                <c:pt idx="4">
                  <c:v>-0.35918754602071101</c:v>
                </c:pt>
                <c:pt idx="5">
                  <c:v>1.3532193644232</c:v>
                </c:pt>
                <c:pt idx="6">
                  <c:v>-0.75384195005925503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0E-4503-A7D4-21AD5795B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0236095"/>
        <c:axId val="1310234655"/>
      </c:lineChart>
      <c:catAx>
        <c:axId val="13102360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4655"/>
        <c:crosses val="autoZero"/>
        <c:auto val="1"/>
        <c:lblAlgn val="ctr"/>
        <c:lblOffset val="100"/>
        <c:noMultiLvlLbl val="0"/>
      </c:catAx>
      <c:valAx>
        <c:axId val="131023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236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</xdr:colOff>
      <xdr:row>27</xdr:row>
      <xdr:rowOff>34290</xdr:rowOff>
    </xdr:from>
    <xdr:to>
      <xdr:col>19</xdr:col>
      <xdr:colOff>312420</xdr:colOff>
      <xdr:row>42</xdr:row>
      <xdr:rowOff>34290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B068D8-5D64-6327-156D-204D67F432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7620</xdr:colOff>
      <xdr:row>42</xdr:row>
      <xdr:rowOff>57150</xdr:rowOff>
    </xdr:from>
    <xdr:to>
      <xdr:col>19</xdr:col>
      <xdr:colOff>335280</xdr:colOff>
      <xdr:row>53</xdr:row>
      <xdr:rowOff>83820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0536413-671C-0232-28D2-B3EFAC2A7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548640</xdr:colOff>
      <xdr:row>21</xdr:row>
      <xdr:rowOff>148590</xdr:rowOff>
    </xdr:from>
    <xdr:to>
      <xdr:col>15</xdr:col>
      <xdr:colOff>243840</xdr:colOff>
      <xdr:row>36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222882-1D7C-E6E6-3E69-70501A333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434340</xdr:colOff>
      <xdr:row>1</xdr:row>
      <xdr:rowOff>133350</xdr:rowOff>
    </xdr:from>
    <xdr:to>
      <xdr:col>15</xdr:col>
      <xdr:colOff>129540</xdr:colOff>
      <xdr:row>16</xdr:row>
      <xdr:rowOff>125730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FC7CF4-FB46-E2C8-DECE-A9BBB5F50F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403860</xdr:colOff>
      <xdr:row>19</xdr:row>
      <xdr:rowOff>68580</xdr:rowOff>
    </xdr:from>
    <xdr:to>
      <xdr:col>9</xdr:col>
      <xdr:colOff>500302</xdr:colOff>
      <xdr:row>23</xdr:row>
      <xdr:rowOff>127536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0C952E-D69F-E610-C010-0848864AA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2660" y="3550920"/>
          <a:ext cx="5704762" cy="7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70</xdr:col>
      <xdr:colOff>997</xdr:colOff>
      <xdr:row>10</xdr:row>
      <xdr:rowOff>152399</xdr:rowOff>
    </xdr:from>
    <xdr:to>
      <xdr:col>83</xdr:col>
      <xdr:colOff>119270</xdr:colOff>
      <xdr:row>27</xdr:row>
      <xdr:rowOff>53008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F001682-4E53-4DAC-B35F-35FA18F30B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59</xdr:col>
      <xdr:colOff>896840</xdr:colOff>
      <xdr:row>50</xdr:row>
      <xdr:rowOff>113802</xdr:rowOff>
    </xdr:from>
    <xdr:to>
      <xdr:col>72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ACBC61-1BD6-4DDC-B8D6-91EEAD20DF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70</xdr:col>
      <xdr:colOff>87464</xdr:colOff>
      <xdr:row>50</xdr:row>
      <xdr:rowOff>31970</xdr:rowOff>
    </xdr:from>
    <xdr:to>
      <xdr:col>76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768FEF-1062-4A62-BF3A-324B301E0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69</xdr:col>
      <xdr:colOff>178904</xdr:colOff>
      <xdr:row>18</xdr:row>
      <xdr:rowOff>79515</xdr:rowOff>
    </xdr:from>
    <xdr:to>
      <xdr:col>75</xdr:col>
      <xdr:colOff>510208</xdr:colOff>
      <xdr:row>35</xdr:row>
      <xdr:rowOff>69576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43A703-283E-4AD6-B9EB-B54C18519D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444944</xdr:colOff>
      <xdr:row>9</xdr:row>
      <xdr:rowOff>106017</xdr:rowOff>
    </xdr:from>
    <xdr:to>
      <xdr:col>42</xdr:col>
      <xdr:colOff>53009</xdr:colOff>
      <xdr:row>19</xdr:row>
      <xdr:rowOff>78685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896840</xdr:colOff>
      <xdr:row>50</xdr:row>
      <xdr:rowOff>113802</xdr:rowOff>
    </xdr:from>
    <xdr:to>
      <xdr:col>34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87464</xdr:colOff>
      <xdr:row>50</xdr:row>
      <xdr:rowOff>31970</xdr:rowOff>
    </xdr:from>
    <xdr:to>
      <xdr:col>38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86139</xdr:colOff>
      <xdr:row>1</xdr:row>
      <xdr:rowOff>112645</xdr:rowOff>
    </xdr:from>
    <xdr:to>
      <xdr:col>35</xdr:col>
      <xdr:colOff>417443</xdr:colOff>
      <xdr:row>18</xdr:row>
      <xdr:rowOff>96079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CB85FD6-BF79-B7A2-39AD-3BE12E9F50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178777</xdr:colOff>
      <xdr:row>19</xdr:row>
      <xdr:rowOff>2931</xdr:rowOff>
    </xdr:from>
    <xdr:to>
      <xdr:col>8</xdr:col>
      <xdr:colOff>389792</xdr:colOff>
      <xdr:row>34</xdr:row>
      <xdr:rowOff>20515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9B9633-454C-B8C7-8867-141B7630E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chatgpt.com/c/69e8fc69-5474-8384-be5f-862f800be282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2A279-A364-4EB9-959E-360BD31A3014}">
  <dimension ref="A1:AH21"/>
  <sheetViews>
    <sheetView workbookViewId="0">
      <selection activeCell="B9" sqref="B9:P9"/>
    </sheetView>
  </sheetViews>
  <sheetFormatPr defaultRowHeight="14.4" x14ac:dyDescent="0.3"/>
  <sheetData>
    <row r="1" spans="1:34" x14ac:dyDescent="0.3">
      <c r="G1" t="s">
        <v>185</v>
      </c>
      <c r="J1" s="101" t="s">
        <v>182</v>
      </c>
      <c r="Q1" t="s">
        <v>83</v>
      </c>
    </row>
    <row r="2" spans="1:34" x14ac:dyDescent="0.3">
      <c r="A2" t="s">
        <v>3</v>
      </c>
      <c r="B2" t="s">
        <v>0</v>
      </c>
      <c r="C2" t="s">
        <v>3</v>
      </c>
      <c r="D2" t="s">
        <v>91</v>
      </c>
      <c r="E2" t="s">
        <v>0</v>
      </c>
      <c r="F2" t="s">
        <v>92</v>
      </c>
      <c r="I2" s="99" t="s">
        <v>28</v>
      </c>
      <c r="J2" s="99" t="s">
        <v>44</v>
      </c>
      <c r="K2" s="99" t="s">
        <v>45</v>
      </c>
      <c r="L2" s="99" t="s">
        <v>30</v>
      </c>
      <c r="M2" s="102" t="s">
        <v>94</v>
      </c>
      <c r="N2" s="102" t="s">
        <v>95</v>
      </c>
      <c r="O2" s="102" t="s">
        <v>30</v>
      </c>
      <c r="P2" s="102" t="s">
        <v>75</v>
      </c>
      <c r="Q2" s="102" t="s">
        <v>62</v>
      </c>
      <c r="R2" s="4"/>
      <c r="S2" t="s">
        <v>8</v>
      </c>
      <c r="T2" t="s">
        <v>9</v>
      </c>
      <c r="U2" t="s">
        <v>10</v>
      </c>
      <c r="V2" t="s">
        <v>16</v>
      </c>
      <c r="W2" t="s">
        <v>17</v>
      </c>
      <c r="X2" t="s">
        <v>96</v>
      </c>
      <c r="Y2" t="s">
        <v>18</v>
      </c>
      <c r="Z2" t="s">
        <v>19</v>
      </c>
      <c r="AA2" t="s">
        <v>20</v>
      </c>
      <c r="AB2" t="s">
        <v>21</v>
      </c>
      <c r="AC2" t="s">
        <v>22</v>
      </c>
      <c r="AD2" t="s">
        <v>23</v>
      </c>
      <c r="AE2" t="s">
        <v>1</v>
      </c>
      <c r="AF2" t="s">
        <v>2</v>
      </c>
      <c r="AG2" t="s">
        <v>25</v>
      </c>
      <c r="AH2" t="s">
        <v>97</v>
      </c>
    </row>
    <row r="3" spans="1:34" x14ac:dyDescent="0.3">
      <c r="A3">
        <v>45</v>
      </c>
      <c r="B3">
        <v>0</v>
      </c>
      <c r="C3">
        <v>45</v>
      </c>
      <c r="D3">
        <v>0</v>
      </c>
      <c r="E3">
        <v>0</v>
      </c>
      <c r="F3" t="s">
        <v>18</v>
      </c>
      <c r="G3">
        <f>J3-M3</f>
        <v>2.9164510595403037E-4</v>
      </c>
      <c r="H3">
        <f>K3-N3</f>
        <v>1.0139897489097605E-4</v>
      </c>
      <c r="I3" s="99">
        <v>0</v>
      </c>
      <c r="J3" s="99">
        <v>0.30752200000000002</v>
      </c>
      <c r="K3" s="99">
        <v>-0.30752200000000002</v>
      </c>
      <c r="L3" s="99">
        <v>0.43490099999999998</v>
      </c>
      <c r="M3" s="102">
        <v>0.30723035489404599</v>
      </c>
      <c r="N3" s="102">
        <v>-0.30762339897489099</v>
      </c>
      <c r="O3" s="102">
        <v>0.434767347629955</v>
      </c>
      <c r="P3" s="4">
        <f>M3*-1</f>
        <v>-0.30723035489404599</v>
      </c>
      <c r="Q3" s="4">
        <f t="shared" ref="Q3:Q20" si="0">N3*-1</f>
        <v>0.30762339897489099</v>
      </c>
      <c r="R3" s="4">
        <f>J3-Q3</f>
        <v>-1.0139897489097605E-4</v>
      </c>
      <c r="S3">
        <v>2.6007479999999999E-9</v>
      </c>
      <c r="T3" s="44">
        <v>4.34639E-12</v>
      </c>
      <c r="U3">
        <v>1</v>
      </c>
      <c r="V3">
        <v>0.307521507728162</v>
      </c>
      <c r="W3">
        <v>-0.307521507728162</v>
      </c>
      <c r="X3">
        <v>15000</v>
      </c>
      <c r="Y3">
        <v>16</v>
      </c>
      <c r="Z3">
        <v>1</v>
      </c>
      <c r="AA3">
        <v>1</v>
      </c>
      <c r="AB3">
        <v>1</v>
      </c>
      <c r="AC3">
        <v>0.01</v>
      </c>
      <c r="AD3">
        <v>16</v>
      </c>
      <c r="AE3">
        <v>0</v>
      </c>
      <c r="AF3">
        <v>0</v>
      </c>
      <c r="AG3">
        <v>1411.9</v>
      </c>
      <c r="AH3" t="s">
        <v>162</v>
      </c>
    </row>
    <row r="4" spans="1:34" x14ac:dyDescent="0.3">
      <c r="A4">
        <v>45</v>
      </c>
      <c r="B4">
        <v>0.01</v>
      </c>
      <c r="C4">
        <v>45</v>
      </c>
      <c r="D4">
        <v>1</v>
      </c>
      <c r="E4">
        <v>0.01</v>
      </c>
      <c r="F4" t="s">
        <v>26</v>
      </c>
      <c r="G4">
        <f t="shared" ref="G4:G20" si="1">J4-M4</f>
        <v>1.7443563573099619E-4</v>
      </c>
      <c r="H4">
        <f t="shared" ref="H4:H20" si="2">K4-N4</f>
        <v>-9.0779508360450123E-6</v>
      </c>
      <c r="I4" s="99">
        <v>0.01</v>
      </c>
      <c r="J4" s="99">
        <v>0.30743199999999998</v>
      </c>
      <c r="K4" s="99">
        <v>-0.30761100000000002</v>
      </c>
      <c r="L4" s="99">
        <v>0.43490099999999998</v>
      </c>
      <c r="M4" s="102">
        <v>0.30725756436426899</v>
      </c>
      <c r="N4" s="102">
        <v>-0.30760192204916398</v>
      </c>
      <c r="O4" s="102">
        <v>0.434771380506356</v>
      </c>
      <c r="P4" s="4">
        <f t="shared" ref="P4:P20" si="3">M4*-1</f>
        <v>-0.30725756436426899</v>
      </c>
      <c r="Q4" s="4">
        <f t="shared" si="0"/>
        <v>0.30760192204916398</v>
      </c>
      <c r="R4" s="4">
        <f t="shared" ref="R4:R20" si="4">J4-Q4</f>
        <v>-1.6992204916399523E-4</v>
      </c>
      <c r="S4">
        <v>4.7580950000000001E-7</v>
      </c>
      <c r="T4">
        <v>1.1734569999999999E-7</v>
      </c>
      <c r="U4">
        <v>1</v>
      </c>
      <c r="V4">
        <v>0.307521507728162</v>
      </c>
      <c r="W4">
        <v>-0.307521507728162</v>
      </c>
      <c r="X4">
        <v>6000</v>
      </c>
      <c r="Y4">
        <v>16</v>
      </c>
      <c r="Z4">
        <v>1</v>
      </c>
      <c r="AA4">
        <v>1</v>
      </c>
      <c r="AB4">
        <v>1</v>
      </c>
      <c r="AC4">
        <v>0.01</v>
      </c>
      <c r="AD4">
        <v>16</v>
      </c>
      <c r="AE4">
        <v>0</v>
      </c>
      <c r="AF4">
        <v>0</v>
      </c>
      <c r="AG4">
        <v>567.20000000000005</v>
      </c>
      <c r="AH4" t="s">
        <v>163</v>
      </c>
    </row>
    <row r="5" spans="1:34" x14ac:dyDescent="0.3">
      <c r="A5">
        <v>45</v>
      </c>
      <c r="B5">
        <v>0.05</v>
      </c>
      <c r="C5">
        <v>45</v>
      </c>
      <c r="D5">
        <v>2</v>
      </c>
      <c r="E5">
        <v>0.05</v>
      </c>
      <c r="F5" t="s">
        <v>26</v>
      </c>
      <c r="G5">
        <f t="shared" si="1"/>
        <v>-5.3986820482898601E-4</v>
      </c>
      <c r="H5">
        <f t="shared" si="2"/>
        <v>-7.2220158032598736E-4</v>
      </c>
      <c r="I5" s="99">
        <v>0.05</v>
      </c>
      <c r="J5" s="99">
        <v>0.30707400000000001</v>
      </c>
      <c r="K5" s="99">
        <v>-0.30796899999999999</v>
      </c>
      <c r="L5" s="99">
        <v>0.43490200000000001</v>
      </c>
      <c r="M5" s="102">
        <v>0.307613868204829</v>
      </c>
      <c r="N5" s="102">
        <v>-0.30724679841967401</v>
      </c>
      <c r="O5" s="102">
        <v>0.43477222433255602</v>
      </c>
      <c r="P5" s="4">
        <f t="shared" si="3"/>
        <v>-0.307613868204829</v>
      </c>
      <c r="Q5" s="4">
        <f t="shared" si="0"/>
        <v>0.30724679841967401</v>
      </c>
      <c r="R5" s="4">
        <f t="shared" si="4"/>
        <v>-1.7279841967399179E-4</v>
      </c>
      <c r="S5">
        <v>2.3407860000000001E-6</v>
      </c>
      <c r="T5">
        <v>2.820847E-6</v>
      </c>
      <c r="U5">
        <v>0.99999700000000002</v>
      </c>
      <c r="V5">
        <v>0.307521507728162</v>
      </c>
      <c r="W5">
        <v>-0.307521507728162</v>
      </c>
      <c r="X5">
        <v>6000</v>
      </c>
      <c r="Y5">
        <v>16</v>
      </c>
      <c r="Z5">
        <v>1</v>
      </c>
      <c r="AA5">
        <v>1</v>
      </c>
      <c r="AB5">
        <v>1</v>
      </c>
      <c r="AC5">
        <v>0.01</v>
      </c>
      <c r="AD5">
        <v>16</v>
      </c>
      <c r="AE5">
        <v>0</v>
      </c>
      <c r="AF5">
        <v>0</v>
      </c>
      <c r="AG5">
        <v>550.4</v>
      </c>
      <c r="AH5" t="s">
        <v>164</v>
      </c>
    </row>
    <row r="6" spans="1:34" x14ac:dyDescent="0.3">
      <c r="A6">
        <v>45</v>
      </c>
      <c r="B6">
        <v>0.1</v>
      </c>
      <c r="C6">
        <v>45</v>
      </c>
      <c r="D6">
        <v>3</v>
      </c>
      <c r="E6">
        <v>0.1</v>
      </c>
      <c r="F6" t="s">
        <v>26</v>
      </c>
      <c r="G6">
        <f t="shared" si="1"/>
        <v>-1.419422617312982E-3</v>
      </c>
      <c r="H6">
        <f t="shared" si="2"/>
        <v>-1.6151241433419727E-3</v>
      </c>
      <c r="I6" s="99">
        <v>0.1</v>
      </c>
      <c r="J6" s="99">
        <v>0.30662600000000001</v>
      </c>
      <c r="K6" s="99">
        <v>-0.308417</v>
      </c>
      <c r="L6" s="99">
        <v>0.43490299999999998</v>
      </c>
      <c r="M6" s="102">
        <v>0.30804542261731299</v>
      </c>
      <c r="N6" s="102">
        <v>-0.30680187585665802</v>
      </c>
      <c r="O6" s="102">
        <v>0.434763583369908</v>
      </c>
      <c r="P6" s="4">
        <f t="shared" si="3"/>
        <v>-0.30804542261731299</v>
      </c>
      <c r="Q6" s="4">
        <f t="shared" si="0"/>
        <v>0.30680187585665802</v>
      </c>
      <c r="R6" s="4">
        <f t="shared" si="4"/>
        <v>-1.7587585665801431E-4</v>
      </c>
      <c r="S6">
        <v>4.5493819999999999E-6</v>
      </c>
      <c r="T6">
        <v>1.072965E-5</v>
      </c>
      <c r="U6">
        <v>0.99998900000000002</v>
      </c>
      <c r="V6">
        <v>0.307521507728162</v>
      </c>
      <c r="W6">
        <v>-0.307521507728162</v>
      </c>
      <c r="X6">
        <v>6000</v>
      </c>
      <c r="Y6">
        <v>16</v>
      </c>
      <c r="Z6">
        <v>1</v>
      </c>
      <c r="AA6">
        <v>1</v>
      </c>
      <c r="AB6">
        <v>1</v>
      </c>
      <c r="AC6">
        <v>0.01</v>
      </c>
      <c r="AD6">
        <v>16</v>
      </c>
      <c r="AE6">
        <v>0</v>
      </c>
      <c r="AF6">
        <v>0</v>
      </c>
      <c r="AG6">
        <v>554.1</v>
      </c>
      <c r="AH6" t="s">
        <v>165</v>
      </c>
    </row>
    <row r="7" spans="1:34" x14ac:dyDescent="0.3">
      <c r="A7">
        <v>45</v>
      </c>
      <c r="B7">
        <v>0.15</v>
      </c>
      <c r="C7">
        <v>45</v>
      </c>
      <c r="D7">
        <v>4</v>
      </c>
      <c r="E7">
        <v>0.15</v>
      </c>
      <c r="F7" t="s">
        <v>26</v>
      </c>
      <c r="G7">
        <f t="shared" si="1"/>
        <v>-2.3534397657190009E-3</v>
      </c>
      <c r="H7">
        <f t="shared" si="2"/>
        <v>-2.548893341713987E-3</v>
      </c>
      <c r="I7" s="99">
        <v>0.15</v>
      </c>
      <c r="J7" s="99">
        <v>0.30617800000000001</v>
      </c>
      <c r="K7" s="99">
        <v>-0.308865</v>
      </c>
      <c r="L7" s="99">
        <v>0.43490499999999999</v>
      </c>
      <c r="M7" s="102">
        <v>0.30853143976571901</v>
      </c>
      <c r="N7" s="102">
        <v>-0.30631610665828601</v>
      </c>
      <c r="O7" s="102">
        <v>0.434765691519235</v>
      </c>
      <c r="P7" s="4">
        <f t="shared" si="3"/>
        <v>-0.30853143976571901</v>
      </c>
      <c r="Q7" s="4">
        <f t="shared" si="0"/>
        <v>0.30631610665828601</v>
      </c>
      <c r="R7" s="4">
        <f t="shared" si="4"/>
        <v>-1.3810665828600799E-4</v>
      </c>
      <c r="S7">
        <v>6.6038049999999997E-6</v>
      </c>
      <c r="T7">
        <v>2.3132159999999999E-5</v>
      </c>
      <c r="U7">
        <v>0.99997800000000003</v>
      </c>
      <c r="V7">
        <v>0.307521507728162</v>
      </c>
      <c r="W7">
        <v>-0.307521507728162</v>
      </c>
      <c r="X7">
        <v>6000</v>
      </c>
      <c r="Y7">
        <v>16</v>
      </c>
      <c r="Z7">
        <v>1</v>
      </c>
      <c r="AA7">
        <v>1</v>
      </c>
      <c r="AB7">
        <v>1</v>
      </c>
      <c r="AC7">
        <v>0.01</v>
      </c>
      <c r="AD7">
        <v>16</v>
      </c>
      <c r="AE7">
        <v>0</v>
      </c>
      <c r="AF7">
        <v>0</v>
      </c>
      <c r="AG7">
        <v>555.79999999999995</v>
      </c>
      <c r="AH7" t="s">
        <v>166</v>
      </c>
    </row>
    <row r="8" spans="1:34" x14ac:dyDescent="0.3">
      <c r="A8">
        <v>45</v>
      </c>
      <c r="B8">
        <v>0.2</v>
      </c>
      <c r="C8">
        <v>45</v>
      </c>
      <c r="D8">
        <v>5</v>
      </c>
      <c r="E8">
        <v>0.2</v>
      </c>
      <c r="F8" t="s">
        <v>26</v>
      </c>
      <c r="G8">
        <f t="shared" si="1"/>
        <v>-3.3209989493060421E-3</v>
      </c>
      <c r="H8">
        <f t="shared" si="2"/>
        <v>-3.5349454112439949E-3</v>
      </c>
      <c r="I8" s="99">
        <v>0.2</v>
      </c>
      <c r="J8" s="99">
        <v>0.30573099999999998</v>
      </c>
      <c r="K8" s="99">
        <v>-0.30931199999999998</v>
      </c>
      <c r="L8" s="99">
        <v>0.43490800000000002</v>
      </c>
      <c r="M8" s="102">
        <v>0.30905199894930602</v>
      </c>
      <c r="N8" s="102">
        <v>-0.30577705458875598</v>
      </c>
      <c r="O8" s="102">
        <v>0.43475596047384701</v>
      </c>
      <c r="P8" s="4">
        <f t="shared" si="3"/>
        <v>-0.30905199894930602</v>
      </c>
      <c r="Q8" s="4">
        <f t="shared" si="0"/>
        <v>0.30577705458875598</v>
      </c>
      <c r="R8" s="4">
        <f t="shared" si="4"/>
        <v>-4.6054588756005987E-5</v>
      </c>
      <c r="S8">
        <v>8.4921729999999992E-6</v>
      </c>
      <c r="T8">
        <v>3.8932030000000001E-5</v>
      </c>
      <c r="U8">
        <v>0.99996300000000005</v>
      </c>
      <c r="V8">
        <v>0.307521507728162</v>
      </c>
      <c r="W8">
        <v>-0.307521507728162</v>
      </c>
      <c r="X8">
        <v>6000</v>
      </c>
      <c r="Y8">
        <v>16</v>
      </c>
      <c r="Z8">
        <v>1</v>
      </c>
      <c r="AA8">
        <v>1</v>
      </c>
      <c r="AB8">
        <v>1</v>
      </c>
      <c r="AC8">
        <v>0.01</v>
      </c>
      <c r="AD8">
        <v>16</v>
      </c>
      <c r="AE8">
        <v>0</v>
      </c>
      <c r="AF8">
        <v>0</v>
      </c>
      <c r="AG8">
        <v>560.5</v>
      </c>
      <c r="AH8" t="s">
        <v>167</v>
      </c>
    </row>
    <row r="9" spans="1:34" x14ac:dyDescent="0.3">
      <c r="A9">
        <v>45</v>
      </c>
      <c r="B9">
        <v>0.3</v>
      </c>
      <c r="C9">
        <v>45</v>
      </c>
      <c r="D9">
        <v>6</v>
      </c>
      <c r="E9">
        <v>0.3</v>
      </c>
      <c r="F9" t="s">
        <v>26</v>
      </c>
      <c r="G9">
        <f t="shared" si="1"/>
        <v>-6.6472751895749749E-3</v>
      </c>
      <c r="H9">
        <f t="shared" si="2"/>
        <v>-6.1582553597139822E-3</v>
      </c>
      <c r="I9" s="99">
        <v>0.3</v>
      </c>
      <c r="J9" s="99">
        <v>0.30483500000000002</v>
      </c>
      <c r="K9" s="99">
        <v>-0.31020799999999998</v>
      </c>
      <c r="L9" s="99">
        <v>0.43491800000000003</v>
      </c>
      <c r="M9" s="102">
        <v>0.311482275189575</v>
      </c>
      <c r="N9" s="102">
        <v>-0.304049744640286</v>
      </c>
      <c r="O9" s="102">
        <v>0.43527859466449498</v>
      </c>
      <c r="P9" s="4">
        <f t="shared" si="3"/>
        <v>-0.311482275189575</v>
      </c>
      <c r="Q9" s="4">
        <f t="shared" si="0"/>
        <v>0.304049744640286</v>
      </c>
      <c r="R9" s="4">
        <f t="shared" si="4"/>
        <v>7.8525535971402105E-4</v>
      </c>
      <c r="S9">
        <v>1.207952E-5</v>
      </c>
      <c r="T9">
        <v>7.8785119999999994E-5</v>
      </c>
      <c r="U9">
        <v>0.99992700000000001</v>
      </c>
      <c r="V9">
        <v>0.307521507728162</v>
      </c>
      <c r="W9">
        <v>-0.307521507728162</v>
      </c>
      <c r="X9">
        <v>6000</v>
      </c>
      <c r="Y9">
        <v>16</v>
      </c>
      <c r="Z9">
        <v>1</v>
      </c>
      <c r="AA9">
        <v>1</v>
      </c>
      <c r="AB9">
        <v>1</v>
      </c>
      <c r="AC9">
        <v>0.01</v>
      </c>
      <c r="AD9">
        <v>16</v>
      </c>
      <c r="AE9">
        <v>0</v>
      </c>
      <c r="AF9">
        <v>0</v>
      </c>
      <c r="AG9">
        <v>558.9</v>
      </c>
      <c r="AH9" t="s">
        <v>168</v>
      </c>
    </row>
    <row r="10" spans="1:34" x14ac:dyDescent="0.3">
      <c r="A10">
        <v>45</v>
      </c>
      <c r="B10">
        <v>0.4</v>
      </c>
      <c r="C10">
        <v>45</v>
      </c>
      <c r="D10">
        <v>7</v>
      </c>
      <c r="E10">
        <v>0.4</v>
      </c>
      <c r="F10" t="s">
        <v>26</v>
      </c>
      <c r="G10">
        <f t="shared" si="1"/>
        <v>-7.543768549670038E-3</v>
      </c>
      <c r="H10">
        <f t="shared" si="2"/>
        <v>-7.4321703765060088E-3</v>
      </c>
      <c r="I10" s="99">
        <v>0.4</v>
      </c>
      <c r="J10" s="99">
        <v>0.30393999999999999</v>
      </c>
      <c r="K10" s="99">
        <v>-0.31110300000000002</v>
      </c>
      <c r="L10" s="99">
        <v>0.43493100000000001</v>
      </c>
      <c r="M10" s="102">
        <v>0.31148376854967003</v>
      </c>
      <c r="N10" s="102">
        <v>-0.30367082962349401</v>
      </c>
      <c r="O10" s="102">
        <v>0.43501506966325398</v>
      </c>
      <c r="P10" s="4">
        <f t="shared" si="3"/>
        <v>-0.31148376854967003</v>
      </c>
      <c r="Q10" s="4">
        <f t="shared" si="0"/>
        <v>0.30367082962349401</v>
      </c>
      <c r="R10" s="4">
        <f t="shared" si="4"/>
        <v>2.691703765059783E-4</v>
      </c>
      <c r="S10">
        <v>1.546696E-5</v>
      </c>
      <c r="T10">
        <v>1.2694989999999999E-4</v>
      </c>
      <c r="U10">
        <v>0.99987999999999999</v>
      </c>
      <c r="V10">
        <v>0.307521507728162</v>
      </c>
      <c r="W10">
        <v>-0.307521507728162</v>
      </c>
      <c r="X10">
        <v>6000</v>
      </c>
      <c r="Y10">
        <v>16</v>
      </c>
      <c r="Z10">
        <v>1</v>
      </c>
      <c r="AA10">
        <v>1</v>
      </c>
      <c r="AB10">
        <v>1</v>
      </c>
      <c r="AC10">
        <v>0.01</v>
      </c>
      <c r="AD10">
        <v>16</v>
      </c>
      <c r="AE10">
        <v>0</v>
      </c>
      <c r="AF10">
        <v>0</v>
      </c>
      <c r="AG10">
        <v>552.9</v>
      </c>
      <c r="AH10" t="s">
        <v>169</v>
      </c>
    </row>
    <row r="11" spans="1:34" x14ac:dyDescent="0.3">
      <c r="A11">
        <v>45</v>
      </c>
      <c r="B11">
        <v>0.5</v>
      </c>
      <c r="C11">
        <v>45</v>
      </c>
      <c r="D11">
        <v>8</v>
      </c>
      <c r="E11">
        <v>0.5</v>
      </c>
      <c r="F11" t="s">
        <v>26</v>
      </c>
      <c r="G11">
        <f t="shared" si="1"/>
        <v>-8.6626521675269852E-3</v>
      </c>
      <c r="H11">
        <f t="shared" si="2"/>
        <v>-9.0015317128320227E-3</v>
      </c>
      <c r="I11" s="99">
        <v>0.5</v>
      </c>
      <c r="J11" s="99">
        <v>0.30304500000000001</v>
      </c>
      <c r="K11" s="99">
        <v>-0.311998</v>
      </c>
      <c r="L11" s="99">
        <v>0.43494699999999997</v>
      </c>
      <c r="M11" s="102">
        <v>0.31170765216752699</v>
      </c>
      <c r="N11" s="102">
        <v>-0.30299646828716797</v>
      </c>
      <c r="O11" s="102">
        <v>0.43470509568475202</v>
      </c>
      <c r="P11" s="4">
        <f t="shared" si="3"/>
        <v>-0.31170765216752699</v>
      </c>
      <c r="Q11" s="4">
        <f t="shared" si="0"/>
        <v>0.30299646828716797</v>
      </c>
      <c r="R11" s="4">
        <f t="shared" si="4"/>
        <v>4.8531712832033946E-5</v>
      </c>
      <c r="S11">
        <v>1.879642E-5</v>
      </c>
      <c r="T11">
        <v>1.845793E-4</v>
      </c>
      <c r="U11">
        <v>0.99982300000000002</v>
      </c>
      <c r="V11">
        <v>0.307521507728162</v>
      </c>
      <c r="W11">
        <v>-0.307521507728162</v>
      </c>
      <c r="X11">
        <v>6000</v>
      </c>
      <c r="Y11">
        <v>16</v>
      </c>
      <c r="Z11">
        <v>1</v>
      </c>
      <c r="AA11">
        <v>1</v>
      </c>
      <c r="AB11">
        <v>1</v>
      </c>
      <c r="AC11">
        <v>0.01</v>
      </c>
      <c r="AD11">
        <v>16</v>
      </c>
      <c r="AE11">
        <v>0</v>
      </c>
      <c r="AF11">
        <v>0</v>
      </c>
      <c r="AG11">
        <v>551.6</v>
      </c>
      <c r="AH11" t="s">
        <v>170</v>
      </c>
    </row>
    <row r="12" spans="1:34" x14ac:dyDescent="0.3">
      <c r="A12">
        <v>45</v>
      </c>
      <c r="B12">
        <v>0.6</v>
      </c>
      <c r="C12">
        <v>45</v>
      </c>
      <c r="D12">
        <v>9</v>
      </c>
      <c r="E12">
        <v>0.6</v>
      </c>
      <c r="F12" t="s">
        <v>26</v>
      </c>
      <c r="G12">
        <f t="shared" si="1"/>
        <v>-1.0127772247356004E-2</v>
      </c>
      <c r="H12">
        <f t="shared" si="2"/>
        <v>-1.0781125906687006E-2</v>
      </c>
      <c r="I12" s="99">
        <v>0.6</v>
      </c>
      <c r="J12" s="99">
        <v>0.302149</v>
      </c>
      <c r="K12" s="99">
        <v>-0.31289400000000001</v>
      </c>
      <c r="L12" s="99">
        <v>0.43496699999999999</v>
      </c>
      <c r="M12" s="102">
        <v>0.312276772247356</v>
      </c>
      <c r="N12" s="102">
        <v>-0.302112874093313</v>
      </c>
      <c r="O12" s="102">
        <v>0.43449852839583802</v>
      </c>
      <c r="P12" s="4">
        <f t="shared" si="3"/>
        <v>-0.312276772247356</v>
      </c>
      <c r="Q12" s="4">
        <f t="shared" si="0"/>
        <v>0.302112874093313</v>
      </c>
      <c r="R12" s="4">
        <f t="shared" si="4"/>
        <v>3.6125906687001219E-5</v>
      </c>
      <c r="S12">
        <v>2.2139919999999999E-5</v>
      </c>
      <c r="T12">
        <v>2.5545400000000001E-4</v>
      </c>
      <c r="U12">
        <v>0.99975499999999995</v>
      </c>
      <c r="V12">
        <v>0.307521507728162</v>
      </c>
      <c r="W12">
        <v>-0.307521507728162</v>
      </c>
      <c r="X12">
        <v>6000</v>
      </c>
      <c r="Y12">
        <v>16</v>
      </c>
      <c r="Z12">
        <v>1</v>
      </c>
      <c r="AA12">
        <v>1</v>
      </c>
      <c r="AB12">
        <v>1</v>
      </c>
      <c r="AC12">
        <v>0.01</v>
      </c>
      <c r="AD12">
        <v>16</v>
      </c>
      <c r="AE12">
        <v>0</v>
      </c>
      <c r="AF12">
        <v>0</v>
      </c>
      <c r="AG12">
        <v>551.5</v>
      </c>
      <c r="AH12" t="s">
        <v>171</v>
      </c>
    </row>
    <row r="13" spans="1:34" x14ac:dyDescent="0.3">
      <c r="A13">
        <v>45</v>
      </c>
      <c r="B13">
        <v>0.8</v>
      </c>
      <c r="C13">
        <v>45</v>
      </c>
      <c r="D13">
        <v>10</v>
      </c>
      <c r="E13">
        <v>0.8</v>
      </c>
      <c r="F13" t="s">
        <v>26</v>
      </c>
      <c r="G13">
        <f t="shared" si="1"/>
        <v>-1.3437350831923989E-2</v>
      </c>
      <c r="H13">
        <f t="shared" si="2"/>
        <v>-1.4520265554721967E-2</v>
      </c>
      <c r="I13" s="99">
        <v>0.8</v>
      </c>
      <c r="J13" s="99">
        <v>0.30035800000000001</v>
      </c>
      <c r="K13" s="99">
        <v>-0.31468499999999999</v>
      </c>
      <c r="L13" s="99">
        <v>0.43501899999999999</v>
      </c>
      <c r="M13" s="102">
        <v>0.313795350831924</v>
      </c>
      <c r="N13" s="102">
        <v>-0.30016473444527803</v>
      </c>
      <c r="O13" s="102">
        <v>0.43424231715521999</v>
      </c>
      <c r="P13" s="4">
        <f t="shared" si="3"/>
        <v>-0.313795350831924</v>
      </c>
      <c r="Q13" s="4">
        <f t="shared" si="0"/>
        <v>0.30016473444527803</v>
      </c>
      <c r="R13" s="4">
        <f t="shared" si="4"/>
        <v>1.9326555472198859E-4</v>
      </c>
      <c r="S13">
        <v>2.8975129999999998E-5</v>
      </c>
      <c r="T13">
        <v>4.4176000000000003E-4</v>
      </c>
      <c r="U13">
        <v>0.999579</v>
      </c>
      <c r="V13">
        <v>0.307521507728162</v>
      </c>
      <c r="W13">
        <v>-0.307521507728162</v>
      </c>
      <c r="X13">
        <v>6000</v>
      </c>
      <c r="Y13">
        <v>16</v>
      </c>
      <c r="Z13">
        <v>1</v>
      </c>
      <c r="AA13">
        <v>1</v>
      </c>
      <c r="AB13">
        <v>1</v>
      </c>
      <c r="AC13">
        <v>0.01</v>
      </c>
      <c r="AD13">
        <v>16</v>
      </c>
      <c r="AE13">
        <v>0</v>
      </c>
      <c r="AF13">
        <v>0</v>
      </c>
      <c r="AG13">
        <v>547.9</v>
      </c>
      <c r="AH13" t="s">
        <v>172</v>
      </c>
    </row>
    <row r="14" spans="1:34" x14ac:dyDescent="0.3">
      <c r="A14">
        <v>45</v>
      </c>
      <c r="B14">
        <v>1</v>
      </c>
      <c r="C14">
        <v>45</v>
      </c>
      <c r="D14">
        <v>11</v>
      </c>
      <c r="E14">
        <v>1</v>
      </c>
      <c r="F14" t="s">
        <v>26</v>
      </c>
      <c r="G14">
        <f t="shared" si="1"/>
        <v>-1.6708191915018988E-2</v>
      </c>
      <c r="H14">
        <f t="shared" si="2"/>
        <v>-1.8304071001238986E-2</v>
      </c>
      <c r="I14" s="99">
        <v>1</v>
      </c>
      <c r="J14" s="99">
        <v>0.298568</v>
      </c>
      <c r="K14" s="99">
        <v>-0.31647500000000001</v>
      </c>
      <c r="L14" s="99">
        <v>0.435085</v>
      </c>
      <c r="M14" s="102">
        <v>0.31527619191501899</v>
      </c>
      <c r="N14" s="102">
        <v>-0.29817092899876102</v>
      </c>
      <c r="O14" s="102">
        <v>0.43394121731914398</v>
      </c>
      <c r="P14" s="4">
        <f t="shared" si="3"/>
        <v>-0.31527619191501899</v>
      </c>
      <c r="Q14" s="4">
        <f t="shared" si="0"/>
        <v>0.29817092899876102</v>
      </c>
      <c r="R14" s="4">
        <f t="shared" si="4"/>
        <v>3.9707100123897998E-4</v>
      </c>
      <c r="S14">
        <v>3.5637879999999998E-5</v>
      </c>
      <c r="T14">
        <v>6.7495779999999996E-4</v>
      </c>
      <c r="U14">
        <v>0.999359</v>
      </c>
      <c r="V14">
        <v>0.307521507728162</v>
      </c>
      <c r="W14">
        <v>-0.307521507728162</v>
      </c>
      <c r="X14">
        <v>6000</v>
      </c>
      <c r="Y14">
        <v>16</v>
      </c>
      <c r="Z14">
        <v>1</v>
      </c>
      <c r="AA14">
        <v>1</v>
      </c>
      <c r="AB14">
        <v>1</v>
      </c>
      <c r="AC14">
        <v>0.01</v>
      </c>
      <c r="AD14">
        <v>16</v>
      </c>
      <c r="AE14">
        <v>0</v>
      </c>
      <c r="AF14">
        <v>0</v>
      </c>
      <c r="AG14">
        <v>548.70000000000005</v>
      </c>
      <c r="AH14" t="s">
        <v>173</v>
      </c>
    </row>
    <row r="15" spans="1:34" x14ac:dyDescent="0.3">
      <c r="A15">
        <v>45</v>
      </c>
      <c r="B15">
        <v>1.5</v>
      </c>
      <c r="C15">
        <v>45</v>
      </c>
      <c r="D15">
        <v>12</v>
      </c>
      <c r="E15">
        <v>1.5</v>
      </c>
      <c r="F15" t="s">
        <v>26</v>
      </c>
      <c r="G15">
        <f t="shared" si="1"/>
        <v>-2.4582821212129013E-2</v>
      </c>
      <c r="H15">
        <f t="shared" si="2"/>
        <v>-2.7856024576949023E-2</v>
      </c>
      <c r="I15" s="99">
        <v>1.5</v>
      </c>
      <c r="J15" s="99">
        <v>0.29409099999999999</v>
      </c>
      <c r="K15" s="99">
        <v>-0.32095200000000002</v>
      </c>
      <c r="L15" s="99">
        <v>0.43531599999999998</v>
      </c>
      <c r="M15" s="102">
        <v>0.318673821212129</v>
      </c>
      <c r="N15" s="102">
        <v>-0.29309597542305099</v>
      </c>
      <c r="O15" s="102">
        <v>0.43296449639102003</v>
      </c>
      <c r="P15" s="4">
        <f t="shared" si="3"/>
        <v>-0.318673821212129</v>
      </c>
      <c r="Q15" s="4">
        <f t="shared" si="0"/>
        <v>0.29309597542305099</v>
      </c>
      <c r="R15" s="4">
        <f t="shared" si="4"/>
        <v>9.950245769489996E-4</v>
      </c>
      <c r="S15">
        <v>5.0974119999999998E-5</v>
      </c>
      <c r="T15">
        <v>1.408767E-3</v>
      </c>
      <c r="U15">
        <v>0.99867300000000003</v>
      </c>
      <c r="V15">
        <v>0.307521507728162</v>
      </c>
      <c r="W15">
        <v>-0.307521507728162</v>
      </c>
      <c r="X15">
        <v>6000</v>
      </c>
      <c r="Y15">
        <v>16</v>
      </c>
      <c r="Z15">
        <v>1</v>
      </c>
      <c r="AA15">
        <v>1</v>
      </c>
      <c r="AB15">
        <v>1</v>
      </c>
      <c r="AC15">
        <v>0.01</v>
      </c>
      <c r="AD15">
        <v>16</v>
      </c>
      <c r="AE15">
        <v>0</v>
      </c>
      <c r="AF15">
        <v>0</v>
      </c>
      <c r="AG15">
        <v>544.1</v>
      </c>
      <c r="AH15" t="s">
        <v>174</v>
      </c>
    </row>
    <row r="16" spans="1:34" x14ac:dyDescent="0.3">
      <c r="A16">
        <v>45</v>
      </c>
      <c r="B16">
        <v>2</v>
      </c>
      <c r="C16">
        <v>45</v>
      </c>
      <c r="D16">
        <v>13</v>
      </c>
      <c r="E16">
        <v>2</v>
      </c>
      <c r="F16" t="s">
        <v>26</v>
      </c>
      <c r="G16">
        <f t="shared" si="1"/>
        <v>-3.201328092143102E-2</v>
      </c>
      <c r="H16">
        <f t="shared" si="2"/>
        <v>-3.7481938734005016E-2</v>
      </c>
      <c r="I16" s="99">
        <v>2</v>
      </c>
      <c r="J16" s="99">
        <v>0.28961399999999998</v>
      </c>
      <c r="K16" s="99">
        <v>-0.32542900000000002</v>
      </c>
      <c r="L16" s="99">
        <v>0.43563800000000003</v>
      </c>
      <c r="M16" s="102">
        <v>0.321627280921431</v>
      </c>
      <c r="N16" s="102">
        <v>-0.28794706126599501</v>
      </c>
      <c r="O16" s="102">
        <v>0.43169157731491098</v>
      </c>
      <c r="P16" s="4">
        <f t="shared" si="3"/>
        <v>-0.321627280921431</v>
      </c>
      <c r="Q16" s="4">
        <f t="shared" si="0"/>
        <v>0.28794706126599501</v>
      </c>
      <c r="R16" s="4">
        <f t="shared" si="4"/>
        <v>1.6669387340049746E-3</v>
      </c>
      <c r="S16">
        <v>6.4640619999999994E-5</v>
      </c>
      <c r="T16">
        <v>2.3084960000000002E-3</v>
      </c>
      <c r="U16">
        <v>0.99783999999999995</v>
      </c>
      <c r="V16">
        <v>0.307521507728162</v>
      </c>
      <c r="W16">
        <v>-0.307521507728162</v>
      </c>
      <c r="X16">
        <v>6000</v>
      </c>
      <c r="Y16">
        <v>16</v>
      </c>
      <c r="Z16">
        <v>1</v>
      </c>
      <c r="AA16">
        <v>1</v>
      </c>
      <c r="AB16">
        <v>1</v>
      </c>
      <c r="AC16">
        <v>0.01</v>
      </c>
      <c r="AD16">
        <v>16</v>
      </c>
      <c r="AE16">
        <v>0</v>
      </c>
      <c r="AF16">
        <v>0</v>
      </c>
      <c r="AG16">
        <v>561.79999999999995</v>
      </c>
      <c r="AH16" t="s">
        <v>175</v>
      </c>
    </row>
    <row r="17" spans="1:34" x14ac:dyDescent="0.3">
      <c r="A17">
        <v>45</v>
      </c>
      <c r="B17">
        <v>3</v>
      </c>
      <c r="C17">
        <v>45</v>
      </c>
      <c r="D17">
        <v>14</v>
      </c>
      <c r="E17">
        <v>3</v>
      </c>
      <c r="F17" t="s">
        <v>26</v>
      </c>
      <c r="G17">
        <f t="shared" si="1"/>
        <v>-4.5703101445636996E-2</v>
      </c>
      <c r="H17">
        <f t="shared" si="2"/>
        <v>-5.6732114939494982E-2</v>
      </c>
      <c r="I17" s="99">
        <v>3</v>
      </c>
      <c r="J17" s="99">
        <v>0.28066000000000002</v>
      </c>
      <c r="K17" s="99">
        <v>-0.33438299999999999</v>
      </c>
      <c r="L17" s="99">
        <v>0.43655699999999997</v>
      </c>
      <c r="M17" s="102">
        <v>0.32636310144563702</v>
      </c>
      <c r="N17" s="102">
        <v>-0.277650885060505</v>
      </c>
      <c r="O17" s="102">
        <v>0.42848907566015898</v>
      </c>
      <c r="P17" s="4">
        <f t="shared" si="3"/>
        <v>-0.32636310144563702</v>
      </c>
      <c r="Q17" s="4">
        <f t="shared" si="0"/>
        <v>0.277650885060505</v>
      </c>
      <c r="R17" s="4">
        <f t="shared" si="4"/>
        <v>3.0091149394950167E-3</v>
      </c>
      <c r="S17">
        <v>8.7929200000000005E-5</v>
      </c>
      <c r="T17">
        <v>4.4126790000000001E-3</v>
      </c>
      <c r="U17">
        <v>0.99593399999999999</v>
      </c>
      <c r="V17">
        <v>0.307521507728162</v>
      </c>
      <c r="W17">
        <v>-0.307521507728162</v>
      </c>
      <c r="X17">
        <v>6000</v>
      </c>
      <c r="Y17">
        <v>16</v>
      </c>
      <c r="Z17">
        <v>1</v>
      </c>
      <c r="AA17">
        <v>1</v>
      </c>
      <c r="AB17">
        <v>1</v>
      </c>
      <c r="AC17">
        <v>0.01</v>
      </c>
      <c r="AD17">
        <v>16</v>
      </c>
      <c r="AE17">
        <v>0</v>
      </c>
      <c r="AF17">
        <v>0</v>
      </c>
      <c r="AG17">
        <v>556.1</v>
      </c>
      <c r="AH17" t="s">
        <v>176</v>
      </c>
    </row>
    <row r="18" spans="1:34" x14ac:dyDescent="0.3">
      <c r="A18">
        <v>45</v>
      </c>
      <c r="B18">
        <v>4</v>
      </c>
      <c r="C18">
        <v>45</v>
      </c>
      <c r="D18">
        <v>15</v>
      </c>
      <c r="E18">
        <v>4</v>
      </c>
      <c r="F18" t="s">
        <v>26</v>
      </c>
      <c r="G18">
        <f t="shared" si="1"/>
        <v>-5.8100674053030987E-2</v>
      </c>
      <c r="H18">
        <f t="shared" si="2"/>
        <v>-7.5705287722338976E-2</v>
      </c>
      <c r="I18" s="99">
        <v>4</v>
      </c>
      <c r="J18" s="99">
        <v>0.271706</v>
      </c>
      <c r="K18" s="99">
        <v>-0.343337</v>
      </c>
      <c r="L18" s="99">
        <v>0.43784099999999998</v>
      </c>
      <c r="M18" s="102">
        <v>0.32980667405303099</v>
      </c>
      <c r="N18" s="102">
        <v>-0.26763171227766103</v>
      </c>
      <c r="O18" s="102">
        <v>0.424734241222196</v>
      </c>
      <c r="P18" s="4">
        <f t="shared" si="3"/>
        <v>-0.32980667405303099</v>
      </c>
      <c r="Q18" s="4">
        <f t="shared" si="0"/>
        <v>0.26763171227766103</v>
      </c>
      <c r="R18" s="4">
        <f t="shared" si="4"/>
        <v>4.0742877223389762E-3</v>
      </c>
      <c r="S18">
        <v>1.069419E-4</v>
      </c>
      <c r="T18">
        <v>6.6337660000000001E-3</v>
      </c>
      <c r="U18">
        <v>0.99389099999999997</v>
      </c>
      <c r="V18">
        <v>0.307521507728162</v>
      </c>
      <c r="W18">
        <v>-0.307521507728162</v>
      </c>
      <c r="X18">
        <v>6000</v>
      </c>
      <c r="Y18">
        <v>16</v>
      </c>
      <c r="Z18">
        <v>1</v>
      </c>
      <c r="AA18">
        <v>1</v>
      </c>
      <c r="AB18">
        <v>1</v>
      </c>
      <c r="AC18">
        <v>0.01</v>
      </c>
      <c r="AD18">
        <v>16</v>
      </c>
      <c r="AE18">
        <v>0</v>
      </c>
      <c r="AF18">
        <v>0</v>
      </c>
      <c r="AG18">
        <v>559.5</v>
      </c>
      <c r="AH18" t="s">
        <v>177</v>
      </c>
    </row>
    <row r="19" spans="1:34" x14ac:dyDescent="0.3">
      <c r="A19">
        <v>45</v>
      </c>
      <c r="B19">
        <v>6</v>
      </c>
      <c r="C19">
        <v>45</v>
      </c>
      <c r="D19">
        <v>16</v>
      </c>
      <c r="E19">
        <v>6</v>
      </c>
      <c r="F19" t="s">
        <v>26</v>
      </c>
      <c r="G19">
        <f t="shared" si="1"/>
        <v>-8.0084312800747015E-2</v>
      </c>
      <c r="H19">
        <f t="shared" si="2"/>
        <v>-0.11229209949744501</v>
      </c>
      <c r="I19" s="99">
        <v>6</v>
      </c>
      <c r="J19" s="99">
        <v>0.253799</v>
      </c>
      <c r="K19" s="99">
        <v>-0.36124400000000001</v>
      </c>
      <c r="L19" s="99">
        <v>0.44148799999999999</v>
      </c>
      <c r="M19" s="102">
        <v>0.33388331280074701</v>
      </c>
      <c r="N19" s="102">
        <v>-0.248951900502555</v>
      </c>
      <c r="O19" s="102">
        <v>0.41647942966085999</v>
      </c>
      <c r="P19" s="4">
        <f t="shared" si="3"/>
        <v>-0.33388331280074701</v>
      </c>
      <c r="Q19" s="4">
        <f t="shared" si="0"/>
        <v>0.248951900502555</v>
      </c>
      <c r="R19" s="4">
        <f t="shared" si="4"/>
        <v>4.8470994974449955E-3</v>
      </c>
      <c r="S19">
        <v>1.359419E-4</v>
      </c>
      <c r="T19">
        <v>1.1131240000000001E-2</v>
      </c>
      <c r="U19">
        <v>0.989761</v>
      </c>
      <c r="V19">
        <v>0.307521507728162</v>
      </c>
      <c r="W19">
        <v>-0.307521507728162</v>
      </c>
      <c r="X19">
        <v>6000</v>
      </c>
      <c r="Y19">
        <v>16</v>
      </c>
      <c r="Z19">
        <v>1</v>
      </c>
      <c r="AA19">
        <v>1</v>
      </c>
      <c r="AB19">
        <v>1</v>
      </c>
      <c r="AC19">
        <v>0.01</v>
      </c>
      <c r="AD19">
        <v>16</v>
      </c>
      <c r="AE19">
        <v>0</v>
      </c>
      <c r="AF19">
        <v>0</v>
      </c>
      <c r="AG19">
        <v>553.79999999999995</v>
      </c>
      <c r="AH19" t="s">
        <v>178</v>
      </c>
    </row>
    <row r="20" spans="1:34" x14ac:dyDescent="0.3">
      <c r="A20">
        <v>45</v>
      </c>
      <c r="B20">
        <v>8</v>
      </c>
      <c r="C20">
        <v>45</v>
      </c>
      <c r="D20">
        <v>17</v>
      </c>
      <c r="E20">
        <v>8</v>
      </c>
      <c r="F20" t="s">
        <v>26</v>
      </c>
      <c r="G20">
        <f t="shared" si="1"/>
        <v>-9.9563470721614006E-2</v>
      </c>
      <c r="H20">
        <f t="shared" si="2"/>
        <v>-0.146968815763622</v>
      </c>
      <c r="I20" s="100">
        <v>8</v>
      </c>
      <c r="J20" s="100">
        <v>0.23589099999999999</v>
      </c>
      <c r="K20" s="100">
        <v>-0.37915199999999999</v>
      </c>
      <c r="L20" s="100">
        <v>0.44654300000000002</v>
      </c>
      <c r="M20" s="102">
        <v>0.335454470721614</v>
      </c>
      <c r="N20" s="102">
        <v>-0.23218318423637799</v>
      </c>
      <c r="O20" s="102">
        <v>0.40796903432645798</v>
      </c>
      <c r="P20" s="4">
        <f t="shared" si="3"/>
        <v>-0.335454470721614</v>
      </c>
      <c r="Q20" s="4">
        <f t="shared" si="0"/>
        <v>0.23218318423637799</v>
      </c>
      <c r="R20" s="4">
        <f t="shared" si="4"/>
        <v>3.7078157636220022E-3</v>
      </c>
      <c r="S20">
        <v>1.5679760000000001E-4</v>
      </c>
      <c r="T20">
        <v>1.504773E-2</v>
      </c>
      <c r="U20">
        <v>0.98582099999999995</v>
      </c>
      <c r="V20">
        <v>0.307521507728162</v>
      </c>
      <c r="W20">
        <v>-0.307521507728162</v>
      </c>
      <c r="X20">
        <v>6000</v>
      </c>
      <c r="Y20">
        <v>16</v>
      </c>
      <c r="Z20">
        <v>1</v>
      </c>
      <c r="AA20">
        <v>1</v>
      </c>
      <c r="AB20">
        <v>1</v>
      </c>
      <c r="AC20">
        <v>0.01</v>
      </c>
      <c r="AD20">
        <v>16</v>
      </c>
      <c r="AE20">
        <v>0</v>
      </c>
      <c r="AF20">
        <v>0</v>
      </c>
      <c r="AG20">
        <v>561</v>
      </c>
      <c r="AH20" t="s">
        <v>179</v>
      </c>
    </row>
    <row r="21" spans="1:34" x14ac:dyDescent="0.3">
      <c r="P21" s="4" t="s">
        <v>184</v>
      </c>
      <c r="Q21" s="4" t="s">
        <v>183</v>
      </c>
      <c r="T21" s="44"/>
    </row>
  </sheetData>
  <sortState xmlns:xlrd2="http://schemas.microsoft.com/office/spreadsheetml/2017/richdata2" ref="A3:AH38">
    <sortCondition ref="A3:A38"/>
  </sortState>
  <hyperlinks>
    <hyperlink ref="J1" r:id="rId1" xr:uid="{1BB8FC35-7E8B-4834-A8DE-DDD7211270B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64603-AFC4-4A61-84F6-94933A4631BF}">
  <dimension ref="A1:Y55"/>
  <sheetViews>
    <sheetView tabSelected="1" workbookViewId="0">
      <selection activeCell="K22" sqref="K22"/>
    </sheetView>
  </sheetViews>
  <sheetFormatPr defaultRowHeight="14.4" x14ac:dyDescent="0.3"/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>
        <v>-0.30732963288147902</v>
      </c>
      <c r="H2">
        <v>0.30750060973969401</v>
      </c>
      <c r="I2">
        <v>0.434750650646262</v>
      </c>
      <c r="J2">
        <v>2.7128070000000001E-9</v>
      </c>
      <c r="K2" s="44">
        <v>4.4167639999999997E-12</v>
      </c>
      <c r="L2">
        <v>1</v>
      </c>
      <c r="M2">
        <v>0.307521507728162</v>
      </c>
      <c r="N2">
        <v>-0.307521507728162</v>
      </c>
      <c r="O2">
        <v>15000</v>
      </c>
      <c r="P2">
        <v>16</v>
      </c>
      <c r="Q2">
        <v>1</v>
      </c>
      <c r="R2">
        <v>1</v>
      </c>
      <c r="S2">
        <v>1</v>
      </c>
      <c r="T2">
        <v>0.01</v>
      </c>
      <c r="U2">
        <v>16</v>
      </c>
      <c r="V2">
        <v>0</v>
      </c>
      <c r="W2">
        <v>0</v>
      </c>
      <c r="X2">
        <v>1570.7</v>
      </c>
      <c r="Y2" t="s">
        <v>186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>
        <v>0.30723035489404599</v>
      </c>
      <c r="H3">
        <v>-0.30762339897489099</v>
      </c>
      <c r="I3">
        <v>0.434767347629955</v>
      </c>
      <c r="J3">
        <v>2.6007479999999999E-9</v>
      </c>
      <c r="K3" s="44">
        <v>4.34639E-12</v>
      </c>
      <c r="L3">
        <v>1</v>
      </c>
      <c r="M3">
        <v>0.307521507728162</v>
      </c>
      <c r="N3">
        <v>-0.307521507728162</v>
      </c>
      <c r="O3">
        <v>15000</v>
      </c>
      <c r="P3">
        <v>16</v>
      </c>
      <c r="Q3">
        <v>1</v>
      </c>
      <c r="R3">
        <v>1</v>
      </c>
      <c r="S3">
        <v>1</v>
      </c>
      <c r="T3">
        <v>0.01</v>
      </c>
      <c r="U3">
        <v>16</v>
      </c>
      <c r="V3">
        <v>0</v>
      </c>
      <c r="W3">
        <v>0</v>
      </c>
      <c r="X3">
        <v>1411.9</v>
      </c>
      <c r="Y3" t="s">
        <v>162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>
        <v>-0.30731818103818498</v>
      </c>
      <c r="H4">
        <v>0.30753324403498</v>
      </c>
      <c r="I4">
        <v>0.434765638687439</v>
      </c>
      <c r="J4">
        <v>2.7239189999999999E-9</v>
      </c>
      <c r="K4" s="44">
        <v>5.54819E-12</v>
      </c>
      <c r="L4">
        <v>1</v>
      </c>
      <c r="M4">
        <v>0.307521507728162</v>
      </c>
      <c r="N4">
        <v>-0.307521507728162</v>
      </c>
      <c r="O4">
        <v>15000</v>
      </c>
      <c r="P4">
        <v>16</v>
      </c>
      <c r="Q4">
        <v>1</v>
      </c>
      <c r="R4">
        <v>1</v>
      </c>
      <c r="S4">
        <v>1</v>
      </c>
      <c r="T4">
        <v>0.01</v>
      </c>
      <c r="U4">
        <v>16</v>
      </c>
      <c r="V4">
        <v>0</v>
      </c>
      <c r="W4">
        <v>0</v>
      </c>
      <c r="X4">
        <v>1417.3</v>
      </c>
      <c r="Y4" t="s">
        <v>187</v>
      </c>
    </row>
    <row r="5" spans="1:25" x14ac:dyDescent="0.3">
      <c r="A5">
        <v>0.01</v>
      </c>
      <c r="B5">
        <v>42</v>
      </c>
      <c r="C5">
        <v>1</v>
      </c>
      <c r="D5">
        <v>0.01</v>
      </c>
      <c r="E5" t="s">
        <v>26</v>
      </c>
      <c r="F5">
        <v>0</v>
      </c>
      <c r="G5">
        <v>-0.30726456193257101</v>
      </c>
      <c r="H5">
        <v>0.30758862596563002</v>
      </c>
      <c r="I5">
        <v>0.43476691898422898</v>
      </c>
      <c r="J5">
        <v>5.4614789999999996E-7</v>
      </c>
      <c r="K5">
        <v>1.4617250000000001E-7</v>
      </c>
      <c r="L5">
        <v>1</v>
      </c>
      <c r="M5">
        <v>0.307521507728162</v>
      </c>
      <c r="N5">
        <v>-0.307521507728162</v>
      </c>
      <c r="O5">
        <v>6000</v>
      </c>
      <c r="P5">
        <v>16</v>
      </c>
      <c r="Q5">
        <v>1</v>
      </c>
      <c r="R5">
        <v>1</v>
      </c>
      <c r="S5">
        <v>1</v>
      </c>
      <c r="T5">
        <v>0.01</v>
      </c>
      <c r="U5">
        <v>16</v>
      </c>
      <c r="V5">
        <v>0</v>
      </c>
      <c r="W5">
        <v>0</v>
      </c>
      <c r="X5">
        <v>578.1</v>
      </c>
      <c r="Y5" t="s">
        <v>188</v>
      </c>
    </row>
    <row r="6" spans="1:25" x14ac:dyDescent="0.3">
      <c r="A6">
        <v>0.01</v>
      </c>
      <c r="B6">
        <v>45</v>
      </c>
      <c r="C6">
        <v>1</v>
      </c>
      <c r="D6">
        <v>0.01</v>
      </c>
      <c r="E6" t="s">
        <v>26</v>
      </c>
      <c r="F6">
        <v>0</v>
      </c>
      <c r="G6">
        <v>0.30725756436426899</v>
      </c>
      <c r="H6">
        <v>-0.30760192204916398</v>
      </c>
      <c r="I6">
        <v>0.434771380506356</v>
      </c>
      <c r="J6">
        <v>4.7580950000000001E-7</v>
      </c>
      <c r="K6">
        <v>1.1734569999999999E-7</v>
      </c>
      <c r="L6">
        <v>1</v>
      </c>
      <c r="M6">
        <v>0.307521507728162</v>
      </c>
      <c r="N6">
        <v>-0.307521507728162</v>
      </c>
      <c r="O6">
        <v>6000</v>
      </c>
      <c r="P6">
        <v>16</v>
      </c>
      <c r="Q6">
        <v>1</v>
      </c>
      <c r="R6">
        <v>1</v>
      </c>
      <c r="S6">
        <v>1</v>
      </c>
      <c r="T6">
        <v>0.01</v>
      </c>
      <c r="U6">
        <v>16</v>
      </c>
      <c r="V6">
        <v>0</v>
      </c>
      <c r="W6">
        <v>0</v>
      </c>
      <c r="X6">
        <v>567.20000000000005</v>
      </c>
      <c r="Y6" t="s">
        <v>163</v>
      </c>
    </row>
    <row r="7" spans="1:25" x14ac:dyDescent="0.3">
      <c r="A7">
        <v>0.01</v>
      </c>
      <c r="B7">
        <v>99</v>
      </c>
      <c r="C7">
        <v>1</v>
      </c>
      <c r="D7">
        <v>0.01</v>
      </c>
      <c r="E7" t="s">
        <v>26</v>
      </c>
      <c r="F7">
        <v>0</v>
      </c>
      <c r="G7">
        <v>-0.30727653113770698</v>
      </c>
      <c r="H7">
        <v>0.30757809964626098</v>
      </c>
      <c r="I7">
        <v>0.43476793116561302</v>
      </c>
      <c r="J7">
        <v>5.0928990000000004E-7</v>
      </c>
      <c r="K7">
        <v>1.042802E-7</v>
      </c>
      <c r="L7">
        <v>1</v>
      </c>
      <c r="M7">
        <v>0.307521507728162</v>
      </c>
      <c r="N7">
        <v>-0.307521507728162</v>
      </c>
      <c r="O7">
        <v>6000</v>
      </c>
      <c r="P7">
        <v>16</v>
      </c>
      <c r="Q7">
        <v>1</v>
      </c>
      <c r="R7">
        <v>1</v>
      </c>
      <c r="S7">
        <v>1</v>
      </c>
      <c r="T7">
        <v>0.01</v>
      </c>
      <c r="U7">
        <v>16</v>
      </c>
      <c r="V7">
        <v>0</v>
      </c>
      <c r="W7">
        <v>0</v>
      </c>
      <c r="X7">
        <v>562.70000000000005</v>
      </c>
      <c r="Y7" t="s">
        <v>189</v>
      </c>
    </row>
    <row r="8" spans="1:25" x14ac:dyDescent="0.3">
      <c r="A8">
        <v>0.05</v>
      </c>
      <c r="B8">
        <v>42</v>
      </c>
      <c r="C8">
        <v>2</v>
      </c>
      <c r="D8">
        <v>0.05</v>
      </c>
      <c r="E8" t="s">
        <v>26</v>
      </c>
      <c r="F8">
        <v>0.01</v>
      </c>
      <c r="G8">
        <v>-0.307603905900873</v>
      </c>
      <c r="H8">
        <v>0.30721766184384902</v>
      </c>
      <c r="I8">
        <v>0.43474458556061901</v>
      </c>
      <c r="J8">
        <v>2.6871730000000002E-6</v>
      </c>
      <c r="K8">
        <v>3.5698199999999998E-6</v>
      </c>
      <c r="L8">
        <v>0.999996</v>
      </c>
      <c r="M8">
        <v>0.307521507728162</v>
      </c>
      <c r="N8">
        <v>-0.307521507728162</v>
      </c>
      <c r="O8">
        <v>6000</v>
      </c>
      <c r="P8">
        <v>16</v>
      </c>
      <c r="Q8">
        <v>1</v>
      </c>
      <c r="R8">
        <v>1</v>
      </c>
      <c r="S8">
        <v>1</v>
      </c>
      <c r="T8">
        <v>0.01</v>
      </c>
      <c r="U8">
        <v>16</v>
      </c>
      <c r="V8">
        <v>0</v>
      </c>
      <c r="W8">
        <v>0</v>
      </c>
      <c r="X8">
        <v>568.5</v>
      </c>
      <c r="Y8" t="s">
        <v>190</v>
      </c>
    </row>
    <row r="9" spans="1:25" x14ac:dyDescent="0.3">
      <c r="A9">
        <v>0.05</v>
      </c>
      <c r="B9">
        <v>45</v>
      </c>
      <c r="C9">
        <v>2</v>
      </c>
      <c r="D9">
        <v>0.05</v>
      </c>
      <c r="E9" t="s">
        <v>26</v>
      </c>
      <c r="F9">
        <v>0.01</v>
      </c>
      <c r="G9">
        <v>0.307613868204829</v>
      </c>
      <c r="H9">
        <v>-0.30724679841967401</v>
      </c>
      <c r="I9">
        <v>0.43477222433255602</v>
      </c>
      <c r="J9">
        <v>2.3407860000000001E-6</v>
      </c>
      <c r="K9">
        <v>2.820847E-6</v>
      </c>
      <c r="L9">
        <v>0.99999700000000002</v>
      </c>
      <c r="M9">
        <v>0.307521507728162</v>
      </c>
      <c r="N9">
        <v>-0.307521507728162</v>
      </c>
      <c r="O9">
        <v>6000</v>
      </c>
      <c r="P9">
        <v>16</v>
      </c>
      <c r="Q9">
        <v>1</v>
      </c>
      <c r="R9">
        <v>1</v>
      </c>
      <c r="S9">
        <v>1</v>
      </c>
      <c r="T9">
        <v>0.01</v>
      </c>
      <c r="U9">
        <v>16</v>
      </c>
      <c r="V9">
        <v>0</v>
      </c>
      <c r="W9">
        <v>0</v>
      </c>
      <c r="X9">
        <v>550.4</v>
      </c>
      <c r="Y9" t="s">
        <v>164</v>
      </c>
    </row>
    <row r="10" spans="1:25" x14ac:dyDescent="0.3">
      <c r="A10">
        <v>0.05</v>
      </c>
      <c r="B10">
        <v>99</v>
      </c>
      <c r="C10">
        <v>2</v>
      </c>
      <c r="D10">
        <v>0.05</v>
      </c>
      <c r="E10" t="s">
        <v>26</v>
      </c>
      <c r="F10">
        <v>0.01</v>
      </c>
      <c r="G10">
        <v>-0.30764897440289701</v>
      </c>
      <c r="H10">
        <v>0.30718072373448602</v>
      </c>
      <c r="I10">
        <v>0.43475037491093299</v>
      </c>
      <c r="J10">
        <v>2.5218120000000001E-6</v>
      </c>
      <c r="K10">
        <v>2.5133320000000002E-6</v>
      </c>
      <c r="L10">
        <v>0.99999700000000002</v>
      </c>
      <c r="M10">
        <v>0.307521507728162</v>
      </c>
      <c r="N10">
        <v>-0.307521507728162</v>
      </c>
      <c r="O10">
        <v>6000</v>
      </c>
      <c r="P10">
        <v>16</v>
      </c>
      <c r="Q10">
        <v>1</v>
      </c>
      <c r="R10">
        <v>1</v>
      </c>
      <c r="S10">
        <v>1</v>
      </c>
      <c r="T10">
        <v>0.01</v>
      </c>
      <c r="U10">
        <v>16</v>
      </c>
      <c r="V10">
        <v>0</v>
      </c>
      <c r="W10">
        <v>0</v>
      </c>
      <c r="X10">
        <v>569.1</v>
      </c>
      <c r="Y10" t="s">
        <v>191</v>
      </c>
    </row>
    <row r="11" spans="1:25" x14ac:dyDescent="0.3">
      <c r="A11">
        <v>0.1</v>
      </c>
      <c r="B11">
        <v>42</v>
      </c>
      <c r="C11">
        <v>3</v>
      </c>
      <c r="D11">
        <v>0.1</v>
      </c>
      <c r="E11" t="s">
        <v>26</v>
      </c>
      <c r="F11">
        <v>0.05</v>
      </c>
      <c r="G11">
        <v>-0.308043982399967</v>
      </c>
      <c r="H11">
        <v>0.30675175978378499</v>
      </c>
      <c r="I11">
        <v>0.43472719862378101</v>
      </c>
      <c r="J11">
        <v>5.0827219999999998E-6</v>
      </c>
      <c r="K11">
        <v>1.329482E-5</v>
      </c>
      <c r="L11">
        <v>0.99998699999999996</v>
      </c>
      <c r="M11">
        <v>0.307521507728162</v>
      </c>
      <c r="N11">
        <v>-0.307521507728162</v>
      </c>
      <c r="O11">
        <v>6000</v>
      </c>
      <c r="P11">
        <v>16</v>
      </c>
      <c r="Q11">
        <v>1</v>
      </c>
      <c r="R11">
        <v>1</v>
      </c>
      <c r="S11">
        <v>1</v>
      </c>
      <c r="T11">
        <v>0.01</v>
      </c>
      <c r="U11">
        <v>16</v>
      </c>
      <c r="V11">
        <v>0</v>
      </c>
      <c r="W11">
        <v>0</v>
      </c>
      <c r="X11">
        <v>573.6</v>
      </c>
      <c r="Y11" t="s">
        <v>192</v>
      </c>
    </row>
    <row r="12" spans="1:25" x14ac:dyDescent="0.3">
      <c r="A12">
        <v>0.1</v>
      </c>
      <c r="B12">
        <v>45</v>
      </c>
      <c r="C12">
        <v>3</v>
      </c>
      <c r="D12">
        <v>0.1</v>
      </c>
      <c r="E12" t="s">
        <v>26</v>
      </c>
      <c r="F12">
        <v>0.05</v>
      </c>
      <c r="G12">
        <v>0.30804542261731299</v>
      </c>
      <c r="H12">
        <v>-0.30680187585665802</v>
      </c>
      <c r="I12">
        <v>0.434763583369908</v>
      </c>
      <c r="J12">
        <v>4.5493819999999999E-6</v>
      </c>
      <c r="K12">
        <v>1.072965E-5</v>
      </c>
      <c r="L12">
        <v>0.99998900000000002</v>
      </c>
      <c r="M12">
        <v>0.307521507728162</v>
      </c>
      <c r="N12">
        <v>-0.307521507728162</v>
      </c>
      <c r="O12">
        <v>6000</v>
      </c>
      <c r="P12">
        <v>16</v>
      </c>
      <c r="Q12">
        <v>1</v>
      </c>
      <c r="R12">
        <v>1</v>
      </c>
      <c r="S12">
        <v>1</v>
      </c>
      <c r="T12">
        <v>0.01</v>
      </c>
      <c r="U12">
        <v>16</v>
      </c>
      <c r="V12">
        <v>0</v>
      </c>
      <c r="W12">
        <v>0</v>
      </c>
      <c r="X12">
        <v>554.1</v>
      </c>
      <c r="Y12" t="s">
        <v>165</v>
      </c>
    </row>
    <row r="13" spans="1:25" x14ac:dyDescent="0.3">
      <c r="A13">
        <v>0.1</v>
      </c>
      <c r="B13">
        <v>99</v>
      </c>
      <c r="C13">
        <v>3</v>
      </c>
      <c r="D13">
        <v>0.1</v>
      </c>
      <c r="E13" t="s">
        <v>26</v>
      </c>
      <c r="F13">
        <v>0.05</v>
      </c>
      <c r="G13">
        <v>-0.308064479726044</v>
      </c>
      <c r="H13">
        <v>0.30677147663504201</v>
      </c>
      <c r="I13">
        <v>0.43475563543871698</v>
      </c>
      <c r="J13">
        <v>4.8958770000000004E-6</v>
      </c>
      <c r="K13">
        <v>9.3784199999999996E-6</v>
      </c>
      <c r="L13">
        <v>0.99998799999999999</v>
      </c>
      <c r="M13">
        <v>0.307521507728162</v>
      </c>
      <c r="N13">
        <v>-0.307521507728162</v>
      </c>
      <c r="O13">
        <v>6000</v>
      </c>
      <c r="P13">
        <v>16</v>
      </c>
      <c r="Q13">
        <v>1</v>
      </c>
      <c r="R13">
        <v>1</v>
      </c>
      <c r="S13">
        <v>1</v>
      </c>
      <c r="T13">
        <v>0.01</v>
      </c>
      <c r="U13">
        <v>16</v>
      </c>
      <c r="V13">
        <v>0</v>
      </c>
      <c r="W13">
        <v>0</v>
      </c>
      <c r="X13">
        <v>562.79999999999995</v>
      </c>
      <c r="Y13" t="s">
        <v>193</v>
      </c>
    </row>
    <row r="14" spans="1:25" x14ac:dyDescent="0.3">
      <c r="A14">
        <v>0.15</v>
      </c>
      <c r="B14">
        <v>42</v>
      </c>
      <c r="C14">
        <v>4</v>
      </c>
      <c r="D14">
        <v>0.15</v>
      </c>
      <c r="E14" t="s">
        <v>26</v>
      </c>
      <c r="F14">
        <v>0.1</v>
      </c>
      <c r="G14">
        <v>-0.30853682468949301</v>
      </c>
      <c r="H14">
        <v>0.30628668354918198</v>
      </c>
      <c r="I14">
        <v>0.434748783447443</v>
      </c>
      <c r="J14">
        <v>7.1844150000000004E-6</v>
      </c>
      <c r="K14">
        <v>2.7887149999999999E-5</v>
      </c>
      <c r="L14">
        <v>0.99997400000000003</v>
      </c>
      <c r="M14">
        <v>0.307521507728162</v>
      </c>
      <c r="N14">
        <v>-0.307521507728162</v>
      </c>
      <c r="O14">
        <v>6000</v>
      </c>
      <c r="P14">
        <v>16</v>
      </c>
      <c r="Q14">
        <v>1</v>
      </c>
      <c r="R14">
        <v>1</v>
      </c>
      <c r="S14">
        <v>1</v>
      </c>
      <c r="T14">
        <v>0.01</v>
      </c>
      <c r="U14">
        <v>16</v>
      </c>
      <c r="V14">
        <v>0</v>
      </c>
      <c r="W14">
        <v>0</v>
      </c>
      <c r="X14">
        <v>567.20000000000005</v>
      </c>
      <c r="Y14" t="s">
        <v>194</v>
      </c>
    </row>
    <row r="15" spans="1:25" x14ac:dyDescent="0.3">
      <c r="A15">
        <v>0.15</v>
      </c>
      <c r="B15">
        <v>45</v>
      </c>
      <c r="C15">
        <v>4</v>
      </c>
      <c r="D15">
        <v>0.15</v>
      </c>
      <c r="E15" t="s">
        <v>26</v>
      </c>
      <c r="F15">
        <v>0.1</v>
      </c>
      <c r="G15">
        <v>0.30853143976571901</v>
      </c>
      <c r="H15">
        <v>-0.30631610665828601</v>
      </c>
      <c r="I15">
        <v>0.434765691519235</v>
      </c>
      <c r="J15">
        <v>6.6038049999999997E-6</v>
      </c>
      <c r="K15">
        <v>2.3132159999999999E-5</v>
      </c>
      <c r="L15">
        <v>0.99997800000000003</v>
      </c>
      <c r="M15">
        <v>0.307521507728162</v>
      </c>
      <c r="N15">
        <v>-0.307521507728162</v>
      </c>
      <c r="O15">
        <v>6000</v>
      </c>
      <c r="P15">
        <v>16</v>
      </c>
      <c r="Q15">
        <v>1</v>
      </c>
      <c r="R15">
        <v>1</v>
      </c>
      <c r="S15">
        <v>1</v>
      </c>
      <c r="T15">
        <v>0.01</v>
      </c>
      <c r="U15">
        <v>16</v>
      </c>
      <c r="V15">
        <v>0</v>
      </c>
      <c r="W15">
        <v>0</v>
      </c>
      <c r="X15">
        <v>555.79999999999995</v>
      </c>
      <c r="Y15" t="s">
        <v>166</v>
      </c>
    </row>
    <row r="16" spans="1:25" x14ac:dyDescent="0.3">
      <c r="A16">
        <v>0.15</v>
      </c>
      <c r="B16">
        <v>99</v>
      </c>
      <c r="C16">
        <v>4</v>
      </c>
      <c r="D16">
        <v>0.15</v>
      </c>
      <c r="E16" t="s">
        <v>26</v>
      </c>
      <c r="F16">
        <v>0.1</v>
      </c>
      <c r="G16">
        <v>-0.308519028099634</v>
      </c>
      <c r="H16">
        <v>0.30631790150828297</v>
      </c>
      <c r="I16">
        <v>0.43475814826634501</v>
      </c>
      <c r="J16">
        <v>7.0555740000000004E-6</v>
      </c>
      <c r="K16">
        <v>1.9455080000000001E-5</v>
      </c>
      <c r="L16">
        <v>0.99997400000000003</v>
      </c>
      <c r="M16">
        <v>0.307521507728162</v>
      </c>
      <c r="N16">
        <v>-0.307521507728162</v>
      </c>
      <c r="O16">
        <v>6000</v>
      </c>
      <c r="P16">
        <v>16</v>
      </c>
      <c r="Q16">
        <v>1</v>
      </c>
      <c r="R16">
        <v>1</v>
      </c>
      <c r="S16">
        <v>1</v>
      </c>
      <c r="T16">
        <v>0.01</v>
      </c>
      <c r="U16">
        <v>16</v>
      </c>
      <c r="V16">
        <v>0</v>
      </c>
      <c r="W16">
        <v>0</v>
      </c>
      <c r="X16">
        <v>556.1</v>
      </c>
      <c r="Y16" t="s">
        <v>195</v>
      </c>
    </row>
    <row r="17" spans="1:25" x14ac:dyDescent="0.3">
      <c r="A17">
        <v>0.2</v>
      </c>
      <c r="B17">
        <v>42</v>
      </c>
      <c r="C17">
        <v>5</v>
      </c>
      <c r="D17">
        <v>0.2</v>
      </c>
      <c r="E17" t="s">
        <v>26</v>
      </c>
      <c r="F17">
        <v>0.15</v>
      </c>
      <c r="G17">
        <v>-0.30987871187746302</v>
      </c>
      <c r="H17">
        <v>0.30527547101952701</v>
      </c>
      <c r="I17">
        <v>0.43499187266089201</v>
      </c>
      <c r="J17">
        <v>9.1139820000000002E-6</v>
      </c>
      <c r="K17">
        <v>4.5958680000000003E-5</v>
      </c>
      <c r="L17">
        <v>0.99995800000000001</v>
      </c>
      <c r="M17">
        <v>0.307521507728162</v>
      </c>
      <c r="N17">
        <v>-0.307521507728162</v>
      </c>
      <c r="O17">
        <v>6000</v>
      </c>
      <c r="P17">
        <v>16</v>
      </c>
      <c r="Q17">
        <v>1</v>
      </c>
      <c r="R17">
        <v>1</v>
      </c>
      <c r="S17">
        <v>1</v>
      </c>
      <c r="T17">
        <v>0.01</v>
      </c>
      <c r="U17">
        <v>16</v>
      </c>
      <c r="V17">
        <v>0</v>
      </c>
      <c r="W17">
        <v>0</v>
      </c>
      <c r="X17">
        <v>562.6</v>
      </c>
      <c r="Y17" t="s">
        <v>196</v>
      </c>
    </row>
    <row r="18" spans="1:25" x14ac:dyDescent="0.3">
      <c r="A18">
        <v>0.2</v>
      </c>
      <c r="B18">
        <v>45</v>
      </c>
      <c r="C18">
        <v>5</v>
      </c>
      <c r="D18">
        <v>0.2</v>
      </c>
      <c r="E18" t="s">
        <v>26</v>
      </c>
      <c r="F18">
        <v>0.15</v>
      </c>
      <c r="G18">
        <v>0.30905199894930602</v>
      </c>
      <c r="H18">
        <v>-0.30577705458875598</v>
      </c>
      <c r="I18">
        <v>0.43475596047384701</v>
      </c>
      <c r="J18">
        <v>8.4921729999999992E-6</v>
      </c>
      <c r="K18">
        <v>3.8932030000000001E-5</v>
      </c>
      <c r="L18">
        <v>0.99996300000000005</v>
      </c>
      <c r="M18">
        <v>0.307521507728162</v>
      </c>
      <c r="N18">
        <v>-0.307521507728162</v>
      </c>
      <c r="O18">
        <v>6000</v>
      </c>
      <c r="P18">
        <v>16</v>
      </c>
      <c r="Q18">
        <v>1</v>
      </c>
      <c r="R18">
        <v>1</v>
      </c>
      <c r="S18">
        <v>1</v>
      </c>
      <c r="T18">
        <v>0.01</v>
      </c>
      <c r="U18">
        <v>16</v>
      </c>
      <c r="V18">
        <v>0</v>
      </c>
      <c r="W18">
        <v>0</v>
      </c>
      <c r="X18">
        <v>560.5</v>
      </c>
      <c r="Y18" t="s">
        <v>167</v>
      </c>
    </row>
    <row r="19" spans="1:25" ht="15" thickBot="1" x14ac:dyDescent="0.35">
      <c r="A19">
        <v>0.2</v>
      </c>
      <c r="B19">
        <v>99</v>
      </c>
      <c r="C19">
        <v>5</v>
      </c>
      <c r="D19">
        <v>0.2</v>
      </c>
      <c r="E19" t="s">
        <v>26</v>
      </c>
      <c r="F19">
        <v>0.15</v>
      </c>
      <c r="G19">
        <v>-0.308986425452068</v>
      </c>
      <c r="H19">
        <v>0.30584027669236302</v>
      </c>
      <c r="I19">
        <v>0.43475382224991099</v>
      </c>
      <c r="J19">
        <v>9.0493059999999997E-6</v>
      </c>
      <c r="K19">
        <v>3.2130450000000003E-5</v>
      </c>
      <c r="L19">
        <v>0.99995800000000001</v>
      </c>
      <c r="M19">
        <v>0.307521507728162</v>
      </c>
      <c r="N19">
        <v>-0.307521507728162</v>
      </c>
      <c r="O19">
        <v>6000</v>
      </c>
      <c r="P19">
        <v>16</v>
      </c>
      <c r="Q19">
        <v>1</v>
      </c>
      <c r="R19">
        <v>1</v>
      </c>
      <c r="S19">
        <v>1</v>
      </c>
      <c r="T19">
        <v>0.01</v>
      </c>
      <c r="U19">
        <v>16</v>
      </c>
      <c r="V19">
        <v>0</v>
      </c>
      <c r="W19">
        <v>0</v>
      </c>
      <c r="X19">
        <v>566.1</v>
      </c>
      <c r="Y19" t="s">
        <v>197</v>
      </c>
    </row>
    <row r="20" spans="1:25" x14ac:dyDescent="0.3">
      <c r="A20">
        <v>0.3</v>
      </c>
      <c r="B20">
        <v>42</v>
      </c>
      <c r="C20">
        <v>6</v>
      </c>
      <c r="D20">
        <v>0.3</v>
      </c>
      <c r="E20" t="s">
        <v>26</v>
      </c>
      <c r="F20">
        <v>0.2</v>
      </c>
      <c r="G20">
        <v>-0.31480960917216899</v>
      </c>
      <c r="H20" s="103">
        <v>0.30246528656044502</v>
      </c>
      <c r="I20">
        <v>0.436566535136657</v>
      </c>
      <c r="J20">
        <v>1.2807289999999999E-5</v>
      </c>
      <c r="K20">
        <v>9.1839569999999999E-5</v>
      </c>
      <c r="L20">
        <v>0.99991799999999997</v>
      </c>
      <c r="M20">
        <v>0.307521507728162</v>
      </c>
      <c r="N20">
        <v>-0.307521507728162</v>
      </c>
      <c r="O20">
        <v>6000</v>
      </c>
      <c r="P20">
        <v>16</v>
      </c>
      <c r="Q20">
        <v>1</v>
      </c>
      <c r="R20">
        <v>1</v>
      </c>
      <c r="S20">
        <v>1</v>
      </c>
      <c r="T20">
        <v>0.01</v>
      </c>
      <c r="U20">
        <v>16</v>
      </c>
      <c r="V20">
        <v>0</v>
      </c>
      <c r="W20">
        <v>0</v>
      </c>
      <c r="X20">
        <v>561</v>
      </c>
      <c r="Y20" t="s">
        <v>198</v>
      </c>
    </row>
    <row r="21" spans="1:25" x14ac:dyDescent="0.3">
      <c r="A21">
        <v>0.3</v>
      </c>
      <c r="B21">
        <v>45</v>
      </c>
      <c r="C21">
        <v>6</v>
      </c>
      <c r="D21">
        <v>0.3</v>
      </c>
      <c r="E21" t="s">
        <v>26</v>
      </c>
      <c r="F21">
        <v>0.2</v>
      </c>
      <c r="G21">
        <v>0.311482275189575</v>
      </c>
      <c r="H21" s="104">
        <v>-0.304049744640286</v>
      </c>
      <c r="I21">
        <v>0.43527859466449498</v>
      </c>
      <c r="J21">
        <v>1.207952E-5</v>
      </c>
      <c r="K21">
        <v>7.8785119999999994E-5</v>
      </c>
      <c r="L21">
        <v>0.99992700000000001</v>
      </c>
      <c r="M21">
        <v>0.307521507728162</v>
      </c>
      <c r="N21">
        <v>-0.307521507728162</v>
      </c>
      <c r="O21">
        <v>6000</v>
      </c>
      <c r="P21">
        <v>16</v>
      </c>
      <c r="Q21">
        <v>1</v>
      </c>
      <c r="R21">
        <v>1</v>
      </c>
      <c r="S21">
        <v>1</v>
      </c>
      <c r="T21">
        <v>0.01</v>
      </c>
      <c r="U21">
        <v>16</v>
      </c>
      <c r="V21">
        <v>0</v>
      </c>
      <c r="W21">
        <v>0</v>
      </c>
      <c r="X21">
        <v>558.9</v>
      </c>
      <c r="Y21" t="s">
        <v>168</v>
      </c>
    </row>
    <row r="22" spans="1:25" ht="15" thickBot="1" x14ac:dyDescent="0.35">
      <c r="A22">
        <v>0.3</v>
      </c>
      <c r="B22">
        <v>99</v>
      </c>
      <c r="C22">
        <v>6</v>
      </c>
      <c r="D22">
        <v>0.3</v>
      </c>
      <c r="E22" t="s">
        <v>26</v>
      </c>
      <c r="F22">
        <v>0.2</v>
      </c>
      <c r="G22">
        <v>-0.31125535298231899</v>
      </c>
      <c r="H22" s="105">
        <v>0.30428897048444098</v>
      </c>
      <c r="I22">
        <v>0.43528343905854</v>
      </c>
      <c r="J22">
        <v>1.2942779999999999E-5</v>
      </c>
      <c r="K22">
        <v>6.5068259999999999E-5</v>
      </c>
      <c r="L22">
        <v>0.999915</v>
      </c>
      <c r="M22">
        <v>0.307521507728162</v>
      </c>
      <c r="N22">
        <v>-0.307521507728162</v>
      </c>
      <c r="O22">
        <v>6000</v>
      </c>
      <c r="P22">
        <v>16</v>
      </c>
      <c r="Q22">
        <v>1</v>
      </c>
      <c r="R22">
        <v>1</v>
      </c>
      <c r="S22">
        <v>1</v>
      </c>
      <c r="T22">
        <v>0.01</v>
      </c>
      <c r="U22">
        <v>16</v>
      </c>
      <c r="V22">
        <v>0</v>
      </c>
      <c r="W22">
        <v>0</v>
      </c>
      <c r="X22">
        <v>565.79999999999995</v>
      </c>
      <c r="Y22" t="s">
        <v>199</v>
      </c>
    </row>
    <row r="23" spans="1:25" x14ac:dyDescent="0.3">
      <c r="A23">
        <v>0.4</v>
      </c>
      <c r="B23">
        <v>42</v>
      </c>
      <c r="C23">
        <v>7</v>
      </c>
      <c r="D23">
        <v>0.4</v>
      </c>
      <c r="E23" t="s">
        <v>26</v>
      </c>
      <c r="F23">
        <v>0.3</v>
      </c>
      <c r="G23">
        <v>-0.31575936891066297</v>
      </c>
      <c r="H23">
        <v>0.30207430753862502</v>
      </c>
      <c r="I23">
        <v>0.43698154003321499</v>
      </c>
      <c r="J23">
        <v>1.610893E-5</v>
      </c>
      <c r="K23">
        <v>1.480172E-4</v>
      </c>
      <c r="L23">
        <v>0.99987000000000004</v>
      </c>
      <c r="M23">
        <v>0.307521507728162</v>
      </c>
      <c r="N23">
        <v>-0.307521507728162</v>
      </c>
      <c r="O23">
        <v>6000</v>
      </c>
      <c r="P23">
        <v>16</v>
      </c>
      <c r="Q23">
        <v>1</v>
      </c>
      <c r="R23">
        <v>1</v>
      </c>
      <c r="S23">
        <v>1</v>
      </c>
      <c r="T23">
        <v>0.01</v>
      </c>
      <c r="U23">
        <v>16</v>
      </c>
      <c r="V23">
        <v>0</v>
      </c>
      <c r="W23">
        <v>0</v>
      </c>
      <c r="X23">
        <v>554.5</v>
      </c>
      <c r="Y23" t="s">
        <v>200</v>
      </c>
    </row>
    <row r="24" spans="1:25" x14ac:dyDescent="0.3">
      <c r="A24">
        <v>0.4</v>
      </c>
      <c r="B24">
        <v>45</v>
      </c>
      <c r="C24">
        <v>7</v>
      </c>
      <c r="D24">
        <v>0.4</v>
      </c>
      <c r="E24" t="s">
        <v>26</v>
      </c>
      <c r="F24">
        <v>0.3</v>
      </c>
      <c r="G24">
        <v>0.31148376854967003</v>
      </c>
      <c r="H24">
        <v>-0.30367082962349401</v>
      </c>
      <c r="I24">
        <v>0.43501506966325398</v>
      </c>
      <c r="J24">
        <v>1.546696E-5</v>
      </c>
      <c r="K24">
        <v>1.2694989999999999E-4</v>
      </c>
      <c r="L24">
        <v>0.99987999999999999</v>
      </c>
      <c r="M24">
        <v>0.307521507728162</v>
      </c>
      <c r="N24">
        <v>-0.307521507728162</v>
      </c>
      <c r="O24">
        <v>6000</v>
      </c>
      <c r="P24">
        <v>16</v>
      </c>
      <c r="Q24">
        <v>1</v>
      </c>
      <c r="R24">
        <v>1</v>
      </c>
      <c r="S24">
        <v>1</v>
      </c>
      <c r="T24">
        <v>0.01</v>
      </c>
      <c r="U24">
        <v>16</v>
      </c>
      <c r="V24">
        <v>0</v>
      </c>
      <c r="W24">
        <v>0</v>
      </c>
      <c r="X24">
        <v>552.9</v>
      </c>
      <c r="Y24" t="s">
        <v>169</v>
      </c>
    </row>
    <row r="25" spans="1:25" x14ac:dyDescent="0.3">
      <c r="A25">
        <v>0.4</v>
      </c>
      <c r="B25">
        <v>99</v>
      </c>
      <c r="C25">
        <v>7</v>
      </c>
      <c r="D25">
        <v>0.4</v>
      </c>
      <c r="E25" t="s">
        <v>26</v>
      </c>
      <c r="F25">
        <v>0.3</v>
      </c>
      <c r="G25">
        <v>-0.31160146956745899</v>
      </c>
      <c r="H25">
        <v>0.30379536869866702</v>
      </c>
      <c r="I25">
        <v>0.43518628411217097</v>
      </c>
      <c r="J25">
        <v>1.6521569999999999E-5</v>
      </c>
      <c r="K25">
        <v>1.0386030000000001E-4</v>
      </c>
      <c r="L25">
        <v>0.99986200000000003</v>
      </c>
      <c r="M25">
        <v>0.307521507728162</v>
      </c>
      <c r="N25">
        <v>-0.307521507728162</v>
      </c>
      <c r="O25">
        <v>6000</v>
      </c>
      <c r="P25">
        <v>16</v>
      </c>
      <c r="Q25">
        <v>1</v>
      </c>
      <c r="R25">
        <v>1</v>
      </c>
      <c r="S25">
        <v>1</v>
      </c>
      <c r="T25">
        <v>0.01</v>
      </c>
      <c r="U25">
        <v>16</v>
      </c>
      <c r="V25">
        <v>0</v>
      </c>
      <c r="W25">
        <v>0</v>
      </c>
      <c r="X25">
        <v>554.70000000000005</v>
      </c>
      <c r="Y25" t="s">
        <v>201</v>
      </c>
    </row>
    <row r="26" spans="1:25" x14ac:dyDescent="0.3">
      <c r="A26">
        <v>0.5</v>
      </c>
      <c r="B26">
        <v>42</v>
      </c>
      <c r="C26">
        <v>8</v>
      </c>
      <c r="D26">
        <v>0.5</v>
      </c>
      <c r="E26" t="s">
        <v>26</v>
      </c>
      <c r="F26">
        <v>0.4</v>
      </c>
      <c r="G26">
        <v>-0.31402232451387602</v>
      </c>
      <c r="H26">
        <v>0.30238622145897398</v>
      </c>
      <c r="I26">
        <v>0.43594431665217798</v>
      </c>
      <c r="J26">
        <v>1.9245369999999998E-5</v>
      </c>
      <c r="K26">
        <v>2.145061E-4</v>
      </c>
      <c r="L26">
        <v>0.99981299999999995</v>
      </c>
      <c r="M26">
        <v>0.307521507728162</v>
      </c>
      <c r="N26">
        <v>-0.307521507728162</v>
      </c>
      <c r="O26">
        <v>6000</v>
      </c>
      <c r="P26">
        <v>16</v>
      </c>
      <c r="Q26">
        <v>1</v>
      </c>
      <c r="R26">
        <v>1</v>
      </c>
      <c r="S26">
        <v>1</v>
      </c>
      <c r="T26">
        <v>0.01</v>
      </c>
      <c r="U26">
        <v>16</v>
      </c>
      <c r="V26">
        <v>0</v>
      </c>
      <c r="W26">
        <v>0</v>
      </c>
      <c r="X26">
        <v>558.6</v>
      </c>
      <c r="Y26" t="s">
        <v>202</v>
      </c>
    </row>
    <row r="27" spans="1:25" x14ac:dyDescent="0.3">
      <c r="A27">
        <v>0.5</v>
      </c>
      <c r="B27">
        <v>45</v>
      </c>
      <c r="C27">
        <v>8</v>
      </c>
      <c r="D27">
        <v>0.5</v>
      </c>
      <c r="E27" t="s">
        <v>26</v>
      </c>
      <c r="F27">
        <v>0.4</v>
      </c>
      <c r="G27">
        <v>0.31170765216752699</v>
      </c>
      <c r="H27">
        <v>-0.30299646828716797</v>
      </c>
      <c r="I27">
        <v>0.43470509568475202</v>
      </c>
      <c r="J27">
        <v>1.879642E-5</v>
      </c>
      <c r="K27">
        <v>1.845793E-4</v>
      </c>
      <c r="L27">
        <v>0.99982300000000002</v>
      </c>
      <c r="M27">
        <v>0.307521507728162</v>
      </c>
      <c r="N27">
        <v>-0.307521507728162</v>
      </c>
      <c r="O27">
        <v>6000</v>
      </c>
      <c r="P27">
        <v>16</v>
      </c>
      <c r="Q27">
        <v>1</v>
      </c>
      <c r="R27">
        <v>1</v>
      </c>
      <c r="S27">
        <v>1</v>
      </c>
      <c r="T27">
        <v>0.01</v>
      </c>
      <c r="U27">
        <v>16</v>
      </c>
      <c r="V27">
        <v>0</v>
      </c>
      <c r="W27">
        <v>0</v>
      </c>
      <c r="X27">
        <v>551.6</v>
      </c>
      <c r="Y27" t="s">
        <v>170</v>
      </c>
    </row>
    <row r="28" spans="1:25" x14ac:dyDescent="0.3">
      <c r="A28">
        <v>0.5</v>
      </c>
      <c r="B28">
        <v>99</v>
      </c>
      <c r="C28">
        <v>8</v>
      </c>
      <c r="D28">
        <v>0.5</v>
      </c>
      <c r="E28" t="s">
        <v>26</v>
      </c>
      <c r="F28">
        <v>0.4</v>
      </c>
      <c r="G28">
        <v>-0.31183158172710801</v>
      </c>
      <c r="H28">
        <v>0.30299836142248698</v>
      </c>
      <c r="I28">
        <v>0.43479528790816302</v>
      </c>
      <c r="J28">
        <v>1.9948619999999999E-5</v>
      </c>
      <c r="K28">
        <v>1.513513E-4</v>
      </c>
      <c r="L28">
        <v>0.99979899999999999</v>
      </c>
      <c r="M28">
        <v>0.307521507728162</v>
      </c>
      <c r="N28">
        <v>-0.307521507728162</v>
      </c>
      <c r="O28">
        <v>6000</v>
      </c>
      <c r="P28">
        <v>16</v>
      </c>
      <c r="Q28">
        <v>1</v>
      </c>
      <c r="R28">
        <v>1</v>
      </c>
      <c r="S28">
        <v>1</v>
      </c>
      <c r="T28">
        <v>0.01</v>
      </c>
      <c r="U28">
        <v>16</v>
      </c>
      <c r="V28">
        <v>0</v>
      </c>
      <c r="W28">
        <v>0</v>
      </c>
      <c r="X28">
        <v>570</v>
      </c>
      <c r="Y28" t="s">
        <v>203</v>
      </c>
    </row>
    <row r="29" spans="1:25" x14ac:dyDescent="0.3">
      <c r="A29">
        <v>0.6</v>
      </c>
      <c r="B29">
        <v>42</v>
      </c>
      <c r="C29">
        <v>9</v>
      </c>
      <c r="D29">
        <v>0.6</v>
      </c>
      <c r="E29" t="s">
        <v>26</v>
      </c>
      <c r="F29">
        <v>0.5</v>
      </c>
      <c r="G29">
        <v>-0.31290493714897599</v>
      </c>
      <c r="H29">
        <v>0.302065742800257</v>
      </c>
      <c r="I29">
        <v>0.434917477995166</v>
      </c>
      <c r="J29">
        <v>2.2401929999999998E-5</v>
      </c>
      <c r="K29">
        <v>2.9723800000000002E-4</v>
      </c>
      <c r="L29">
        <v>0.99974499999999999</v>
      </c>
      <c r="M29">
        <v>0.307521507728162</v>
      </c>
      <c r="N29">
        <v>-0.307521507728162</v>
      </c>
      <c r="O29">
        <v>6000</v>
      </c>
      <c r="P29">
        <v>16</v>
      </c>
      <c r="Q29">
        <v>1</v>
      </c>
      <c r="R29">
        <v>1</v>
      </c>
      <c r="S29">
        <v>1</v>
      </c>
      <c r="T29">
        <v>0.01</v>
      </c>
      <c r="U29">
        <v>16</v>
      </c>
      <c r="V29">
        <v>0</v>
      </c>
      <c r="W29">
        <v>0</v>
      </c>
      <c r="X29">
        <v>548</v>
      </c>
      <c r="Y29" t="s">
        <v>204</v>
      </c>
    </row>
    <row r="30" spans="1:25" x14ac:dyDescent="0.3">
      <c r="A30">
        <v>0.6</v>
      </c>
      <c r="B30">
        <v>45</v>
      </c>
      <c r="C30">
        <v>9</v>
      </c>
      <c r="D30">
        <v>0.6</v>
      </c>
      <c r="E30" t="s">
        <v>26</v>
      </c>
      <c r="F30">
        <v>0.5</v>
      </c>
      <c r="G30">
        <v>0.312276772247356</v>
      </c>
      <c r="H30">
        <v>-0.302112874093313</v>
      </c>
      <c r="I30">
        <v>0.43449852839583802</v>
      </c>
      <c r="J30">
        <v>2.2139919999999999E-5</v>
      </c>
      <c r="K30">
        <v>2.5545400000000001E-4</v>
      </c>
      <c r="L30">
        <v>0.99975499999999995</v>
      </c>
      <c r="M30">
        <v>0.307521507728162</v>
      </c>
      <c r="N30">
        <v>-0.307521507728162</v>
      </c>
      <c r="O30">
        <v>6000</v>
      </c>
      <c r="P30">
        <v>16</v>
      </c>
      <c r="Q30">
        <v>1</v>
      </c>
      <c r="R30">
        <v>1</v>
      </c>
      <c r="S30">
        <v>1</v>
      </c>
      <c r="T30">
        <v>0.01</v>
      </c>
      <c r="U30">
        <v>16</v>
      </c>
      <c r="V30">
        <v>0</v>
      </c>
      <c r="W30">
        <v>0</v>
      </c>
      <c r="X30">
        <v>551.5</v>
      </c>
      <c r="Y30" t="s">
        <v>171</v>
      </c>
    </row>
    <row r="31" spans="1:25" x14ac:dyDescent="0.3">
      <c r="A31">
        <v>0.6</v>
      </c>
      <c r="B31">
        <v>99</v>
      </c>
      <c r="C31">
        <v>9</v>
      </c>
      <c r="D31">
        <v>0.6</v>
      </c>
      <c r="E31" t="s">
        <v>26</v>
      </c>
      <c r="F31">
        <v>0.5</v>
      </c>
      <c r="G31">
        <v>-0.31232998482285701</v>
      </c>
      <c r="H31">
        <v>0.30208120591058801</v>
      </c>
      <c r="I31">
        <v>0.43451475738327</v>
      </c>
      <c r="J31">
        <v>2.3371989999999998E-5</v>
      </c>
      <c r="K31">
        <v>2.0950799999999999E-4</v>
      </c>
      <c r="L31">
        <v>0.99972399999999995</v>
      </c>
      <c r="M31">
        <v>0.307521507728162</v>
      </c>
      <c r="N31">
        <v>-0.307521507728162</v>
      </c>
      <c r="O31">
        <v>6000</v>
      </c>
      <c r="P31">
        <v>16</v>
      </c>
      <c r="Q31">
        <v>1</v>
      </c>
      <c r="R31">
        <v>1</v>
      </c>
      <c r="S31">
        <v>1</v>
      </c>
      <c r="T31">
        <v>0.01</v>
      </c>
      <c r="U31">
        <v>16</v>
      </c>
      <c r="V31">
        <v>0</v>
      </c>
      <c r="W31">
        <v>0</v>
      </c>
      <c r="X31">
        <v>560.70000000000005</v>
      </c>
      <c r="Y31" t="s">
        <v>205</v>
      </c>
    </row>
    <row r="32" spans="1:25" x14ac:dyDescent="0.3">
      <c r="A32">
        <v>0.8</v>
      </c>
      <c r="B32">
        <v>42</v>
      </c>
      <c r="C32">
        <v>10</v>
      </c>
      <c r="D32">
        <v>0.8</v>
      </c>
      <c r="E32" t="s">
        <v>26</v>
      </c>
      <c r="F32">
        <v>0.6</v>
      </c>
      <c r="G32">
        <v>-0.313940115756208</v>
      </c>
      <c r="H32">
        <v>0.30017598595019401</v>
      </c>
      <c r="I32">
        <v>0.43435471543680998</v>
      </c>
      <c r="J32">
        <v>2.903754E-5</v>
      </c>
      <c r="K32">
        <v>5.1308159999999996E-4</v>
      </c>
      <c r="L32">
        <v>0.99956999999999996</v>
      </c>
      <c r="M32">
        <v>0.307521507728162</v>
      </c>
      <c r="N32">
        <v>-0.307521507728162</v>
      </c>
      <c r="O32">
        <v>6000</v>
      </c>
      <c r="P32">
        <v>16</v>
      </c>
      <c r="Q32">
        <v>1</v>
      </c>
      <c r="R32">
        <v>1</v>
      </c>
      <c r="S32">
        <v>1</v>
      </c>
      <c r="T32">
        <v>0.01</v>
      </c>
      <c r="U32">
        <v>16</v>
      </c>
      <c r="V32">
        <v>0</v>
      </c>
      <c r="W32">
        <v>0</v>
      </c>
      <c r="X32">
        <v>554.29999999999995</v>
      </c>
      <c r="Y32" t="s">
        <v>206</v>
      </c>
    </row>
    <row r="33" spans="1:25" x14ac:dyDescent="0.3">
      <c r="A33">
        <v>0.8</v>
      </c>
      <c r="B33">
        <v>45</v>
      </c>
      <c r="C33">
        <v>10</v>
      </c>
      <c r="D33">
        <v>0.8</v>
      </c>
      <c r="E33" t="s">
        <v>26</v>
      </c>
      <c r="F33">
        <v>0.6</v>
      </c>
      <c r="G33">
        <v>0.313795350831924</v>
      </c>
      <c r="H33">
        <v>-0.30016473444527803</v>
      </c>
      <c r="I33">
        <v>0.43424231715521999</v>
      </c>
      <c r="J33">
        <v>2.8975129999999998E-5</v>
      </c>
      <c r="K33">
        <v>4.4176000000000003E-4</v>
      </c>
      <c r="L33">
        <v>0.999579</v>
      </c>
      <c r="M33">
        <v>0.307521507728162</v>
      </c>
      <c r="N33">
        <v>-0.307521507728162</v>
      </c>
      <c r="O33">
        <v>6000</v>
      </c>
      <c r="P33">
        <v>16</v>
      </c>
      <c r="Q33">
        <v>1</v>
      </c>
      <c r="R33">
        <v>1</v>
      </c>
      <c r="S33">
        <v>1</v>
      </c>
      <c r="T33">
        <v>0.01</v>
      </c>
      <c r="U33">
        <v>16</v>
      </c>
      <c r="V33">
        <v>0</v>
      </c>
      <c r="W33">
        <v>0</v>
      </c>
      <c r="X33">
        <v>547.9</v>
      </c>
      <c r="Y33" t="s">
        <v>172</v>
      </c>
    </row>
    <row r="34" spans="1:25" x14ac:dyDescent="0.3">
      <c r="A34">
        <v>0.8</v>
      </c>
      <c r="B34">
        <v>99</v>
      </c>
      <c r="C34">
        <v>10</v>
      </c>
      <c r="D34">
        <v>0.8</v>
      </c>
      <c r="E34" t="s">
        <v>26</v>
      </c>
      <c r="F34">
        <v>0.6</v>
      </c>
      <c r="G34">
        <v>-0.31381316949412102</v>
      </c>
      <c r="H34">
        <v>0.30012685107843001</v>
      </c>
      <c r="I34">
        <v>0.43422900880318899</v>
      </c>
      <c r="J34">
        <v>3.0444049999999999E-5</v>
      </c>
      <c r="K34">
        <v>3.571057E-4</v>
      </c>
      <c r="L34">
        <v>0.99953199999999998</v>
      </c>
      <c r="M34">
        <v>0.307521507728162</v>
      </c>
      <c r="N34">
        <v>-0.307521507728162</v>
      </c>
      <c r="O34">
        <v>6000</v>
      </c>
      <c r="P34">
        <v>16</v>
      </c>
      <c r="Q34">
        <v>1</v>
      </c>
      <c r="R34">
        <v>1</v>
      </c>
      <c r="S34">
        <v>1</v>
      </c>
      <c r="T34">
        <v>0.01</v>
      </c>
      <c r="U34">
        <v>16</v>
      </c>
      <c r="V34">
        <v>0</v>
      </c>
      <c r="W34">
        <v>0</v>
      </c>
      <c r="X34">
        <v>558.20000000000005</v>
      </c>
      <c r="Y34" t="s">
        <v>207</v>
      </c>
    </row>
    <row r="35" spans="1:25" x14ac:dyDescent="0.3">
      <c r="A35">
        <v>1</v>
      </c>
      <c r="B35">
        <v>42</v>
      </c>
      <c r="C35">
        <v>11</v>
      </c>
      <c r="D35">
        <v>1</v>
      </c>
      <c r="E35" t="s">
        <v>26</v>
      </c>
      <c r="F35">
        <v>0.8</v>
      </c>
      <c r="G35">
        <v>-0.31533075743803801</v>
      </c>
      <c r="H35">
        <v>0.29818419874942498</v>
      </c>
      <c r="I35">
        <v>0.43398998026484797</v>
      </c>
      <c r="J35">
        <v>3.5551479999999999E-5</v>
      </c>
      <c r="K35">
        <v>7.8285469999999995E-4</v>
      </c>
      <c r="L35">
        <v>0.99935200000000002</v>
      </c>
      <c r="M35">
        <v>0.307521507728162</v>
      </c>
      <c r="N35">
        <v>-0.307521507728162</v>
      </c>
      <c r="O35">
        <v>6000</v>
      </c>
      <c r="P35">
        <v>16</v>
      </c>
      <c r="Q35">
        <v>1</v>
      </c>
      <c r="R35">
        <v>1</v>
      </c>
      <c r="S35">
        <v>1</v>
      </c>
      <c r="T35">
        <v>0.01</v>
      </c>
      <c r="U35">
        <v>16</v>
      </c>
      <c r="V35">
        <v>0</v>
      </c>
      <c r="W35">
        <v>0</v>
      </c>
      <c r="X35">
        <v>552.1</v>
      </c>
      <c r="Y35" t="s">
        <v>208</v>
      </c>
    </row>
    <row r="36" spans="1:25" x14ac:dyDescent="0.3">
      <c r="A36">
        <v>1</v>
      </c>
      <c r="B36">
        <v>45</v>
      </c>
      <c r="C36">
        <v>11</v>
      </c>
      <c r="D36">
        <v>1</v>
      </c>
      <c r="E36" t="s">
        <v>26</v>
      </c>
      <c r="F36">
        <v>0.8</v>
      </c>
      <c r="G36">
        <v>0.31527619191501899</v>
      </c>
      <c r="H36">
        <v>-0.29817092899876102</v>
      </c>
      <c r="I36">
        <v>0.43394121731914398</v>
      </c>
      <c r="J36">
        <v>3.5637879999999998E-5</v>
      </c>
      <c r="K36">
        <v>6.7495779999999996E-4</v>
      </c>
      <c r="L36">
        <v>0.999359</v>
      </c>
      <c r="M36">
        <v>0.307521507728162</v>
      </c>
      <c r="N36">
        <v>-0.307521507728162</v>
      </c>
      <c r="O36">
        <v>6000</v>
      </c>
      <c r="P36">
        <v>16</v>
      </c>
      <c r="Q36">
        <v>1</v>
      </c>
      <c r="R36">
        <v>1</v>
      </c>
      <c r="S36">
        <v>1</v>
      </c>
      <c r="T36">
        <v>0.01</v>
      </c>
      <c r="U36">
        <v>16</v>
      </c>
      <c r="V36">
        <v>0</v>
      </c>
      <c r="W36">
        <v>0</v>
      </c>
      <c r="X36">
        <v>548.70000000000005</v>
      </c>
      <c r="Y36" t="s">
        <v>173</v>
      </c>
    </row>
    <row r="37" spans="1:25" x14ac:dyDescent="0.3">
      <c r="A37">
        <v>1</v>
      </c>
      <c r="B37">
        <v>99</v>
      </c>
      <c r="C37">
        <v>11</v>
      </c>
      <c r="D37">
        <v>1</v>
      </c>
      <c r="E37" t="s">
        <v>26</v>
      </c>
      <c r="F37">
        <v>0.8</v>
      </c>
      <c r="G37">
        <v>-0.31529139887833801</v>
      </c>
      <c r="H37">
        <v>0.298131538872761</v>
      </c>
      <c r="I37">
        <v>0.433925201707967</v>
      </c>
      <c r="J37">
        <v>3.7294569999999998E-5</v>
      </c>
      <c r="K37">
        <v>5.3781710000000004E-4</v>
      </c>
      <c r="L37">
        <v>0.99929199999999996</v>
      </c>
      <c r="M37">
        <v>0.307521507728162</v>
      </c>
      <c r="N37">
        <v>-0.307521507728162</v>
      </c>
      <c r="O37">
        <v>6000</v>
      </c>
      <c r="P37">
        <v>16</v>
      </c>
      <c r="Q37">
        <v>1</v>
      </c>
      <c r="R37">
        <v>1</v>
      </c>
      <c r="S37">
        <v>1</v>
      </c>
      <c r="T37">
        <v>0.01</v>
      </c>
      <c r="U37">
        <v>16</v>
      </c>
      <c r="V37">
        <v>0</v>
      </c>
      <c r="W37">
        <v>0</v>
      </c>
      <c r="X37">
        <v>558.6</v>
      </c>
      <c r="Y37" t="s">
        <v>209</v>
      </c>
    </row>
    <row r="38" spans="1:25" x14ac:dyDescent="0.3">
      <c r="A38">
        <v>1.5</v>
      </c>
      <c r="B38">
        <v>42</v>
      </c>
      <c r="C38">
        <v>12</v>
      </c>
      <c r="D38">
        <v>1.5</v>
      </c>
      <c r="E38" t="s">
        <v>26</v>
      </c>
      <c r="F38">
        <v>1</v>
      </c>
      <c r="G38">
        <v>-0.31869900320248901</v>
      </c>
      <c r="H38">
        <v>0.293098925364287</v>
      </c>
      <c r="I38">
        <v>0.43298502825381902</v>
      </c>
      <c r="J38">
        <v>5.084192E-5</v>
      </c>
      <c r="K38">
        <v>1.658037E-3</v>
      </c>
      <c r="L38">
        <v>0.99865300000000001</v>
      </c>
      <c r="M38">
        <v>0.307521507728162</v>
      </c>
      <c r="N38">
        <v>-0.307521507728162</v>
      </c>
      <c r="O38">
        <v>6000</v>
      </c>
      <c r="P38">
        <v>16</v>
      </c>
      <c r="Q38">
        <v>1</v>
      </c>
      <c r="R38">
        <v>1</v>
      </c>
      <c r="S38">
        <v>1</v>
      </c>
      <c r="T38">
        <v>0.01</v>
      </c>
      <c r="U38">
        <v>16</v>
      </c>
      <c r="V38">
        <v>0</v>
      </c>
      <c r="W38">
        <v>0</v>
      </c>
      <c r="X38">
        <v>557</v>
      </c>
      <c r="Y38" t="s">
        <v>210</v>
      </c>
    </row>
    <row r="39" spans="1:25" x14ac:dyDescent="0.3">
      <c r="A39">
        <v>1.5</v>
      </c>
      <c r="B39">
        <v>45</v>
      </c>
      <c r="C39">
        <v>12</v>
      </c>
      <c r="D39">
        <v>1.5</v>
      </c>
      <c r="E39" t="s">
        <v>26</v>
      </c>
      <c r="F39">
        <v>1</v>
      </c>
      <c r="G39">
        <v>0.318673821212129</v>
      </c>
      <c r="H39">
        <v>-0.29309597542305099</v>
      </c>
      <c r="I39">
        <v>0.43296449639102003</v>
      </c>
      <c r="J39">
        <v>5.0974119999999998E-5</v>
      </c>
      <c r="K39">
        <v>1.408767E-3</v>
      </c>
      <c r="L39">
        <v>0.99867300000000003</v>
      </c>
      <c r="M39">
        <v>0.307521507728162</v>
      </c>
      <c r="N39">
        <v>-0.307521507728162</v>
      </c>
      <c r="O39">
        <v>6000</v>
      </c>
      <c r="P39">
        <v>16</v>
      </c>
      <c r="Q39">
        <v>1</v>
      </c>
      <c r="R39">
        <v>1</v>
      </c>
      <c r="S39">
        <v>1</v>
      </c>
      <c r="T39">
        <v>0.01</v>
      </c>
      <c r="U39">
        <v>16</v>
      </c>
      <c r="V39">
        <v>0</v>
      </c>
      <c r="W39">
        <v>0</v>
      </c>
      <c r="X39">
        <v>544.1</v>
      </c>
      <c r="Y39" t="s">
        <v>174</v>
      </c>
    </row>
    <row r="40" spans="1:25" x14ac:dyDescent="0.3">
      <c r="A40">
        <v>1.5</v>
      </c>
      <c r="B40">
        <v>99</v>
      </c>
      <c r="C40">
        <v>12</v>
      </c>
      <c r="D40">
        <v>1.5</v>
      </c>
      <c r="E40" t="s">
        <v>26</v>
      </c>
      <c r="F40">
        <v>1</v>
      </c>
      <c r="G40">
        <v>-0.31867775359278699</v>
      </c>
      <c r="H40">
        <v>0.29304685599832098</v>
      </c>
      <c r="I40">
        <v>0.432934141002353</v>
      </c>
      <c r="J40">
        <v>5.2949650000000002E-5</v>
      </c>
      <c r="K40">
        <v>1.1314750000000001E-3</v>
      </c>
      <c r="L40">
        <v>0.99854699999999996</v>
      </c>
      <c r="M40">
        <v>0.307521507728162</v>
      </c>
      <c r="N40">
        <v>-0.307521507728162</v>
      </c>
      <c r="O40">
        <v>6000</v>
      </c>
      <c r="P40">
        <v>16</v>
      </c>
      <c r="Q40">
        <v>1</v>
      </c>
      <c r="R40">
        <v>1</v>
      </c>
      <c r="S40">
        <v>1</v>
      </c>
      <c r="T40">
        <v>0.01</v>
      </c>
      <c r="U40">
        <v>16</v>
      </c>
      <c r="V40">
        <v>0</v>
      </c>
      <c r="W40">
        <v>0</v>
      </c>
      <c r="X40">
        <v>549.29999999999995</v>
      </c>
      <c r="Y40" t="s">
        <v>211</v>
      </c>
    </row>
    <row r="41" spans="1:25" x14ac:dyDescent="0.3">
      <c r="A41">
        <v>2</v>
      </c>
      <c r="B41">
        <v>42</v>
      </c>
      <c r="C41">
        <v>13</v>
      </c>
      <c r="D41">
        <v>2</v>
      </c>
      <c r="E41" t="s">
        <v>26</v>
      </c>
      <c r="F41">
        <v>1.5</v>
      </c>
      <c r="G41">
        <v>-0.32165920700244699</v>
      </c>
      <c r="H41">
        <v>0.28793614197658202</v>
      </c>
      <c r="I41">
        <v>0.43170808112172399</v>
      </c>
      <c r="J41">
        <v>6.4541239999999994E-5</v>
      </c>
      <c r="K41">
        <v>2.7832180000000001E-3</v>
      </c>
      <c r="L41">
        <v>0.99780800000000003</v>
      </c>
      <c r="M41">
        <v>0.307521507728162</v>
      </c>
      <c r="N41">
        <v>-0.307521507728162</v>
      </c>
      <c r="O41">
        <v>6000</v>
      </c>
      <c r="P41">
        <v>16</v>
      </c>
      <c r="Q41">
        <v>1</v>
      </c>
      <c r="R41">
        <v>1</v>
      </c>
      <c r="S41">
        <v>1</v>
      </c>
      <c r="T41">
        <v>0.01</v>
      </c>
      <c r="U41">
        <v>16</v>
      </c>
      <c r="V41">
        <v>0</v>
      </c>
      <c r="W41">
        <v>0</v>
      </c>
      <c r="X41">
        <v>555.5</v>
      </c>
      <c r="Y41" t="s">
        <v>212</v>
      </c>
    </row>
    <row r="42" spans="1:25" x14ac:dyDescent="0.3">
      <c r="A42">
        <v>2</v>
      </c>
      <c r="B42">
        <v>45</v>
      </c>
      <c r="C42">
        <v>13</v>
      </c>
      <c r="D42">
        <v>2</v>
      </c>
      <c r="E42" t="s">
        <v>26</v>
      </c>
      <c r="F42">
        <v>1.5</v>
      </c>
      <c r="G42">
        <v>0.321627280921431</v>
      </c>
      <c r="H42">
        <v>-0.28794706126599501</v>
      </c>
      <c r="I42">
        <v>0.43169157731491098</v>
      </c>
      <c r="J42">
        <v>6.4640619999999994E-5</v>
      </c>
      <c r="K42">
        <v>2.3084960000000002E-3</v>
      </c>
      <c r="L42">
        <v>0.99783999999999995</v>
      </c>
      <c r="M42">
        <v>0.307521507728162</v>
      </c>
      <c r="N42">
        <v>-0.307521507728162</v>
      </c>
      <c r="O42">
        <v>6000</v>
      </c>
      <c r="P42">
        <v>16</v>
      </c>
      <c r="Q42">
        <v>1</v>
      </c>
      <c r="R42">
        <v>1</v>
      </c>
      <c r="S42">
        <v>1</v>
      </c>
      <c r="T42">
        <v>0.01</v>
      </c>
      <c r="U42">
        <v>16</v>
      </c>
      <c r="V42">
        <v>0</v>
      </c>
      <c r="W42">
        <v>0</v>
      </c>
      <c r="X42">
        <v>561.79999999999995</v>
      </c>
      <c r="Y42" t="s">
        <v>175</v>
      </c>
    </row>
    <row r="43" spans="1:25" x14ac:dyDescent="0.3">
      <c r="A43">
        <v>2</v>
      </c>
      <c r="B43">
        <v>99</v>
      </c>
      <c r="C43">
        <v>13</v>
      </c>
      <c r="D43">
        <v>2</v>
      </c>
      <c r="E43" t="s">
        <v>26</v>
      </c>
      <c r="F43">
        <v>1.5</v>
      </c>
      <c r="G43">
        <v>-0.321626037174644</v>
      </c>
      <c r="H43">
        <v>0.28789030101780899</v>
      </c>
      <c r="I43">
        <v>0.43165279242556798</v>
      </c>
      <c r="J43">
        <v>6.685835E-5</v>
      </c>
      <c r="K43">
        <v>1.9058009999999999E-3</v>
      </c>
      <c r="L43">
        <v>0.997668</v>
      </c>
      <c r="M43">
        <v>0.307521507728162</v>
      </c>
      <c r="N43">
        <v>-0.307521507728162</v>
      </c>
      <c r="O43">
        <v>6000</v>
      </c>
      <c r="P43">
        <v>16</v>
      </c>
      <c r="Q43">
        <v>1</v>
      </c>
      <c r="R43">
        <v>1</v>
      </c>
      <c r="S43">
        <v>1</v>
      </c>
      <c r="T43">
        <v>0.01</v>
      </c>
      <c r="U43">
        <v>16</v>
      </c>
      <c r="V43">
        <v>0</v>
      </c>
      <c r="W43">
        <v>0</v>
      </c>
      <c r="X43">
        <v>550.4</v>
      </c>
      <c r="Y43" t="s">
        <v>213</v>
      </c>
    </row>
    <row r="44" spans="1:25" x14ac:dyDescent="0.3">
      <c r="A44">
        <v>3</v>
      </c>
      <c r="B44">
        <v>42</v>
      </c>
      <c r="C44">
        <v>14</v>
      </c>
      <c r="D44">
        <v>3</v>
      </c>
      <c r="E44" t="s">
        <v>26</v>
      </c>
      <c r="F44">
        <v>2</v>
      </c>
      <c r="G44">
        <v>-0.326399158001689</v>
      </c>
      <c r="H44">
        <v>0.27763677066141201</v>
      </c>
      <c r="I44">
        <v>0.42850739406398702</v>
      </c>
      <c r="J44">
        <v>8.7848129999999999E-5</v>
      </c>
      <c r="K44">
        <v>5.550414E-3</v>
      </c>
      <c r="L44">
        <v>0.99585400000000002</v>
      </c>
      <c r="M44">
        <v>0.307521507728162</v>
      </c>
      <c r="N44">
        <v>-0.307521507728162</v>
      </c>
      <c r="O44">
        <v>6000</v>
      </c>
      <c r="P44">
        <v>16</v>
      </c>
      <c r="Q44">
        <v>1</v>
      </c>
      <c r="R44">
        <v>1</v>
      </c>
      <c r="S44">
        <v>1</v>
      </c>
      <c r="T44">
        <v>0.01</v>
      </c>
      <c r="U44">
        <v>16</v>
      </c>
      <c r="V44">
        <v>0</v>
      </c>
      <c r="W44">
        <v>0</v>
      </c>
      <c r="X44">
        <v>551.6</v>
      </c>
      <c r="Y44" t="s">
        <v>214</v>
      </c>
    </row>
    <row r="45" spans="1:25" x14ac:dyDescent="0.3">
      <c r="A45">
        <v>3</v>
      </c>
      <c r="B45">
        <v>45</v>
      </c>
      <c r="C45">
        <v>14</v>
      </c>
      <c r="D45">
        <v>3</v>
      </c>
      <c r="E45" t="s">
        <v>26</v>
      </c>
      <c r="F45">
        <v>2</v>
      </c>
      <c r="G45">
        <v>0.32636310144563702</v>
      </c>
      <c r="H45">
        <v>-0.277650885060505</v>
      </c>
      <c r="I45">
        <v>0.42848907566015898</v>
      </c>
      <c r="J45">
        <v>8.7929200000000005E-5</v>
      </c>
      <c r="K45">
        <v>4.4126790000000001E-3</v>
      </c>
      <c r="L45">
        <v>0.99593399999999999</v>
      </c>
      <c r="M45">
        <v>0.307521507728162</v>
      </c>
      <c r="N45">
        <v>-0.307521507728162</v>
      </c>
      <c r="O45">
        <v>6000</v>
      </c>
      <c r="P45">
        <v>16</v>
      </c>
      <c r="Q45">
        <v>1</v>
      </c>
      <c r="R45">
        <v>1</v>
      </c>
      <c r="S45">
        <v>1</v>
      </c>
      <c r="T45">
        <v>0.01</v>
      </c>
      <c r="U45">
        <v>16</v>
      </c>
      <c r="V45">
        <v>0</v>
      </c>
      <c r="W45">
        <v>0</v>
      </c>
      <c r="X45">
        <v>556.1</v>
      </c>
      <c r="Y45" t="s">
        <v>176</v>
      </c>
    </row>
    <row r="46" spans="1:25" x14ac:dyDescent="0.3">
      <c r="A46">
        <v>3</v>
      </c>
      <c r="B46">
        <v>99</v>
      </c>
      <c r="C46">
        <v>14</v>
      </c>
      <c r="D46">
        <v>3</v>
      </c>
      <c r="E46" t="s">
        <v>26</v>
      </c>
      <c r="F46">
        <v>2</v>
      </c>
      <c r="G46">
        <v>-0.32633891426245099</v>
      </c>
      <c r="H46">
        <v>0.27760294379622902</v>
      </c>
      <c r="I46">
        <v>0.42843958893445799</v>
      </c>
      <c r="J46">
        <v>9.0307030000000003E-5</v>
      </c>
      <c r="K46">
        <v>3.8079759999999998E-3</v>
      </c>
      <c r="L46">
        <v>0.99567600000000001</v>
      </c>
      <c r="M46">
        <v>0.307521507728162</v>
      </c>
      <c r="N46">
        <v>-0.307521507728162</v>
      </c>
      <c r="O46">
        <v>6000</v>
      </c>
      <c r="P46">
        <v>16</v>
      </c>
      <c r="Q46">
        <v>1</v>
      </c>
      <c r="R46">
        <v>1</v>
      </c>
      <c r="S46">
        <v>1</v>
      </c>
      <c r="T46">
        <v>0.01</v>
      </c>
      <c r="U46">
        <v>16</v>
      </c>
      <c r="V46">
        <v>0</v>
      </c>
      <c r="W46">
        <v>0</v>
      </c>
      <c r="X46">
        <v>552.5</v>
      </c>
      <c r="Y46" t="s">
        <v>215</v>
      </c>
    </row>
    <row r="47" spans="1:25" x14ac:dyDescent="0.3">
      <c r="A47">
        <v>4</v>
      </c>
      <c r="B47">
        <v>42</v>
      </c>
      <c r="C47">
        <v>15</v>
      </c>
      <c r="D47">
        <v>4</v>
      </c>
      <c r="E47" t="s">
        <v>26</v>
      </c>
      <c r="F47">
        <v>3</v>
      </c>
      <c r="G47">
        <v>-0.32983450486160898</v>
      </c>
      <c r="H47">
        <v>0.26762825880184998</v>
      </c>
      <c r="I47">
        <v>0.42475367627204003</v>
      </c>
      <c r="J47">
        <v>1.067859E-4</v>
      </c>
      <c r="K47">
        <v>8.7684040000000005E-3</v>
      </c>
      <c r="L47">
        <v>0.99377499999999996</v>
      </c>
      <c r="M47">
        <v>0.307521507728162</v>
      </c>
      <c r="N47">
        <v>-0.307521507728162</v>
      </c>
      <c r="O47">
        <v>6000</v>
      </c>
      <c r="P47">
        <v>16</v>
      </c>
      <c r="Q47">
        <v>1</v>
      </c>
      <c r="R47">
        <v>1</v>
      </c>
      <c r="S47">
        <v>1</v>
      </c>
      <c r="T47">
        <v>0.01</v>
      </c>
      <c r="U47">
        <v>16</v>
      </c>
      <c r="V47">
        <v>0</v>
      </c>
      <c r="W47">
        <v>0</v>
      </c>
      <c r="X47">
        <v>556.5</v>
      </c>
      <c r="Y47" t="s">
        <v>216</v>
      </c>
    </row>
    <row r="48" spans="1:25" x14ac:dyDescent="0.3">
      <c r="A48">
        <v>4</v>
      </c>
      <c r="B48">
        <v>45</v>
      </c>
      <c r="C48">
        <v>15</v>
      </c>
      <c r="D48">
        <v>4</v>
      </c>
      <c r="E48" t="s">
        <v>26</v>
      </c>
      <c r="F48">
        <v>3</v>
      </c>
      <c r="G48">
        <v>0.32980667405303099</v>
      </c>
      <c r="H48">
        <v>-0.26763171227766103</v>
      </c>
      <c r="I48">
        <v>0.424734241222196</v>
      </c>
      <c r="J48">
        <v>1.069419E-4</v>
      </c>
      <c r="K48">
        <v>6.6337660000000001E-3</v>
      </c>
      <c r="L48">
        <v>0.99389099999999997</v>
      </c>
      <c r="M48">
        <v>0.307521507728162</v>
      </c>
      <c r="N48">
        <v>-0.307521507728162</v>
      </c>
      <c r="O48">
        <v>6000</v>
      </c>
      <c r="P48">
        <v>16</v>
      </c>
      <c r="Q48">
        <v>1</v>
      </c>
      <c r="R48">
        <v>1</v>
      </c>
      <c r="S48">
        <v>1</v>
      </c>
      <c r="T48">
        <v>0.01</v>
      </c>
      <c r="U48">
        <v>16</v>
      </c>
      <c r="V48">
        <v>0</v>
      </c>
      <c r="W48">
        <v>0</v>
      </c>
      <c r="X48">
        <v>559.5</v>
      </c>
      <c r="Y48" t="s">
        <v>177</v>
      </c>
    </row>
    <row r="49" spans="1:25" x14ac:dyDescent="0.3">
      <c r="A49">
        <v>4</v>
      </c>
      <c r="B49">
        <v>99</v>
      </c>
      <c r="C49">
        <v>15</v>
      </c>
      <c r="D49">
        <v>4</v>
      </c>
      <c r="E49" t="s">
        <v>26</v>
      </c>
      <c r="F49">
        <v>3</v>
      </c>
      <c r="G49">
        <v>-0.32976926697508002</v>
      </c>
      <c r="H49">
        <v>0.26761572047388499</v>
      </c>
      <c r="I49">
        <v>0.42469511803885601</v>
      </c>
      <c r="J49">
        <v>1.092227E-4</v>
      </c>
      <c r="K49">
        <v>5.9564249999999996E-3</v>
      </c>
      <c r="L49">
        <v>0.99356299999999997</v>
      </c>
      <c r="M49">
        <v>0.307521507728162</v>
      </c>
      <c r="N49">
        <v>-0.307521507728162</v>
      </c>
      <c r="O49">
        <v>6000</v>
      </c>
      <c r="P49">
        <v>16</v>
      </c>
      <c r="Q49">
        <v>1</v>
      </c>
      <c r="R49">
        <v>1</v>
      </c>
      <c r="S49">
        <v>1</v>
      </c>
      <c r="T49">
        <v>0.01</v>
      </c>
      <c r="U49">
        <v>16</v>
      </c>
      <c r="V49">
        <v>0</v>
      </c>
      <c r="W49">
        <v>0</v>
      </c>
      <c r="X49">
        <v>554.6</v>
      </c>
      <c r="Y49" t="s">
        <v>217</v>
      </c>
    </row>
    <row r="50" spans="1:25" x14ac:dyDescent="0.3">
      <c r="A50">
        <v>6</v>
      </c>
      <c r="B50">
        <v>42</v>
      </c>
      <c r="C50">
        <v>16</v>
      </c>
      <c r="D50">
        <v>6</v>
      </c>
      <c r="E50" t="s">
        <v>26</v>
      </c>
      <c r="F50">
        <v>4</v>
      </c>
      <c r="G50">
        <v>-0.33389461571728202</v>
      </c>
      <c r="H50">
        <v>0.248964741985989</v>
      </c>
      <c r="I50">
        <v>0.41649616703775499</v>
      </c>
      <c r="J50">
        <v>1.356719E-4</v>
      </c>
      <c r="K50">
        <v>1.51676E-2</v>
      </c>
      <c r="L50">
        <v>0.989568</v>
      </c>
      <c r="M50">
        <v>0.307521507728162</v>
      </c>
      <c r="N50">
        <v>-0.307521507728162</v>
      </c>
      <c r="O50">
        <v>6000</v>
      </c>
      <c r="P50">
        <v>16</v>
      </c>
      <c r="Q50">
        <v>1</v>
      </c>
      <c r="R50">
        <v>1</v>
      </c>
      <c r="S50">
        <v>1</v>
      </c>
      <c r="T50">
        <v>0.01</v>
      </c>
      <c r="U50">
        <v>16</v>
      </c>
      <c r="V50">
        <v>0</v>
      </c>
      <c r="W50">
        <v>0</v>
      </c>
      <c r="X50">
        <v>558</v>
      </c>
      <c r="Y50" t="s">
        <v>218</v>
      </c>
    </row>
    <row r="51" spans="1:25" x14ac:dyDescent="0.3">
      <c r="A51">
        <v>6</v>
      </c>
      <c r="B51">
        <v>45</v>
      </c>
      <c r="C51">
        <v>16</v>
      </c>
      <c r="D51">
        <v>6</v>
      </c>
      <c r="E51" t="s">
        <v>26</v>
      </c>
      <c r="F51">
        <v>4</v>
      </c>
      <c r="G51">
        <v>0.33388331280074701</v>
      </c>
      <c r="H51">
        <v>-0.248951900502555</v>
      </c>
      <c r="I51">
        <v>0.41647942966085999</v>
      </c>
      <c r="J51">
        <v>1.359419E-4</v>
      </c>
      <c r="K51">
        <v>1.1131240000000001E-2</v>
      </c>
      <c r="L51">
        <v>0.989761</v>
      </c>
      <c r="M51">
        <v>0.307521507728162</v>
      </c>
      <c r="N51">
        <v>-0.307521507728162</v>
      </c>
      <c r="O51">
        <v>6000</v>
      </c>
      <c r="P51">
        <v>16</v>
      </c>
      <c r="Q51">
        <v>1</v>
      </c>
      <c r="R51">
        <v>1</v>
      </c>
      <c r="S51">
        <v>1</v>
      </c>
      <c r="T51">
        <v>0.01</v>
      </c>
      <c r="U51">
        <v>16</v>
      </c>
      <c r="V51">
        <v>0</v>
      </c>
      <c r="W51">
        <v>0</v>
      </c>
      <c r="X51">
        <v>553.79999999999995</v>
      </c>
      <c r="Y51" t="s">
        <v>178</v>
      </c>
    </row>
    <row r="52" spans="1:25" x14ac:dyDescent="0.3">
      <c r="A52">
        <v>6</v>
      </c>
      <c r="B52">
        <v>99</v>
      </c>
      <c r="C52">
        <v>16</v>
      </c>
      <c r="D52">
        <v>6</v>
      </c>
      <c r="E52" t="s">
        <v>26</v>
      </c>
      <c r="F52">
        <v>4</v>
      </c>
      <c r="G52">
        <v>-0.33384206199303601</v>
      </c>
      <c r="H52">
        <v>0.24898241523612499</v>
      </c>
      <c r="I52">
        <v>0.41646460288069698</v>
      </c>
      <c r="J52">
        <v>1.380411E-4</v>
      </c>
      <c r="K52">
        <v>1.04364E-2</v>
      </c>
      <c r="L52">
        <v>0.98926599999999998</v>
      </c>
      <c r="M52">
        <v>0.307521507728162</v>
      </c>
      <c r="N52">
        <v>-0.307521507728162</v>
      </c>
      <c r="O52">
        <v>6000</v>
      </c>
      <c r="P52">
        <v>16</v>
      </c>
      <c r="Q52">
        <v>1</v>
      </c>
      <c r="R52">
        <v>1</v>
      </c>
      <c r="S52">
        <v>1</v>
      </c>
      <c r="T52">
        <v>0.01</v>
      </c>
      <c r="U52">
        <v>16</v>
      </c>
      <c r="V52">
        <v>0</v>
      </c>
      <c r="W52">
        <v>0</v>
      </c>
      <c r="X52">
        <v>563.1</v>
      </c>
      <c r="Y52" t="s">
        <v>219</v>
      </c>
    </row>
    <row r="53" spans="1:25" x14ac:dyDescent="0.3">
      <c r="A53">
        <v>8</v>
      </c>
      <c r="B53">
        <v>42</v>
      </c>
      <c r="C53">
        <v>17</v>
      </c>
      <c r="D53">
        <v>8</v>
      </c>
      <c r="E53" t="s">
        <v>26</v>
      </c>
      <c r="F53">
        <v>6</v>
      </c>
      <c r="G53">
        <v>-0.33546936465447402</v>
      </c>
      <c r="H53">
        <v>0.23223951405927001</v>
      </c>
      <c r="I53">
        <v>0.408013341095806</v>
      </c>
      <c r="J53">
        <v>1.5626360000000001E-4</v>
      </c>
      <c r="K53">
        <v>2.1011019999999998E-2</v>
      </c>
      <c r="L53">
        <v>0.98560099999999995</v>
      </c>
      <c r="M53">
        <v>0.307521507728162</v>
      </c>
      <c r="N53">
        <v>-0.307521507728162</v>
      </c>
      <c r="O53">
        <v>6000</v>
      </c>
      <c r="P53">
        <v>16</v>
      </c>
      <c r="Q53">
        <v>1</v>
      </c>
      <c r="R53">
        <v>1</v>
      </c>
      <c r="S53">
        <v>1</v>
      </c>
      <c r="T53">
        <v>0.01</v>
      </c>
      <c r="U53">
        <v>16</v>
      </c>
      <c r="V53">
        <v>0</v>
      </c>
      <c r="W53">
        <v>0</v>
      </c>
      <c r="X53">
        <v>547.29999999999995</v>
      </c>
      <c r="Y53" t="s">
        <v>220</v>
      </c>
    </row>
    <row r="54" spans="1:25" x14ac:dyDescent="0.3">
      <c r="A54">
        <v>8</v>
      </c>
      <c r="B54">
        <v>45</v>
      </c>
      <c r="C54">
        <v>17</v>
      </c>
      <c r="D54">
        <v>8</v>
      </c>
      <c r="E54" t="s">
        <v>26</v>
      </c>
      <c r="F54">
        <v>6</v>
      </c>
      <c r="G54">
        <v>0.335454470721614</v>
      </c>
      <c r="H54">
        <v>-0.23218318423637799</v>
      </c>
      <c r="I54">
        <v>0.40796903432645798</v>
      </c>
      <c r="J54">
        <v>1.5679760000000001E-4</v>
      </c>
      <c r="K54">
        <v>1.504773E-2</v>
      </c>
      <c r="L54">
        <v>0.98582099999999995</v>
      </c>
      <c r="M54">
        <v>0.307521507728162</v>
      </c>
      <c r="N54">
        <v>-0.307521507728162</v>
      </c>
      <c r="O54">
        <v>6000</v>
      </c>
      <c r="P54">
        <v>16</v>
      </c>
      <c r="Q54">
        <v>1</v>
      </c>
      <c r="R54">
        <v>1</v>
      </c>
      <c r="S54">
        <v>1</v>
      </c>
      <c r="T54">
        <v>0.01</v>
      </c>
      <c r="U54">
        <v>16</v>
      </c>
      <c r="V54">
        <v>0</v>
      </c>
      <c r="W54">
        <v>0</v>
      </c>
      <c r="X54">
        <v>561</v>
      </c>
      <c r="Y54" t="s">
        <v>179</v>
      </c>
    </row>
    <row r="55" spans="1:25" x14ac:dyDescent="0.3">
      <c r="A55">
        <v>8</v>
      </c>
      <c r="B55">
        <v>99</v>
      </c>
      <c r="C55">
        <v>17</v>
      </c>
      <c r="D55">
        <v>8</v>
      </c>
      <c r="E55" t="s">
        <v>26</v>
      </c>
      <c r="F55">
        <v>6</v>
      </c>
      <c r="G55">
        <v>-0.33544825473371198</v>
      </c>
      <c r="H55">
        <v>0.23226884629314701</v>
      </c>
      <c r="I55">
        <v>0.40801268186447598</v>
      </c>
      <c r="J55">
        <v>1.5886470000000001E-4</v>
      </c>
      <c r="K55">
        <v>1.478173E-2</v>
      </c>
      <c r="L55">
        <v>0.98519500000000004</v>
      </c>
      <c r="M55">
        <v>0.307521507728162</v>
      </c>
      <c r="N55">
        <v>-0.307521507728162</v>
      </c>
      <c r="O55">
        <v>6000</v>
      </c>
      <c r="P55">
        <v>16</v>
      </c>
      <c r="Q55">
        <v>1</v>
      </c>
      <c r="R55">
        <v>1</v>
      </c>
      <c r="S55">
        <v>1</v>
      </c>
      <c r="T55">
        <v>0.01</v>
      </c>
      <c r="U55">
        <v>16</v>
      </c>
      <c r="V55">
        <v>0</v>
      </c>
      <c r="W55">
        <v>0</v>
      </c>
      <c r="X55">
        <v>553.20000000000005</v>
      </c>
      <c r="Y55" t="s">
        <v>221</v>
      </c>
    </row>
  </sheetData>
  <sortState xmlns:xlrd2="http://schemas.microsoft.com/office/spreadsheetml/2017/richdata2" ref="A2:Y37">
    <sortCondition ref="A1:A3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4768-F20A-425F-AE38-14A5F509D339}">
  <dimension ref="C2:G95"/>
  <sheetViews>
    <sheetView workbookViewId="0">
      <selection activeCell="E14" sqref="E14"/>
    </sheetView>
  </sheetViews>
  <sheetFormatPr defaultRowHeight="14.4" x14ac:dyDescent="0.3"/>
  <cols>
    <col min="1" max="3" width="8.88671875" style="13"/>
    <col min="4" max="4" width="24.33203125" style="13" bestFit="1" customWidth="1"/>
    <col min="5" max="5" width="20" style="13" bestFit="1" customWidth="1"/>
    <col min="6" max="6" width="9.6640625" style="13" bestFit="1" customWidth="1"/>
    <col min="7" max="7" width="10" style="13" bestFit="1" customWidth="1"/>
    <col min="8" max="16384" width="8.88671875" style="13"/>
  </cols>
  <sheetData>
    <row r="2" spans="3:7" ht="15" thickBot="1" x14ac:dyDescent="0.35"/>
    <row r="3" spans="3:7" x14ac:dyDescent="0.3">
      <c r="D3" s="77" t="s">
        <v>85</v>
      </c>
      <c r="E3" s="55"/>
      <c r="F3" s="94" t="s">
        <v>180</v>
      </c>
      <c r="G3" s="95"/>
    </row>
    <row r="4" spans="3:7" x14ac:dyDescent="0.3">
      <c r="C4" s="13" t="s">
        <v>60</v>
      </c>
      <c r="D4" s="57" t="s">
        <v>78</v>
      </c>
      <c r="E4" s="17" t="s">
        <v>79</v>
      </c>
      <c r="F4" s="96" t="s">
        <v>65</v>
      </c>
      <c r="G4" s="97" t="s">
        <v>66</v>
      </c>
    </row>
    <row r="5" spans="3:7" x14ac:dyDescent="0.3">
      <c r="C5" s="17">
        <v>0</v>
      </c>
      <c r="D5" s="57">
        <v>0.41836699999999999</v>
      </c>
      <c r="E5" s="17">
        <v>-0.41836699999999999</v>
      </c>
      <c r="F5" s="90">
        <v>0.41780845290741098</v>
      </c>
      <c r="G5" s="91">
        <v>-0.41836309733543903</v>
      </c>
    </row>
    <row r="6" spans="3:7" x14ac:dyDescent="0.3">
      <c r="C6" s="17">
        <v>0.05</v>
      </c>
      <c r="D6" s="57">
        <v>0.41950199999999999</v>
      </c>
      <c r="E6" s="17">
        <v>-0.41723199999999999</v>
      </c>
      <c r="F6" s="90">
        <v>0.41888723604943401</v>
      </c>
      <c r="G6" s="91">
        <v>-0.41713875947696</v>
      </c>
    </row>
    <row r="7" spans="3:7" x14ac:dyDescent="0.3">
      <c r="C7" s="17">
        <v>0.1</v>
      </c>
      <c r="D7" s="57">
        <v>0.42063600000000001</v>
      </c>
      <c r="E7" s="17">
        <v>-0.41609699999999999</v>
      </c>
      <c r="F7" s="90">
        <v>0.41985514395877999</v>
      </c>
      <c r="G7" s="91">
        <v>-0.41619351749012401</v>
      </c>
    </row>
    <row r="8" spans="3:7" x14ac:dyDescent="0.3">
      <c r="C8" s="17">
        <v>0.2</v>
      </c>
      <c r="D8" s="57">
        <v>0.422906</v>
      </c>
      <c r="E8" s="17">
        <v>-0.413827</v>
      </c>
      <c r="F8" s="45">
        <v>0.433744546607023</v>
      </c>
      <c r="G8" s="91">
        <v>-0.40568558198158</v>
      </c>
    </row>
    <row r="9" spans="3:7" x14ac:dyDescent="0.3">
      <c r="C9" s="17">
        <v>0.5</v>
      </c>
      <c r="D9" s="57">
        <v>0.42971599999999999</v>
      </c>
      <c r="E9" s="17">
        <v>-0.40701799999999999</v>
      </c>
      <c r="F9" s="90">
        <v>0.43304269178049298</v>
      </c>
      <c r="G9" s="91">
        <v>-0.40562753767350901</v>
      </c>
    </row>
    <row r="10" spans="3:7" x14ac:dyDescent="0.3">
      <c r="C10" s="17">
        <v>0.7</v>
      </c>
      <c r="D10" s="57">
        <v>0.434255</v>
      </c>
      <c r="E10" s="17">
        <v>-0.402478</v>
      </c>
      <c r="F10" s="90">
        <v>0.431500128778734</v>
      </c>
      <c r="G10" s="91">
        <v>-0.40116515446589002</v>
      </c>
    </row>
    <row r="11" spans="3:7" x14ac:dyDescent="0.3">
      <c r="C11" s="17">
        <v>1</v>
      </c>
      <c r="D11" s="57">
        <v>0.44106499999999998</v>
      </c>
      <c r="E11" s="17">
        <v>-0.39566899999999999</v>
      </c>
      <c r="F11" s="92">
        <v>0.43555484974580599</v>
      </c>
      <c r="G11" s="93">
        <v>-0.39331114032323899</v>
      </c>
    </row>
    <row r="19" spans="3:3" x14ac:dyDescent="0.3">
      <c r="C19" s="13" t="s">
        <v>122</v>
      </c>
    </row>
    <row r="26" spans="3:3" x14ac:dyDescent="0.3">
      <c r="C26" s="13" t="s">
        <v>123</v>
      </c>
    </row>
    <row r="28" spans="3:3" x14ac:dyDescent="0.3">
      <c r="C28" s="13" t="s">
        <v>161</v>
      </c>
    </row>
    <row r="30" spans="3:3" x14ac:dyDescent="0.3">
      <c r="C30" s="13" t="s">
        <v>160</v>
      </c>
    </row>
    <row r="32" spans="3:3" x14ac:dyDescent="0.3">
      <c r="C32">
        <v>0</v>
      </c>
    </row>
    <row r="33" spans="3:3" x14ac:dyDescent="0.3">
      <c r="C33">
        <v>0</v>
      </c>
    </row>
    <row r="34" spans="3:3" x14ac:dyDescent="0.3">
      <c r="C34">
        <v>0</v>
      </c>
    </row>
    <row r="35" spans="3:3" x14ac:dyDescent="0.3">
      <c r="C35">
        <v>0.05</v>
      </c>
    </row>
    <row r="36" spans="3:3" x14ac:dyDescent="0.3">
      <c r="C36">
        <v>0.05</v>
      </c>
    </row>
    <row r="37" spans="3:3" x14ac:dyDescent="0.3">
      <c r="C37">
        <v>0.05</v>
      </c>
    </row>
    <row r="38" spans="3:3" x14ac:dyDescent="0.3">
      <c r="C38">
        <v>0.1</v>
      </c>
    </row>
    <row r="39" spans="3:3" x14ac:dyDescent="0.3">
      <c r="C39">
        <v>0.1</v>
      </c>
    </row>
    <row r="40" spans="3:3" x14ac:dyDescent="0.3">
      <c r="C40">
        <v>0.1</v>
      </c>
    </row>
    <row r="41" spans="3:3" x14ac:dyDescent="0.3">
      <c r="C41">
        <v>0.2</v>
      </c>
    </row>
    <row r="42" spans="3:3" x14ac:dyDescent="0.3">
      <c r="C42">
        <v>0.2</v>
      </c>
    </row>
    <row r="43" spans="3:3" x14ac:dyDescent="0.3">
      <c r="C43">
        <v>0.2</v>
      </c>
    </row>
    <row r="44" spans="3:3" x14ac:dyDescent="0.3">
      <c r="C44">
        <v>0.35</v>
      </c>
    </row>
    <row r="45" spans="3:3" x14ac:dyDescent="0.3">
      <c r="C45">
        <v>0.35</v>
      </c>
    </row>
    <row r="46" spans="3:3" x14ac:dyDescent="0.3">
      <c r="C46">
        <v>0.35</v>
      </c>
    </row>
    <row r="47" spans="3:3" x14ac:dyDescent="0.3">
      <c r="C47">
        <v>0.5</v>
      </c>
    </row>
    <row r="48" spans="3:3" x14ac:dyDescent="0.3">
      <c r="C48">
        <v>0.5</v>
      </c>
    </row>
    <row r="49" spans="3:3" x14ac:dyDescent="0.3">
      <c r="C49">
        <v>0.5</v>
      </c>
    </row>
    <row r="50" spans="3:3" x14ac:dyDescent="0.3">
      <c r="C50">
        <v>0.7</v>
      </c>
    </row>
    <row r="51" spans="3:3" x14ac:dyDescent="0.3">
      <c r="C51">
        <v>0.7</v>
      </c>
    </row>
    <row r="52" spans="3:3" x14ac:dyDescent="0.3">
      <c r="C52">
        <v>0.7</v>
      </c>
    </row>
    <row r="53" spans="3:3" x14ac:dyDescent="0.3">
      <c r="C53">
        <v>1</v>
      </c>
    </row>
    <row r="54" spans="3:3" x14ac:dyDescent="0.3">
      <c r="C54">
        <v>1</v>
      </c>
    </row>
    <row r="55" spans="3:3" x14ac:dyDescent="0.3">
      <c r="C55">
        <v>1</v>
      </c>
    </row>
    <row r="56" spans="3:3" x14ac:dyDescent="0.3">
      <c r="C56"/>
    </row>
    <row r="57" spans="3:3" x14ac:dyDescent="0.3">
      <c r="C57"/>
    </row>
    <row r="58" spans="3:3" x14ac:dyDescent="0.3">
      <c r="C58"/>
    </row>
    <row r="59" spans="3:3" x14ac:dyDescent="0.3">
      <c r="C59" t="s">
        <v>0</v>
      </c>
    </row>
    <row r="60" spans="3:3" x14ac:dyDescent="0.3">
      <c r="C60">
        <v>1.2</v>
      </c>
    </row>
    <row r="61" spans="3:3" x14ac:dyDescent="0.3">
      <c r="C61">
        <v>1.2</v>
      </c>
    </row>
    <row r="62" spans="3:3" x14ac:dyDescent="0.3">
      <c r="C62">
        <v>1.2</v>
      </c>
    </row>
    <row r="63" spans="3:3" x14ac:dyDescent="0.3">
      <c r="C63">
        <v>1.5</v>
      </c>
    </row>
    <row r="64" spans="3:3" x14ac:dyDescent="0.3">
      <c r="C64">
        <v>1.5</v>
      </c>
    </row>
    <row r="65" spans="3:3" x14ac:dyDescent="0.3">
      <c r="C65">
        <v>1.5</v>
      </c>
    </row>
    <row r="66" spans="3:3" x14ac:dyDescent="0.3">
      <c r="C66">
        <v>2</v>
      </c>
    </row>
    <row r="67" spans="3:3" x14ac:dyDescent="0.3">
      <c r="C67">
        <v>2</v>
      </c>
    </row>
    <row r="68" spans="3:3" x14ac:dyDescent="0.3">
      <c r="C68">
        <v>2</v>
      </c>
    </row>
    <row r="69" spans="3:3" x14ac:dyDescent="0.3">
      <c r="C69">
        <v>2.5</v>
      </c>
    </row>
    <row r="70" spans="3:3" x14ac:dyDescent="0.3">
      <c r="C70">
        <v>2.5</v>
      </c>
    </row>
    <row r="71" spans="3:3" x14ac:dyDescent="0.3">
      <c r="C71">
        <v>2.5</v>
      </c>
    </row>
    <row r="72" spans="3:3" x14ac:dyDescent="0.3">
      <c r="C72">
        <v>3</v>
      </c>
    </row>
    <row r="73" spans="3:3" x14ac:dyDescent="0.3">
      <c r="C73">
        <v>3</v>
      </c>
    </row>
    <row r="74" spans="3:3" x14ac:dyDescent="0.3">
      <c r="C74">
        <v>3</v>
      </c>
    </row>
    <row r="75" spans="3:3" x14ac:dyDescent="0.3">
      <c r="C75">
        <v>3.5</v>
      </c>
    </row>
    <row r="76" spans="3:3" x14ac:dyDescent="0.3">
      <c r="C76">
        <v>3.5</v>
      </c>
    </row>
    <row r="77" spans="3:3" x14ac:dyDescent="0.3">
      <c r="C77">
        <v>3.5</v>
      </c>
    </row>
    <row r="78" spans="3:3" x14ac:dyDescent="0.3">
      <c r="C78">
        <v>4</v>
      </c>
    </row>
    <row r="79" spans="3:3" x14ac:dyDescent="0.3">
      <c r="C79">
        <v>4</v>
      </c>
    </row>
    <row r="80" spans="3:3" x14ac:dyDescent="0.3">
      <c r="C80">
        <v>4</v>
      </c>
    </row>
    <row r="81" spans="3:3" x14ac:dyDescent="0.3">
      <c r="C81">
        <v>4.5</v>
      </c>
    </row>
    <row r="82" spans="3:3" x14ac:dyDescent="0.3">
      <c r="C82">
        <v>4.5</v>
      </c>
    </row>
    <row r="83" spans="3:3" x14ac:dyDescent="0.3">
      <c r="C83">
        <v>4.5</v>
      </c>
    </row>
    <row r="84" spans="3:3" x14ac:dyDescent="0.3">
      <c r="C84">
        <v>5</v>
      </c>
    </row>
    <row r="85" spans="3:3" x14ac:dyDescent="0.3">
      <c r="C85">
        <v>5</v>
      </c>
    </row>
    <row r="86" spans="3:3" x14ac:dyDescent="0.3">
      <c r="C86">
        <v>5</v>
      </c>
    </row>
    <row r="87" spans="3:3" x14ac:dyDescent="0.3">
      <c r="C87">
        <v>6</v>
      </c>
    </row>
    <row r="88" spans="3:3" x14ac:dyDescent="0.3">
      <c r="C88">
        <v>6</v>
      </c>
    </row>
    <row r="89" spans="3:3" x14ac:dyDescent="0.3">
      <c r="C89">
        <v>6</v>
      </c>
    </row>
    <row r="90" spans="3:3" x14ac:dyDescent="0.3">
      <c r="C90">
        <v>7</v>
      </c>
    </row>
    <row r="91" spans="3:3" x14ac:dyDescent="0.3">
      <c r="C91">
        <v>7</v>
      </c>
    </row>
    <row r="92" spans="3:3" x14ac:dyDescent="0.3">
      <c r="C92">
        <v>7</v>
      </c>
    </row>
    <row r="93" spans="3:3" x14ac:dyDescent="0.3">
      <c r="C93">
        <v>8</v>
      </c>
    </row>
    <row r="94" spans="3:3" x14ac:dyDescent="0.3">
      <c r="C94">
        <v>8</v>
      </c>
    </row>
    <row r="95" spans="3:3" x14ac:dyDescent="0.3">
      <c r="C95">
        <v>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645C4-0BBA-4AD5-9943-37DE98856F2E}">
  <dimension ref="B1:E21"/>
  <sheetViews>
    <sheetView workbookViewId="0">
      <selection activeCell="B3" sqref="B3:E21"/>
    </sheetView>
  </sheetViews>
  <sheetFormatPr defaultRowHeight="14.4" x14ac:dyDescent="0.3"/>
  <sheetData>
    <row r="1" spans="2:5" x14ac:dyDescent="0.3">
      <c r="B1" t="s">
        <v>181</v>
      </c>
    </row>
    <row r="3" spans="2:5" x14ac:dyDescent="0.3">
      <c r="B3" t="s">
        <v>28</v>
      </c>
      <c r="C3" t="s">
        <v>44</v>
      </c>
      <c r="D3" t="s">
        <v>45</v>
      </c>
      <c r="E3" t="s">
        <v>30</v>
      </c>
    </row>
    <row r="4" spans="2:5" x14ac:dyDescent="0.3">
      <c r="B4">
        <v>0</v>
      </c>
      <c r="C4">
        <v>0.30752200000000002</v>
      </c>
      <c r="D4">
        <v>-0.30752200000000002</v>
      </c>
      <c r="E4">
        <v>0.43490099999999998</v>
      </c>
    </row>
    <row r="5" spans="2:5" x14ac:dyDescent="0.3">
      <c r="B5">
        <v>0.05</v>
      </c>
      <c r="C5">
        <v>0.30707400000000001</v>
      </c>
      <c r="D5">
        <v>-0.30796899999999999</v>
      </c>
      <c r="E5">
        <v>0.43490200000000001</v>
      </c>
    </row>
    <row r="6" spans="2:5" x14ac:dyDescent="0.3">
      <c r="B6">
        <v>0.1</v>
      </c>
      <c r="C6">
        <v>0.30662600000000001</v>
      </c>
      <c r="D6">
        <v>-0.308417</v>
      </c>
      <c r="E6">
        <v>0.43490299999999998</v>
      </c>
    </row>
    <row r="7" spans="2:5" x14ac:dyDescent="0.3">
      <c r="B7">
        <v>0.15</v>
      </c>
      <c r="C7">
        <v>0.30617800000000001</v>
      </c>
      <c r="D7">
        <v>-0.308865</v>
      </c>
      <c r="E7">
        <v>0.43490499999999999</v>
      </c>
    </row>
    <row r="8" spans="2:5" x14ac:dyDescent="0.3">
      <c r="B8">
        <v>0.2</v>
      </c>
      <c r="C8">
        <v>0.30573099999999998</v>
      </c>
      <c r="D8">
        <v>-0.30931199999999998</v>
      </c>
      <c r="E8">
        <v>0.43490800000000002</v>
      </c>
    </row>
    <row r="9" spans="2:5" x14ac:dyDescent="0.3">
      <c r="B9">
        <v>0.3</v>
      </c>
      <c r="C9">
        <v>0.30483500000000002</v>
      </c>
      <c r="D9">
        <v>-0.31020799999999998</v>
      </c>
      <c r="E9">
        <v>0.43491800000000003</v>
      </c>
    </row>
    <row r="10" spans="2:5" x14ac:dyDescent="0.3">
      <c r="B10">
        <v>0.4</v>
      </c>
      <c r="C10">
        <v>0.30393999999999999</v>
      </c>
      <c r="D10">
        <v>-0.31110300000000002</v>
      </c>
      <c r="E10">
        <v>0.43493100000000001</v>
      </c>
    </row>
    <row r="11" spans="2:5" x14ac:dyDescent="0.3">
      <c r="B11">
        <v>0.5</v>
      </c>
      <c r="C11">
        <v>0.30304500000000001</v>
      </c>
      <c r="D11">
        <v>-0.311998</v>
      </c>
      <c r="E11">
        <v>0.43494699999999997</v>
      </c>
    </row>
    <row r="12" spans="2:5" x14ac:dyDescent="0.3">
      <c r="B12">
        <v>0.6</v>
      </c>
      <c r="C12">
        <v>0.302149</v>
      </c>
      <c r="D12">
        <v>-0.31289400000000001</v>
      </c>
      <c r="E12">
        <v>0.43496699999999999</v>
      </c>
    </row>
    <row r="13" spans="2:5" x14ac:dyDescent="0.3">
      <c r="B13">
        <v>0.7</v>
      </c>
      <c r="C13">
        <v>0.30125400000000002</v>
      </c>
      <c r="D13">
        <v>-0.31378899999999998</v>
      </c>
      <c r="E13">
        <v>0.43499100000000002</v>
      </c>
    </row>
    <row r="14" spans="2:5" x14ac:dyDescent="0.3">
      <c r="B14">
        <v>0.8</v>
      </c>
      <c r="C14">
        <v>0.30035800000000001</v>
      </c>
      <c r="D14">
        <v>-0.31468499999999999</v>
      </c>
      <c r="E14">
        <v>0.43501899999999999</v>
      </c>
    </row>
    <row r="15" spans="2:5" x14ac:dyDescent="0.3">
      <c r="B15">
        <v>0.9</v>
      </c>
      <c r="C15">
        <v>0.29946299999999998</v>
      </c>
      <c r="D15">
        <v>-0.31558000000000003</v>
      </c>
      <c r="E15">
        <v>0.43504999999999999</v>
      </c>
    </row>
    <row r="16" spans="2:5" x14ac:dyDescent="0.3">
      <c r="B16">
        <v>1</v>
      </c>
      <c r="C16">
        <v>0.298568</v>
      </c>
      <c r="D16">
        <v>-0.31647500000000001</v>
      </c>
      <c r="E16">
        <v>0.435085</v>
      </c>
    </row>
    <row r="17" spans="2:5" x14ac:dyDescent="0.3">
      <c r="B17">
        <v>1.1000000000000001</v>
      </c>
      <c r="C17">
        <v>0.29767199999999999</v>
      </c>
      <c r="D17">
        <v>-0.31737100000000001</v>
      </c>
      <c r="E17">
        <v>0.43512400000000001</v>
      </c>
    </row>
    <row r="18" spans="2:5" x14ac:dyDescent="0.3">
      <c r="B18">
        <v>2</v>
      </c>
      <c r="C18">
        <v>0.28961399999999998</v>
      </c>
      <c r="D18">
        <v>-0.32542900000000002</v>
      </c>
      <c r="E18">
        <v>0.43563800000000003</v>
      </c>
    </row>
    <row r="19" spans="2:5" x14ac:dyDescent="0.3">
      <c r="B19">
        <v>3</v>
      </c>
      <c r="C19">
        <v>0.28066000000000002</v>
      </c>
      <c r="D19">
        <v>-0.33438299999999999</v>
      </c>
      <c r="E19">
        <v>0.43655699999999997</v>
      </c>
    </row>
    <row r="20" spans="2:5" x14ac:dyDescent="0.3">
      <c r="B20">
        <v>4</v>
      </c>
      <c r="C20">
        <v>0.271706</v>
      </c>
      <c r="D20">
        <v>-0.343337</v>
      </c>
      <c r="E20">
        <v>0.43784099999999998</v>
      </c>
    </row>
    <row r="21" spans="2:5" x14ac:dyDescent="0.3">
      <c r="B21">
        <v>8</v>
      </c>
      <c r="C21">
        <v>0.23589099999999999</v>
      </c>
      <c r="D21">
        <v>-0.37915199999999999</v>
      </c>
      <c r="E21">
        <v>0.44654300000000002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84910-73A6-4F54-B397-5F4F05C8F59F}">
  <dimension ref="A1:CK89"/>
  <sheetViews>
    <sheetView topLeftCell="AO1" zoomScale="115" zoomScaleNormal="115" workbookViewId="0">
      <selection activeCell="AV16" sqref="AV16"/>
    </sheetView>
  </sheetViews>
  <sheetFormatPr defaultRowHeight="14.4" x14ac:dyDescent="0.3"/>
  <cols>
    <col min="1" max="1" width="8.88671875" style="17"/>
    <col min="2" max="4" width="8.88671875" style="17" customWidth="1"/>
    <col min="5" max="6" width="17.77734375" style="17" customWidth="1"/>
    <col min="7" max="7" width="24.44140625" style="17" customWidth="1"/>
    <col min="8" max="11" width="17.77734375" style="17" customWidth="1"/>
    <col min="12" max="18" width="21.5546875" style="17" customWidth="1"/>
    <col min="19" max="19" width="17.77734375" style="17" customWidth="1"/>
    <col min="20" max="20" width="18.77734375" style="17" customWidth="1"/>
    <col min="21" max="33" width="8.88671875" style="17" customWidth="1"/>
    <col min="34" max="34" width="12.5546875" style="17" customWidth="1"/>
    <col min="35" max="35" width="12" style="17" customWidth="1"/>
    <col min="36" max="37" width="8.88671875" style="17" customWidth="1"/>
    <col min="38" max="38" width="10.44140625" style="17" customWidth="1"/>
    <col min="39" max="39" width="8.88671875" style="17" customWidth="1"/>
    <col min="40" max="40" width="17.77734375" style="17" customWidth="1"/>
    <col min="41" max="41" width="8.88671875" style="17" customWidth="1"/>
    <col min="42" max="42" width="21.77734375" style="17" customWidth="1"/>
    <col min="43" max="43" width="8.88671875" style="17" customWidth="1"/>
    <col min="44" max="44" width="9.109375" style="17" customWidth="1"/>
    <col min="45" max="45" width="10.77734375" style="17" customWidth="1"/>
    <col min="46" max="47" width="8.88671875" style="17" customWidth="1"/>
    <col min="48" max="50" width="8.88671875" style="17"/>
    <col min="51" max="51" width="11.6640625" style="17" customWidth="1"/>
    <col min="52" max="52" width="8.88671875" style="17"/>
    <col min="53" max="53" width="9.88671875" style="17" bestFit="1" customWidth="1"/>
    <col min="57" max="57" width="9.5546875" style="8" bestFit="1" customWidth="1"/>
    <col min="58" max="58" width="23.88671875" style="8" bestFit="1" customWidth="1"/>
    <col min="59" max="59" width="8.88671875" style="8"/>
    <col min="60" max="60" width="18.44140625" customWidth="1"/>
    <col min="63" max="63" width="11" style="13" customWidth="1"/>
    <col min="64" max="64" width="8.88671875" style="13"/>
    <col min="65" max="65" width="9.5546875" style="8" bestFit="1" customWidth="1"/>
    <col min="66" max="66" width="23.88671875" style="8" bestFit="1" customWidth="1"/>
    <col min="67" max="67" width="8.88671875" style="8"/>
    <col min="68" max="70" width="8.88671875" style="13"/>
    <col min="74" max="74" width="17.77734375" style="13" bestFit="1" customWidth="1"/>
    <col min="75" max="76" width="8.88671875" style="13"/>
    <col min="77" max="77" width="11.21875" style="13" bestFit="1" customWidth="1"/>
    <col min="78" max="78" width="16.6640625" bestFit="1" customWidth="1"/>
    <col min="79" max="79" width="8.88671875" customWidth="1"/>
    <col min="81" max="89" width="8.88671875" style="13"/>
  </cols>
  <sheetData>
    <row r="1" spans="1:89" s="13" customFormat="1" ht="15" thickBo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52">
        <v>0.41780845290741098</v>
      </c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E1" s="17"/>
      <c r="BF1" s="17"/>
      <c r="BG1" s="17"/>
      <c r="BM1" s="17"/>
      <c r="BN1" s="17"/>
      <c r="BO1" s="17"/>
    </row>
    <row r="2" spans="1:89" s="13" customFormat="1" ht="15" thickBot="1" x14ac:dyDescent="0.35">
      <c r="A2" s="17"/>
      <c r="B2" s="17"/>
      <c r="C2" s="17"/>
      <c r="D2" s="17"/>
      <c r="E2" s="17"/>
      <c r="F2" s="17"/>
      <c r="G2" s="77" t="s">
        <v>85</v>
      </c>
      <c r="H2" s="56"/>
      <c r="I2" s="77" t="s">
        <v>84</v>
      </c>
      <c r="J2" s="55"/>
      <c r="K2" s="80"/>
      <c r="L2" s="81"/>
      <c r="M2" s="80"/>
      <c r="N2" s="81"/>
      <c r="O2" s="17"/>
      <c r="P2" s="17"/>
      <c r="Q2" s="17"/>
      <c r="R2" s="17"/>
      <c r="S2" s="17"/>
      <c r="T2" s="17"/>
      <c r="U2" s="17"/>
      <c r="V2" s="17"/>
      <c r="W2" s="17" t="s">
        <v>58</v>
      </c>
      <c r="X2" s="17"/>
      <c r="Y2" s="17"/>
      <c r="Z2" s="17" t="s">
        <v>59</v>
      </c>
      <c r="AA2" s="17"/>
      <c r="AB2" s="17" t="s">
        <v>58</v>
      </c>
      <c r="AC2" s="17" t="s">
        <v>57</v>
      </c>
      <c r="AD2" s="17" t="s">
        <v>59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53">
        <v>0.41775835303139602</v>
      </c>
      <c r="AQ2" s="17"/>
      <c r="AR2" s="17"/>
      <c r="AS2" s="17"/>
      <c r="AT2" s="17"/>
      <c r="AU2" s="17"/>
      <c r="AY2" s="25" t="s">
        <v>56</v>
      </c>
      <c r="AZ2" s="17"/>
      <c r="BA2" s="17"/>
      <c r="BE2" s="17"/>
      <c r="BF2" s="17"/>
      <c r="BG2" s="17"/>
      <c r="BM2" s="17"/>
      <c r="BN2" s="17"/>
      <c r="BO2" s="17"/>
    </row>
    <row r="3" spans="1:89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F3" s="17" t="s">
        <v>81</v>
      </c>
      <c r="G3" s="57" t="s">
        <v>78</v>
      </c>
      <c r="H3" s="58" t="s">
        <v>79</v>
      </c>
      <c r="I3" s="57" t="s">
        <v>78</v>
      </c>
      <c r="J3" s="17" t="s">
        <v>79</v>
      </c>
      <c r="K3" s="82" t="s">
        <v>82</v>
      </c>
      <c r="L3" s="83" t="s">
        <v>82</v>
      </c>
      <c r="M3" s="82" t="s">
        <v>83</v>
      </c>
      <c r="N3" s="83"/>
      <c r="V3" s="17" t="s">
        <v>62</v>
      </c>
      <c r="W3" s="17" t="s">
        <v>63</v>
      </c>
      <c r="X3" s="17" t="s">
        <v>64</v>
      </c>
      <c r="AI3" s="17" t="s">
        <v>0</v>
      </c>
      <c r="AL3" s="54"/>
      <c r="AM3" s="55"/>
      <c r="AN3" s="55" t="s">
        <v>74</v>
      </c>
      <c r="AO3" s="56"/>
      <c r="AT3" s="17" t="s">
        <v>71</v>
      </c>
      <c r="AV3" t="s">
        <v>65</v>
      </c>
      <c r="AW3" t="s">
        <v>66</v>
      </c>
      <c r="AX3" t="s">
        <v>67</v>
      </c>
      <c r="AY3" s="25" t="s">
        <v>68</v>
      </c>
      <c r="AZ3" s="25" t="s">
        <v>69</v>
      </c>
      <c r="BA3" s="25" t="s">
        <v>70</v>
      </c>
      <c r="BB3" s="46" t="s">
        <v>11</v>
      </c>
      <c r="BC3" s="46" t="s">
        <v>12</v>
      </c>
      <c r="BD3" s="46" t="s">
        <v>13</v>
      </c>
      <c r="BE3" s="6" t="s">
        <v>31</v>
      </c>
      <c r="BF3" s="6" t="s">
        <v>29</v>
      </c>
      <c r="BG3" s="6" t="s">
        <v>30</v>
      </c>
      <c r="BH3" s="2" t="s">
        <v>5</v>
      </c>
      <c r="BI3" s="2" t="s">
        <v>6</v>
      </c>
      <c r="BJ3" s="2" t="s">
        <v>7</v>
      </c>
      <c r="BK3" s="13" t="s">
        <v>8</v>
      </c>
      <c r="BL3" s="13" t="s">
        <v>28</v>
      </c>
      <c r="BM3" s="6" t="s">
        <v>31</v>
      </c>
      <c r="BN3" s="6" t="s">
        <v>29</v>
      </c>
      <c r="BO3" s="6" t="s">
        <v>30</v>
      </c>
      <c r="BP3" s="13" t="s">
        <v>27</v>
      </c>
      <c r="BQ3" s="13" t="s">
        <v>9</v>
      </c>
      <c r="BR3" s="13" t="s">
        <v>10</v>
      </c>
      <c r="BS3" s="4" t="s">
        <v>11</v>
      </c>
      <c r="BT3" s="4" t="s">
        <v>12</v>
      </c>
      <c r="BU3" s="4" t="s">
        <v>13</v>
      </c>
      <c r="BV3" s="13" t="s">
        <v>14</v>
      </c>
      <c r="BW3" s="13" t="s">
        <v>15</v>
      </c>
      <c r="BX3" s="19" t="s">
        <v>16</v>
      </c>
      <c r="BY3" s="19" t="s">
        <v>17</v>
      </c>
      <c r="BZ3" s="9" t="s">
        <v>32</v>
      </c>
      <c r="CA3" s="9" t="s">
        <v>12</v>
      </c>
      <c r="CB3" s="9" t="s">
        <v>13</v>
      </c>
      <c r="CD3" s="13" t="s">
        <v>18</v>
      </c>
      <c r="CE3" s="13" t="s">
        <v>19</v>
      </c>
      <c r="CF3" s="13" t="s">
        <v>20</v>
      </c>
      <c r="CG3" s="13" t="s">
        <v>21</v>
      </c>
      <c r="CH3" s="13" t="s">
        <v>22</v>
      </c>
      <c r="CI3" s="13" t="s">
        <v>23</v>
      </c>
      <c r="CJ3" s="13" t="s">
        <v>24</v>
      </c>
      <c r="CK3" s="13" t="s">
        <v>25</v>
      </c>
    </row>
    <row r="4" spans="1:89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7">
        <v>0</v>
      </c>
      <c r="G4" s="57">
        <v>0.41836699999999999</v>
      </c>
      <c r="H4" s="58">
        <v>-0.41836699999999999</v>
      </c>
      <c r="I4" s="57">
        <v>-0.41836667620000001</v>
      </c>
      <c r="J4" s="17">
        <v>0.41836667620000001</v>
      </c>
      <c r="K4" s="84">
        <f>ABS(G4)-ABS(AY4)</f>
        <v>0</v>
      </c>
      <c r="L4" s="85">
        <f>ABS(H4)-ABS(AZ4)</f>
        <v>0</v>
      </c>
      <c r="M4" s="88">
        <f>ABS(G4)-ABS(AV4)</f>
        <v>5.5854709258901236E-4</v>
      </c>
      <c r="N4" s="89">
        <f>ABS(H4)-ABS(AW4)</f>
        <v>3.9026645609618882E-6</v>
      </c>
      <c r="T4" s="15">
        <f>BJ4-BO4</f>
        <v>-4.9512172169989821E-3</v>
      </c>
      <c r="U4" s="15">
        <f>BJ4-BU4</f>
        <v>-3.641508477960631E-4</v>
      </c>
      <c r="V4" s="27">
        <f t="shared" ref="V4:W7" si="0">AY4-BH4</f>
        <v>6.0864696860396528E-4</v>
      </c>
      <c r="W4" s="28">
        <f t="shared" si="0"/>
        <v>9.028182989001543E-5</v>
      </c>
      <c r="X4" s="29">
        <f>AVERAGE(V4:W4)</f>
        <v>3.4946439924699035E-4</v>
      </c>
      <c r="Y4" s="28">
        <f t="shared" ref="Y4:Y13" si="1">AY4-BS4</f>
        <v>2.958879462999775E-6</v>
      </c>
      <c r="Z4" s="28">
        <f t="shared" ref="Z4:Z13" si="2">AZ4-BT4</f>
        <v>-1.2710578400909611E-7</v>
      </c>
      <c r="AA4" s="29">
        <f>AVERAGE(Y4:Z4)</f>
        <v>1.4158868394953394E-6</v>
      </c>
      <c r="AB4" s="27">
        <f>BA4-BJ4</f>
        <v>3.660475161579857E-4</v>
      </c>
      <c r="AC4" s="28">
        <f>BA4-BO4</f>
        <v>-4.5851697008409964E-3</v>
      </c>
      <c r="AD4" s="29">
        <f t="shared" ref="AD4:AD21" si="3">AY4-BS4</f>
        <v>2.958879462999775E-6</v>
      </c>
      <c r="AE4" s="36">
        <f t="shared" ref="AE4:AE13" si="4">AY4-BH4</f>
        <v>6.0864696860396528E-4</v>
      </c>
      <c r="AF4" s="36">
        <f t="shared" ref="AF4:AF13" si="5">AZ4-BI4</f>
        <v>9.028182989001543E-5</v>
      </c>
      <c r="AG4" s="15">
        <f t="shared" ref="AG4:AH6" si="6">AV4-AY4</f>
        <v>-5.5854709258901236E-4</v>
      </c>
      <c r="AH4" s="15">
        <f t="shared" si="6"/>
        <v>3.9026645609618882E-6</v>
      </c>
      <c r="AI4" s="17">
        <v>0</v>
      </c>
      <c r="AL4" s="57"/>
      <c r="AO4" s="58"/>
      <c r="AP4" s="15">
        <f>(AV4-BM4)/BM4</f>
        <v>-3.6054019449626461E-2</v>
      </c>
      <c r="AQ4" s="15">
        <f>(AW4-BN4)/BN4</f>
        <v>2.1790932484802714E-2</v>
      </c>
      <c r="AR4" s="50">
        <f>AV4-BB4</f>
        <v>-5.5558821312601259E-4</v>
      </c>
      <c r="AS4" s="50">
        <f>AW4-BC4</f>
        <v>3.7755587769527921E-6</v>
      </c>
      <c r="AT4" s="48">
        <f>AY4-AV4</f>
        <v>5.5854709258901236E-4</v>
      </c>
      <c r="AU4" s="48">
        <f>AZ4-AW4</f>
        <v>-3.9026645609618882E-6</v>
      </c>
      <c r="AV4" s="15">
        <v>0.41780845290741098</v>
      </c>
      <c r="AW4" s="15">
        <v>-0.41836309733543903</v>
      </c>
      <c r="AX4" s="44">
        <v>0.59126270348550403</v>
      </c>
      <c r="AY4" s="25">
        <v>0.41836699999999999</v>
      </c>
      <c r="AZ4" s="25">
        <v>-0.41836699999999999</v>
      </c>
      <c r="BA4" s="26">
        <v>0.59165999999999996</v>
      </c>
      <c r="BB4" s="47">
        <v>0.41836404112053699</v>
      </c>
      <c r="BC4" s="47">
        <v>-0.41836687289421598</v>
      </c>
      <c r="BD4" s="47">
        <v>0.59165810333163804</v>
      </c>
      <c r="BE4" s="7">
        <v>0.43343554653224398</v>
      </c>
      <c r="BF4" s="7">
        <v>-0.40944099623007901</v>
      </c>
      <c r="BG4" s="7">
        <v>0.59624516970084096</v>
      </c>
      <c r="BH4" s="3">
        <v>0.41775835303139602</v>
      </c>
      <c r="BI4" s="3">
        <v>-0.41845728182989</v>
      </c>
      <c r="BJ4" s="3">
        <v>0.59129395248384198</v>
      </c>
      <c r="BK4" s="15">
        <v>3.7952230000000002E-9</v>
      </c>
      <c r="BL4" s="16">
        <v>0</v>
      </c>
      <c r="BM4" s="7">
        <v>0.43343554653224398</v>
      </c>
      <c r="BN4" s="7">
        <v>-0.40944099623007901</v>
      </c>
      <c r="BO4" s="7">
        <v>0.59624516970084096</v>
      </c>
      <c r="BP4" s="15">
        <v>-3.641508477960631E-4</v>
      </c>
      <c r="BQ4" s="15">
        <v>4.0188039999999997E-12</v>
      </c>
      <c r="BR4" s="15">
        <v>1</v>
      </c>
      <c r="BS4" s="5">
        <v>0.41836404112053699</v>
      </c>
      <c r="BT4" s="5">
        <v>-0.41836687289421598</v>
      </c>
      <c r="BU4" s="5">
        <v>0.59165810333163804</v>
      </c>
      <c r="BV4" s="15">
        <v>2.8853750000000001E-5</v>
      </c>
      <c r="BW4" s="15">
        <v>1.035055E-3</v>
      </c>
      <c r="BX4" s="20">
        <v>0.41836667621661899</v>
      </c>
      <c r="BY4" s="20">
        <v>-0.41836667621661899</v>
      </c>
      <c r="BZ4" s="10">
        <v>0.41836404112053699</v>
      </c>
      <c r="CA4" s="10">
        <v>-0.41836687289421598</v>
      </c>
      <c r="CB4" s="10">
        <v>0.59165810333163804</v>
      </c>
      <c r="CC4" s="15"/>
      <c r="CD4" s="13">
        <v>16</v>
      </c>
      <c r="CE4" s="13">
        <v>1</v>
      </c>
      <c r="CF4" s="13">
        <v>1</v>
      </c>
      <c r="CG4" s="13">
        <v>2</v>
      </c>
      <c r="CH4" s="13">
        <v>0.01</v>
      </c>
      <c r="CI4" s="13">
        <v>8</v>
      </c>
      <c r="CJ4" s="13">
        <v>15000</v>
      </c>
      <c r="CK4" s="13">
        <v>385.8</v>
      </c>
    </row>
    <row r="5" spans="1:89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G5" s="57">
        <v>0.41950199999999999</v>
      </c>
      <c r="H5" s="58">
        <v>-0.41723199999999999</v>
      </c>
      <c r="I5" s="57"/>
      <c r="K5" s="82"/>
      <c r="L5" s="83"/>
      <c r="M5" s="82"/>
      <c r="N5" s="83"/>
      <c r="T5" s="15">
        <f>BJ5-BO5</f>
        <v>-0.77723825012090308</v>
      </c>
      <c r="U5" s="15">
        <f>BJ5-BU5</f>
        <v>-9.5953533987058748E-5</v>
      </c>
      <c r="V5" s="30">
        <f t="shared" si="0"/>
        <v>-1.3481898939898818E-4</v>
      </c>
      <c r="W5" s="15">
        <f t="shared" si="0"/>
        <v>-3.0889199352901464E-4</v>
      </c>
      <c r="X5" s="31">
        <f t="shared" ref="X5:X13" si="7">AVERAGE(V5:W5)</f>
        <v>-2.2185549146400141E-4</v>
      </c>
      <c r="Y5" s="15">
        <f t="shared" si="1"/>
        <v>2.5973623233976895E-5</v>
      </c>
      <c r="Z5" s="15">
        <f t="shared" si="2"/>
        <v>-1.1038026666965184E-5</v>
      </c>
      <c r="AA5" s="31">
        <f>AVERAGE(Y5:Z5)</f>
        <v>7.4677982835058554E-6</v>
      </c>
      <c r="AB5" s="30">
        <f t="shared" ref="AB5:AB21" si="8">BA5-BJ5</f>
        <v>1.2169043410303892E-4</v>
      </c>
      <c r="AC5" s="15">
        <f t="shared" ref="AC5:AC21" si="9">BA5-BO5</f>
        <v>-0.77711655968680005</v>
      </c>
      <c r="AD5" s="31">
        <f t="shared" si="3"/>
        <v>2.5973623233976895E-5</v>
      </c>
      <c r="AE5" s="36">
        <f t="shared" si="4"/>
        <v>-1.3481898939898818E-4</v>
      </c>
      <c r="AF5" s="36">
        <f t="shared" si="5"/>
        <v>-3.0889199352901464E-4</v>
      </c>
      <c r="AG5" s="15">
        <f t="shared" si="6"/>
        <v>-6.1476395056597744E-4</v>
      </c>
      <c r="AH5" s="15">
        <f t="shared" si="6"/>
        <v>9.3240523039994638E-5</v>
      </c>
      <c r="AI5" s="17">
        <v>0.05</v>
      </c>
      <c r="AL5" s="57" t="s">
        <v>72</v>
      </c>
      <c r="AM5" s="17" t="s">
        <v>73</v>
      </c>
      <c r="AO5" s="58"/>
      <c r="AR5" s="50">
        <f t="shared" ref="AR5:AR6" si="10">AV5-BB5</f>
        <v>-5.8879032733200054E-4</v>
      </c>
      <c r="AS5" s="50">
        <f t="shared" ref="AS5:AS6" si="11">AW5-BC5</f>
        <v>8.2202496373029454E-5</v>
      </c>
      <c r="AT5" s="48">
        <f t="shared" ref="AT5:AT6" si="12">AY5-AV5</f>
        <v>6.1476395056597744E-4</v>
      </c>
      <c r="AU5" s="48">
        <f t="shared" ref="AU5:AU6" si="13">AZ5-AW5</f>
        <v>-9.3240523039994638E-5</v>
      </c>
      <c r="AV5" s="15">
        <v>0.41888723604943401</v>
      </c>
      <c r="AW5" s="15">
        <v>-0.41713875947696</v>
      </c>
      <c r="AX5" s="45">
        <v>0.59116094355353999</v>
      </c>
      <c r="AY5" s="25">
        <v>0.41950199999999999</v>
      </c>
      <c r="AZ5" s="25">
        <v>-0.41723199999999999</v>
      </c>
      <c r="BA5" s="26">
        <v>0.59166200000000002</v>
      </c>
      <c r="BB5" s="47">
        <v>0.41947602637676601</v>
      </c>
      <c r="BC5" s="47">
        <v>-0.41722096197333303</v>
      </c>
      <c r="BD5" s="47">
        <v>0.59163626309988404</v>
      </c>
      <c r="BE5" s="7">
        <v>-0.848777584461895</v>
      </c>
      <c r="BF5" s="7">
        <v>-1.07383953995618</v>
      </c>
      <c r="BG5" s="7">
        <v>1.3687785596868001</v>
      </c>
      <c r="BH5" s="3">
        <v>0.41963681898939897</v>
      </c>
      <c r="BI5" s="3">
        <v>-0.41692310800647098</v>
      </c>
      <c r="BJ5" s="3">
        <v>0.59154030956589698</v>
      </c>
      <c r="BK5" s="15">
        <v>6.5112070000000004E-6</v>
      </c>
      <c r="BL5" s="16">
        <v>0.05</v>
      </c>
      <c r="BM5" s="7">
        <v>-0.848777584461895</v>
      </c>
      <c r="BN5" s="7">
        <v>-1.07383953995618</v>
      </c>
      <c r="BO5" s="7">
        <v>1.3687785596868001</v>
      </c>
      <c r="BP5" s="15">
        <v>-9.5953533987058748E-5</v>
      </c>
      <c r="BQ5" s="15">
        <v>1.272908E-5</v>
      </c>
      <c r="BR5" s="15">
        <v>0.99999000000000005</v>
      </c>
      <c r="BS5" s="5">
        <v>0.41947602637676601</v>
      </c>
      <c r="BT5" s="5">
        <v>-0.41722096197333303</v>
      </c>
      <c r="BU5" s="5">
        <v>0.59163626309988404</v>
      </c>
      <c r="BV5" s="15">
        <v>2.8197820000000001E-5</v>
      </c>
      <c r="BW5" s="15">
        <v>5.7211459999999997E-4</v>
      </c>
      <c r="BX5" s="20">
        <v>0.41836667621661899</v>
      </c>
      <c r="BY5" s="20">
        <v>-0.41836667621661899</v>
      </c>
      <c r="BZ5" s="10">
        <v>0.41947602637676601</v>
      </c>
      <c r="CA5" s="10">
        <v>-0.41722096197333303</v>
      </c>
      <c r="CB5" s="10">
        <v>0.59163626309988404</v>
      </c>
      <c r="CC5" s="15"/>
      <c r="CD5" s="13">
        <v>16</v>
      </c>
      <c r="CE5" s="13">
        <v>1</v>
      </c>
      <c r="CF5" s="13">
        <v>1</v>
      </c>
      <c r="CG5" s="13">
        <v>2</v>
      </c>
      <c r="CH5" s="13">
        <v>0.01</v>
      </c>
      <c r="CI5" s="13">
        <v>8</v>
      </c>
      <c r="CJ5" s="13">
        <v>15000</v>
      </c>
      <c r="CK5" s="13">
        <v>394</v>
      </c>
    </row>
    <row r="6" spans="1:89" s="74" customFormat="1" x14ac:dyDescent="0.3">
      <c r="A6" s="62">
        <v>0.1</v>
      </c>
      <c r="B6" s="62">
        <v>0</v>
      </c>
      <c r="C6" s="62">
        <v>0</v>
      </c>
      <c r="D6" s="62">
        <v>45</v>
      </c>
      <c r="E6" s="62" t="s">
        <v>26</v>
      </c>
      <c r="F6" s="17">
        <v>0.1</v>
      </c>
      <c r="G6" s="57">
        <v>0.42063600000000001</v>
      </c>
      <c r="H6" s="58">
        <v>-0.41609699999999999</v>
      </c>
      <c r="I6" s="57">
        <v>-0.42063648310000001</v>
      </c>
      <c r="J6" s="17">
        <v>0.41609686930000001</v>
      </c>
      <c r="K6" s="84">
        <f>ABS(G6)-ABS(AY6)</f>
        <v>0</v>
      </c>
      <c r="L6" s="85">
        <f>ABS(H6)-ABS(AZ6)</f>
        <v>0</v>
      </c>
      <c r="M6" s="88">
        <f>ABS(G6)-ABS(AV6)</f>
        <v>7.8085604122002383E-4</v>
      </c>
      <c r="N6" s="89">
        <f>ABS(H6)-ABS(AW6)</f>
        <v>-9.6517490124015115E-5</v>
      </c>
      <c r="O6" s="62"/>
      <c r="P6" s="62"/>
      <c r="Q6" s="62"/>
      <c r="R6" s="62"/>
      <c r="S6" s="62"/>
      <c r="T6" s="63">
        <f t="shared" ref="T6:T21" si="14">BJ6-BO6</f>
        <v>-0.79577384758854808</v>
      </c>
      <c r="U6" s="63">
        <f>BJ6-BU6</f>
        <v>-2.6636799962320712E-3</v>
      </c>
      <c r="V6" s="64">
        <f t="shared" si="0"/>
        <v>-9.7036626889901445E-4</v>
      </c>
      <c r="W6" s="63">
        <f t="shared" si="0"/>
        <v>-9.3482502212319796E-3</v>
      </c>
      <c r="X6" s="65">
        <f t="shared" si="7"/>
        <v>-5.159308245065497E-3</v>
      </c>
      <c r="Y6" s="63">
        <f t="shared" si="1"/>
        <v>6.9751145884490162E-3</v>
      </c>
      <c r="Z6" s="63">
        <f t="shared" si="2"/>
        <v>2.4829403544470163E-3</v>
      </c>
      <c r="AA6" s="65">
        <f t="shared" ref="AA6:AA13" si="15">AVERAGE(Y6:Z6)</f>
        <v>4.7290274714480163E-3</v>
      </c>
      <c r="AB6" s="64">
        <f t="shared" si="8"/>
        <v>5.8392691693980314E-3</v>
      </c>
      <c r="AC6" s="63">
        <f t="shared" si="9"/>
        <v>-0.78993457841915005</v>
      </c>
      <c r="AD6" s="65">
        <f t="shared" si="3"/>
        <v>6.9751145884490162E-3</v>
      </c>
      <c r="AE6" s="66">
        <f t="shared" si="4"/>
        <v>-9.7036626889901445E-4</v>
      </c>
      <c r="AF6" s="66">
        <f t="shared" si="5"/>
        <v>-9.3482502212319796E-3</v>
      </c>
      <c r="AG6" s="63">
        <f t="shared" si="6"/>
        <v>-7.8085604122002383E-4</v>
      </c>
      <c r="AH6" s="63">
        <f t="shared" si="6"/>
        <v>-9.6517490124015115E-5</v>
      </c>
      <c r="AI6" s="62">
        <v>0.1</v>
      </c>
      <c r="AJ6" s="62"/>
      <c r="AK6" s="62"/>
      <c r="AL6" s="67">
        <f>AN6-AY6</f>
        <v>4.8310000000384434E-7</v>
      </c>
      <c r="AM6" s="62"/>
      <c r="AN6" s="68">
        <v>0.42063648310000001</v>
      </c>
      <c r="AO6" s="69"/>
      <c r="AP6" s="62"/>
      <c r="AQ6" s="62"/>
      <c r="AR6" s="63">
        <f t="shared" si="10"/>
        <v>6.1942585472289924E-3</v>
      </c>
      <c r="AS6" s="63">
        <f t="shared" si="11"/>
        <v>2.3864228643230012E-3</v>
      </c>
      <c r="AT6" s="63">
        <f t="shared" si="12"/>
        <v>7.8085604122002383E-4</v>
      </c>
      <c r="AU6" s="63">
        <f t="shared" si="13"/>
        <v>9.6517490124015115E-5</v>
      </c>
      <c r="AV6" s="63">
        <v>0.41985514395877999</v>
      </c>
      <c r="AW6" s="63">
        <v>-0.41619351749012401</v>
      </c>
      <c r="AX6" s="70">
        <v>0.59118134773472897</v>
      </c>
      <c r="AY6" s="62">
        <v>0.42063600000000001</v>
      </c>
      <c r="AZ6" s="62">
        <v>-0.41609699999999999</v>
      </c>
      <c r="BA6" s="71">
        <v>0.591669</v>
      </c>
      <c r="BB6" s="63">
        <v>0.41366088541155099</v>
      </c>
      <c r="BC6" s="63">
        <v>-0.41857994035444701</v>
      </c>
      <c r="BD6" s="63">
        <v>0.58849341082683404</v>
      </c>
      <c r="BE6" s="72">
        <v>-0.58776712993599001</v>
      </c>
      <c r="BF6" s="72">
        <v>-1.25034325241807</v>
      </c>
      <c r="BG6" s="72">
        <v>1.38160357841915</v>
      </c>
      <c r="BH6" s="63">
        <v>0.42160636626889902</v>
      </c>
      <c r="BI6" s="63">
        <v>-0.40674874977876802</v>
      </c>
      <c r="BJ6" s="63">
        <v>0.58582973083060197</v>
      </c>
      <c r="BK6" s="63">
        <v>5.1723609999999998E-6</v>
      </c>
      <c r="BL6" s="73">
        <v>0.1</v>
      </c>
      <c r="BM6" s="72">
        <v>-0.58776712993599001</v>
      </c>
      <c r="BN6" s="72">
        <v>-1.25034325241807</v>
      </c>
      <c r="BO6" s="72">
        <v>1.38160357841915</v>
      </c>
      <c r="BP6" s="63">
        <v>-2.6636799962320712E-3</v>
      </c>
      <c r="BQ6" s="63">
        <v>1.063996E-5</v>
      </c>
      <c r="BR6" s="63">
        <v>0.99999199999999999</v>
      </c>
      <c r="BS6" s="63">
        <v>0.41366088541155099</v>
      </c>
      <c r="BT6" s="63">
        <v>-0.41857994035444701</v>
      </c>
      <c r="BU6" s="63">
        <v>0.58849341082683404</v>
      </c>
      <c r="BV6" s="63">
        <v>3.416428E-3</v>
      </c>
      <c r="BW6" s="63">
        <v>2.421707E-2</v>
      </c>
      <c r="BX6" s="63">
        <v>0.41836667621661899</v>
      </c>
      <c r="BY6" s="63">
        <v>-0.41836667621661899</v>
      </c>
      <c r="BZ6" s="63">
        <v>0.41366088541155099</v>
      </c>
      <c r="CA6" s="63">
        <v>-0.41857994035444701</v>
      </c>
      <c r="CB6" s="63">
        <v>0.58849341082683404</v>
      </c>
      <c r="CC6" s="63"/>
      <c r="CD6" s="74">
        <v>16</v>
      </c>
      <c r="CE6" s="74">
        <v>1</v>
      </c>
      <c r="CF6" s="74">
        <v>1</v>
      </c>
      <c r="CG6" s="74">
        <v>2</v>
      </c>
      <c r="CH6" s="74">
        <v>0.01</v>
      </c>
      <c r="CI6" s="74">
        <v>8</v>
      </c>
      <c r="CJ6" s="74">
        <v>15000</v>
      </c>
      <c r="CK6" s="74">
        <v>385.1</v>
      </c>
    </row>
    <row r="7" spans="1:89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62">
        <v>0.15</v>
      </c>
      <c r="G7" s="67">
        <v>0.42177100000000001</v>
      </c>
      <c r="H7" s="69">
        <v>-0.414962</v>
      </c>
      <c r="I7" s="67">
        <v>-0.42177138650000001</v>
      </c>
      <c r="J7" s="62">
        <v>0.41496196590000001</v>
      </c>
      <c r="K7" s="84">
        <f t="shared" ref="K7:K16" si="16">ABS(G7)-ABS(AY7)</f>
        <v>0</v>
      </c>
      <c r="L7" s="85">
        <f t="shared" ref="L7:L16" si="17">ABS(H7)-ABS(AZ7)</f>
        <v>0</v>
      </c>
      <c r="M7" s="82"/>
      <c r="N7" s="83"/>
      <c r="T7" s="15">
        <f t="shared" si="14"/>
        <v>-0.798465666458817</v>
      </c>
      <c r="U7" s="15">
        <f t="shared" ref="U7:U21" si="18">BJ7-BU7</f>
        <v>-5.2652091043003946E-4</v>
      </c>
      <c r="V7" s="30">
        <f t="shared" si="0"/>
        <v>-6.9369144795219939E-3</v>
      </c>
      <c r="W7" s="15">
        <f t="shared" si="0"/>
        <v>-2.9717685689964024E-2</v>
      </c>
      <c r="X7" s="31">
        <f t="shared" si="7"/>
        <v>-1.8327300084743009E-2</v>
      </c>
      <c r="Y7" s="15">
        <f t="shared" si="1"/>
        <v>5.4026693258464986E-2</v>
      </c>
      <c r="Z7" s="15">
        <f t="shared" si="2"/>
        <v>2.9532097388607015E-2</v>
      </c>
      <c r="AA7" s="31">
        <f t="shared" si="15"/>
        <v>4.1779395323536E-2</v>
      </c>
      <c r="AB7" s="30">
        <f t="shared" si="8"/>
        <v>1.5307888956436977E-2</v>
      </c>
      <c r="AC7" s="15">
        <f t="shared" si="9"/>
        <v>-0.78315777750238003</v>
      </c>
      <c r="AD7" s="31">
        <f t="shared" si="3"/>
        <v>5.4026693258464986E-2</v>
      </c>
      <c r="AE7" s="36">
        <f t="shared" si="4"/>
        <v>-6.9369144795219939E-3</v>
      </c>
      <c r="AF7" s="36">
        <f t="shared" si="5"/>
        <v>-2.9717685689964024E-2</v>
      </c>
      <c r="AG7" s="15"/>
      <c r="AH7" s="15"/>
      <c r="AI7" s="17">
        <v>0.15</v>
      </c>
      <c r="AL7" s="57"/>
      <c r="AO7" s="58"/>
      <c r="AR7" s="51"/>
      <c r="AS7" s="51"/>
      <c r="AT7" s="49"/>
      <c r="AU7" s="49"/>
      <c r="AV7" s="15"/>
      <c r="AW7" s="15"/>
      <c r="AX7" s="36"/>
      <c r="AY7" s="25">
        <v>0.42177100000000001</v>
      </c>
      <c r="AZ7" s="25">
        <v>-0.414962</v>
      </c>
      <c r="BA7" s="26">
        <v>0.59167899999999995</v>
      </c>
      <c r="BB7" s="47">
        <v>0.36774430674153502</v>
      </c>
      <c r="BC7" s="47">
        <v>-0.44449409738860701</v>
      </c>
      <c r="BD7" s="47">
        <v>0.57689763195399302</v>
      </c>
      <c r="BE7" s="7">
        <v>-0.57345809421691596</v>
      </c>
      <c r="BF7" s="7">
        <v>-1.24952870273165</v>
      </c>
      <c r="BG7" s="7">
        <v>1.37483677750238</v>
      </c>
      <c r="BH7" s="3">
        <v>0.428707914479522</v>
      </c>
      <c r="BI7" s="3">
        <v>-0.38524431431003597</v>
      </c>
      <c r="BJ7" s="3">
        <v>0.57637111104356298</v>
      </c>
      <c r="BK7" s="15">
        <v>7.4347189999999996E-6</v>
      </c>
      <c r="BL7" s="16">
        <v>0.15</v>
      </c>
      <c r="BM7" s="7">
        <v>-0.57345809421691596</v>
      </c>
      <c r="BN7" s="7">
        <v>-1.24952870273165</v>
      </c>
      <c r="BO7" s="7">
        <v>1.37483677750238</v>
      </c>
      <c r="BP7" s="15">
        <v>-5.2652091043003946E-4</v>
      </c>
      <c r="BQ7" s="15">
        <v>1.7411469999999999E-5</v>
      </c>
      <c r="BR7" s="15">
        <v>0.99997800000000003</v>
      </c>
      <c r="BS7" s="5">
        <v>0.36774430674153502</v>
      </c>
      <c r="BT7" s="5">
        <v>-0.44449409738860701</v>
      </c>
      <c r="BU7" s="5">
        <v>0.57689763195399302</v>
      </c>
      <c r="BV7" s="15">
        <v>2.7174750000000001E-2</v>
      </c>
      <c r="BW7" s="15">
        <v>0.1473612</v>
      </c>
      <c r="BX7" s="20">
        <v>0.41836667621661899</v>
      </c>
      <c r="BY7" s="20">
        <v>-0.41836667621661899</v>
      </c>
      <c r="BZ7" s="10">
        <v>0.36774430674153502</v>
      </c>
      <c r="CA7" s="10">
        <v>-0.44449409738860701</v>
      </c>
      <c r="CB7" s="10">
        <v>0.57689763195399302</v>
      </c>
      <c r="CC7" s="15"/>
      <c r="CD7" s="13">
        <v>16</v>
      </c>
      <c r="CE7" s="13">
        <v>1</v>
      </c>
      <c r="CF7" s="13">
        <v>1</v>
      </c>
      <c r="CG7" s="13">
        <v>2</v>
      </c>
      <c r="CH7" s="13">
        <v>0.01</v>
      </c>
      <c r="CI7" s="13">
        <v>8</v>
      </c>
      <c r="CJ7" s="13">
        <v>15000</v>
      </c>
      <c r="CK7" s="13">
        <v>384.8</v>
      </c>
    </row>
    <row r="8" spans="1:89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7">
        <v>0.2</v>
      </c>
      <c r="G8" s="57">
        <v>0.422906</v>
      </c>
      <c r="H8" s="58">
        <v>-0.413827</v>
      </c>
      <c r="I8" s="57">
        <v>-0.42290629000000002</v>
      </c>
      <c r="J8" s="17">
        <v>0.41382706250000001</v>
      </c>
      <c r="K8" s="84">
        <f t="shared" si="16"/>
        <v>0</v>
      </c>
      <c r="L8" s="85">
        <f t="shared" si="17"/>
        <v>0</v>
      </c>
      <c r="M8" s="88">
        <f>ABS(G8)-ABS(AV8)</f>
        <v>-1.6131010640514976E-2</v>
      </c>
      <c r="N8" s="89">
        <f>ABS(H8)-ABS(AW8)</f>
        <v>8.1414180184199991E-3</v>
      </c>
      <c r="T8" s="15">
        <f t="shared" si="14"/>
        <v>-0.88494332936368403</v>
      </c>
      <c r="U8" s="15">
        <f t="shared" si="18"/>
        <v>-8.4027863569863914E-2</v>
      </c>
      <c r="V8" s="30">
        <f>AY8+BH8</f>
        <v>0.85387876610749602</v>
      </c>
      <c r="W8" s="15">
        <f>AZ8+BI8</f>
        <v>-0.78154566454008101</v>
      </c>
      <c r="X8" s="31">
        <f t="shared" si="7"/>
        <v>3.6166550783707507E-2</v>
      </c>
      <c r="Y8" s="15">
        <f t="shared" si="1"/>
        <v>-0.14482747902228199</v>
      </c>
      <c r="Z8" s="15">
        <f t="shared" si="2"/>
        <v>-9.6175809142145019E-2</v>
      </c>
      <c r="AA8" s="31">
        <f t="shared" si="15"/>
        <v>-0.1205016440822135</v>
      </c>
      <c r="AB8" s="30">
        <f t="shared" si="8"/>
        <v>2.5166499942423926E-2</v>
      </c>
      <c r="AC8" s="15">
        <f t="shared" si="9"/>
        <v>-0.8597768294212601</v>
      </c>
      <c r="AD8" s="31">
        <f t="shared" si="3"/>
        <v>-0.14482747902228199</v>
      </c>
      <c r="AE8" s="36">
        <f t="shared" si="4"/>
        <v>-8.0667661074960151E-3</v>
      </c>
      <c r="AF8" s="36">
        <f t="shared" si="5"/>
        <v>-4.6108335459918992E-2</v>
      </c>
      <c r="AG8" s="15">
        <f>AV8-AY8</f>
        <v>1.6131010640514976E-2</v>
      </c>
      <c r="AH8" s="15">
        <f>AW8-AZ8</f>
        <v>8.1414180184199991E-3</v>
      </c>
      <c r="AI8" s="17">
        <v>0.2</v>
      </c>
      <c r="AL8" s="57"/>
      <c r="AM8" s="17">
        <f>AN8+AZ6</f>
        <v>-9.7000000000013742E-5</v>
      </c>
      <c r="AN8" s="17">
        <v>0.41599999999999998</v>
      </c>
      <c r="AO8" s="58"/>
      <c r="AR8" s="50">
        <f t="shared" ref="AR8" si="19">AV8-BB8</f>
        <v>-0.12869646838176702</v>
      </c>
      <c r="AS8" s="50">
        <f t="shared" ref="AS8" si="20">AW8-BC8</f>
        <v>-8.803439112372502E-2</v>
      </c>
      <c r="AT8" s="48">
        <f t="shared" ref="AT8" si="21">AY8-AV8</f>
        <v>-1.6131010640514976E-2</v>
      </c>
      <c r="AU8" s="48">
        <f t="shared" ref="AU8" si="22">AZ8-AW8</f>
        <v>-8.1414180184199991E-3</v>
      </c>
      <c r="AV8" s="15">
        <v>0.43903701064051498</v>
      </c>
      <c r="AW8" s="15">
        <v>-0.40568558198158</v>
      </c>
      <c r="AX8" s="45">
        <v>0.59777444587393702</v>
      </c>
      <c r="AY8" s="25">
        <v>0.422906</v>
      </c>
      <c r="AZ8" s="25">
        <v>-0.413827</v>
      </c>
      <c r="BA8" s="26">
        <v>0.59169499999999997</v>
      </c>
      <c r="BB8" s="47">
        <v>0.56773347902228199</v>
      </c>
      <c r="BC8" s="47">
        <v>-0.31765119085785498</v>
      </c>
      <c r="BD8" s="47">
        <v>0.65055636362743996</v>
      </c>
      <c r="BE8" s="7">
        <v>1.3767820939667501</v>
      </c>
      <c r="BF8" s="7">
        <v>0.45961020151430398</v>
      </c>
      <c r="BG8" s="7">
        <v>1.4514718294212601</v>
      </c>
      <c r="BH8" s="3">
        <v>0.43097276610749602</v>
      </c>
      <c r="BI8" s="3">
        <v>-0.36771866454008101</v>
      </c>
      <c r="BJ8" s="3">
        <v>0.56652850005757605</v>
      </c>
      <c r="BK8" s="15">
        <v>9.2594210000000006E-6</v>
      </c>
      <c r="BL8" s="16">
        <v>0.2</v>
      </c>
      <c r="BM8" s="7">
        <v>1.3767820939667501</v>
      </c>
      <c r="BN8" s="7">
        <v>0.45961020151430398</v>
      </c>
      <c r="BO8" s="7">
        <v>1.4514718294212601</v>
      </c>
      <c r="BP8" s="15">
        <v>-8.4027863569863914E-2</v>
      </c>
      <c r="BQ8" s="15">
        <v>2.6227680000000002E-5</v>
      </c>
      <c r="BR8" s="15">
        <v>0.99996600000000002</v>
      </c>
      <c r="BS8" s="5">
        <v>0.56773347902228199</v>
      </c>
      <c r="BT8" s="5">
        <v>-0.31765119085785498</v>
      </c>
      <c r="BU8" s="5">
        <v>0.65055636362743996</v>
      </c>
      <c r="BV8" s="15">
        <v>7.1912489999999996E-2</v>
      </c>
      <c r="BW8" s="15">
        <v>1.86188</v>
      </c>
      <c r="BX8" s="20">
        <v>0.41836667621661899</v>
      </c>
      <c r="BY8" s="20">
        <v>-0.41836667621661899</v>
      </c>
      <c r="BZ8" s="10">
        <v>0.56773347902228199</v>
      </c>
      <c r="CA8" s="10">
        <v>-0.31765119085785498</v>
      </c>
      <c r="CB8" s="10">
        <v>0.65055636362743996</v>
      </c>
      <c r="CC8" s="15"/>
      <c r="CD8" s="13">
        <v>16</v>
      </c>
      <c r="CE8" s="13">
        <v>1</v>
      </c>
      <c r="CF8" s="13">
        <v>1</v>
      </c>
      <c r="CG8" s="13">
        <v>2</v>
      </c>
      <c r="CH8" s="13">
        <v>0.01</v>
      </c>
      <c r="CI8" s="13">
        <v>8</v>
      </c>
      <c r="CJ8" s="13">
        <v>15000</v>
      </c>
      <c r="CK8" s="13">
        <v>444.4</v>
      </c>
    </row>
    <row r="9" spans="1:89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7">
        <v>0.3</v>
      </c>
      <c r="G9" s="57">
        <v>0.425176</v>
      </c>
      <c r="H9" s="58">
        <v>-0.41155700000000001</v>
      </c>
      <c r="I9" s="57">
        <v>-0.42517609680000001</v>
      </c>
      <c r="J9" s="17">
        <v>0.4115572556</v>
      </c>
      <c r="K9" s="84">
        <f t="shared" si="16"/>
        <v>-9.6822188988543445E-8</v>
      </c>
      <c r="L9" s="85">
        <f t="shared" si="17"/>
        <v>-2.5561105099214387E-7</v>
      </c>
      <c r="M9" s="82"/>
      <c r="N9" s="83"/>
      <c r="T9" s="15">
        <f t="shared" si="14"/>
        <v>-0.78908072051528999</v>
      </c>
      <c r="U9" s="15">
        <f t="shared" si="18"/>
        <v>-0.15643568404633801</v>
      </c>
      <c r="V9" s="30">
        <f>AY9-BH9</f>
        <v>-4.3133930512679886E-3</v>
      </c>
      <c r="W9" s="15">
        <f>AZ9-BI9</f>
        <v>-6.9152274757150023E-2</v>
      </c>
      <c r="X9" s="31">
        <f t="shared" si="7"/>
        <v>-3.6732833904209006E-2</v>
      </c>
      <c r="Y9" s="15">
        <f t="shared" si="1"/>
        <v>0.36277871944921547</v>
      </c>
      <c r="Z9" s="15">
        <f t="shared" si="2"/>
        <v>0.29138891860893296</v>
      </c>
      <c r="AA9" s="31">
        <f t="shared" si="15"/>
        <v>0.32708381902907424</v>
      </c>
      <c r="AB9" s="30">
        <f t="shared" si="8"/>
        <v>4.2463768102708022E-2</v>
      </c>
      <c r="AC9" s="15">
        <f t="shared" si="9"/>
        <v>-0.74661695241258197</v>
      </c>
      <c r="AD9" s="31">
        <f t="shared" si="3"/>
        <v>0.36277871944921547</v>
      </c>
      <c r="AE9" s="36">
        <f t="shared" si="4"/>
        <v>-4.3133930512679886E-3</v>
      </c>
      <c r="AF9" s="36">
        <f t="shared" si="5"/>
        <v>-6.9152274757150023E-2</v>
      </c>
      <c r="AG9" s="15"/>
      <c r="AH9" s="15"/>
      <c r="AI9" s="17">
        <v>0.3</v>
      </c>
      <c r="AL9" s="57"/>
      <c r="AM9" s="17" t="s">
        <v>76</v>
      </c>
      <c r="AO9" s="58"/>
      <c r="AR9" s="51"/>
      <c r="AS9" s="51"/>
      <c r="AT9" s="49"/>
      <c r="AU9" s="49"/>
      <c r="AV9" s="15"/>
      <c r="AW9" s="15"/>
      <c r="AX9" s="36"/>
      <c r="AY9">
        <v>0.42517609682218899</v>
      </c>
      <c r="AZ9">
        <v>-0.411557255611051</v>
      </c>
      <c r="BA9">
        <v>0.59173819207065803</v>
      </c>
      <c r="BB9" s="47">
        <v>6.2397377372973503E-2</v>
      </c>
      <c r="BC9" s="47">
        <v>-0.70294617421998395</v>
      </c>
      <c r="BD9" s="47">
        <v>0.70571010801428802</v>
      </c>
      <c r="BE9" s="7">
        <v>-0.51319640661020205</v>
      </c>
      <c r="BF9" s="7">
        <v>-1.23605175498728</v>
      </c>
      <c r="BG9" s="7">
        <v>1.33835514448324</v>
      </c>
      <c r="BH9" s="3">
        <v>0.42948948987345698</v>
      </c>
      <c r="BI9" s="3">
        <v>-0.34240498085390098</v>
      </c>
      <c r="BJ9" s="3">
        <v>0.54927442396795001</v>
      </c>
      <c r="BK9" s="15">
        <v>1.260662E-5</v>
      </c>
      <c r="BL9" s="16">
        <v>0.3</v>
      </c>
      <c r="BM9" s="7">
        <v>-0.51319640661020205</v>
      </c>
      <c r="BN9" s="7">
        <v>-1.23605175498728</v>
      </c>
      <c r="BO9" s="7">
        <v>1.33835514448324</v>
      </c>
      <c r="BP9" s="15">
        <v>-0.15643568404633801</v>
      </c>
      <c r="BQ9" s="15">
        <v>4.4370460000000002E-5</v>
      </c>
      <c r="BR9" s="15">
        <v>0.99992700000000001</v>
      </c>
      <c r="BS9" s="5">
        <v>6.2397377372973503E-2</v>
      </c>
      <c r="BT9" s="5">
        <v>-0.70294617421998395</v>
      </c>
      <c r="BU9" s="5">
        <v>0.70571010801428802</v>
      </c>
      <c r="BV9" s="15">
        <v>0.1634166</v>
      </c>
      <c r="BW9" s="15">
        <v>0.7291029</v>
      </c>
      <c r="BX9" s="20">
        <v>0.41836667621661899</v>
      </c>
      <c r="BY9" s="20">
        <v>-0.41836667621661899</v>
      </c>
      <c r="BZ9" s="10">
        <v>6.2397377372973503E-2</v>
      </c>
      <c r="CA9" s="10">
        <v>-0.70294617421998395</v>
      </c>
      <c r="CB9" s="10">
        <v>0.70571010801428802</v>
      </c>
      <c r="CC9" s="15"/>
      <c r="CD9" s="13">
        <v>16</v>
      </c>
      <c r="CE9" s="13">
        <v>1</v>
      </c>
      <c r="CF9" s="13">
        <v>1</v>
      </c>
      <c r="CG9" s="13">
        <v>2</v>
      </c>
      <c r="CH9" s="13">
        <v>0.01</v>
      </c>
      <c r="CI9" s="13">
        <v>8</v>
      </c>
      <c r="CJ9" s="13">
        <v>15000</v>
      </c>
      <c r="CK9" s="13">
        <v>506.8</v>
      </c>
    </row>
    <row r="10" spans="1:89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7">
        <v>0.4</v>
      </c>
      <c r="G10" s="57">
        <v>0.42744599999999999</v>
      </c>
      <c r="H10" s="58">
        <v>-0.40928700000000001</v>
      </c>
      <c r="I10" s="57">
        <v>-0.42744590370000002</v>
      </c>
      <c r="J10" s="17">
        <v>0.4092874487</v>
      </c>
      <c r="K10" s="84">
        <f t="shared" si="16"/>
        <v>9.6309287989093662E-8</v>
      </c>
      <c r="L10" s="85">
        <f t="shared" si="17"/>
        <v>-4.4874252796978098E-7</v>
      </c>
      <c r="M10" s="82"/>
      <c r="N10" s="83"/>
      <c r="T10" s="15">
        <f t="shared" si="14"/>
        <v>-1.3594691812391981</v>
      </c>
      <c r="U10" s="15">
        <f t="shared" si="18"/>
        <v>-0.76886848988379797</v>
      </c>
      <c r="V10" s="30">
        <f>AY10-BH10</f>
        <v>-5.2667206278559919E-3</v>
      </c>
      <c r="W10" s="15">
        <f>AZ10-BI10</f>
        <v>-8.6629649314890977E-2</v>
      </c>
      <c r="X10" s="31">
        <f t="shared" si="7"/>
        <v>-4.5948184971373485E-2</v>
      </c>
      <c r="Y10" s="15">
        <f t="shared" si="1"/>
        <v>-0.47763406431617295</v>
      </c>
      <c r="Z10" s="15">
        <f t="shared" si="2"/>
        <v>0.53588806350745</v>
      </c>
      <c r="AA10" s="31">
        <f t="shared" si="15"/>
        <v>2.9126999595638525E-2</v>
      </c>
      <c r="AB10" s="30">
        <f t="shared" si="8"/>
        <v>5.2032268018549988E-2</v>
      </c>
      <c r="AC10" s="15">
        <f t="shared" si="9"/>
        <v>-1.307436913220648</v>
      </c>
      <c r="AD10" s="31">
        <f t="shared" si="3"/>
        <v>-0.47763406431617295</v>
      </c>
      <c r="AE10" s="36">
        <f t="shared" si="4"/>
        <v>-5.2667206278559919E-3</v>
      </c>
      <c r="AF10" s="36">
        <f t="shared" si="5"/>
        <v>-8.6629649314890977E-2</v>
      </c>
      <c r="AG10" s="15"/>
      <c r="AH10" s="15"/>
      <c r="AI10" s="17">
        <v>0.4</v>
      </c>
      <c r="AK10" s="17" t="s">
        <v>62</v>
      </c>
      <c r="AL10" s="57">
        <v>0.41599999999999998</v>
      </c>
      <c r="AM10" s="17">
        <f>AL10-AY6</f>
        <v>-4.636000000000029E-3</v>
      </c>
      <c r="AN10" s="15">
        <f>AL10-AW6</f>
        <v>0.83219351749012405</v>
      </c>
      <c r="AO10" s="58"/>
      <c r="AR10" s="51"/>
      <c r="AS10" s="51"/>
      <c r="AT10" s="49"/>
      <c r="AU10" s="49"/>
      <c r="AV10" s="15"/>
      <c r="AW10" s="15"/>
      <c r="AX10" s="36"/>
      <c r="AY10">
        <v>0.427445903690712</v>
      </c>
      <c r="AZ10">
        <v>-0.40928744874252798</v>
      </c>
      <c r="BA10">
        <v>0.59179913507890203</v>
      </c>
      <c r="BB10" s="47">
        <v>0.90507996800688495</v>
      </c>
      <c r="BC10" s="47">
        <v>-0.94517551224997798</v>
      </c>
      <c r="BD10" s="47">
        <v>1.30863535694415</v>
      </c>
      <c r="BE10" s="7">
        <v>1.3477248477236099</v>
      </c>
      <c r="BF10" s="7">
        <v>-1.33818358306656</v>
      </c>
      <c r="BG10" s="7">
        <v>1.8992360482995501</v>
      </c>
      <c r="BH10" s="3">
        <v>0.432712624318568</v>
      </c>
      <c r="BI10" s="3">
        <v>-0.322657799427637</v>
      </c>
      <c r="BJ10" s="3">
        <v>0.53976686706035204</v>
      </c>
      <c r="BK10" s="15">
        <v>1.0709689999999999E-5</v>
      </c>
      <c r="BL10" s="16">
        <v>0.4</v>
      </c>
      <c r="BM10" s="7">
        <v>1.3477248477236099</v>
      </c>
      <c r="BN10" s="7">
        <v>-1.33818358306656</v>
      </c>
      <c r="BO10" s="7">
        <v>1.8992360482995501</v>
      </c>
      <c r="BP10" s="15">
        <v>-0.76886848988379797</v>
      </c>
      <c r="BQ10" s="15">
        <v>5.9196040000000003E-5</v>
      </c>
      <c r="BR10" s="15">
        <v>0.99996499999999999</v>
      </c>
      <c r="BS10" s="5">
        <v>0.90507996800688495</v>
      </c>
      <c r="BT10" s="5">
        <v>-0.94517551224997798</v>
      </c>
      <c r="BU10" s="5">
        <v>1.30863535694415</v>
      </c>
      <c r="BV10" s="15">
        <v>0.2090562</v>
      </c>
      <c r="BW10" s="15">
        <v>0.59714639999999997</v>
      </c>
      <c r="BX10" s="20">
        <v>0.41836667621661899</v>
      </c>
      <c r="BY10" s="20">
        <v>-0.41836667621661899</v>
      </c>
      <c r="BZ10" s="10">
        <v>0.90507996800688495</v>
      </c>
      <c r="CA10" s="10">
        <v>-0.94517551224997798</v>
      </c>
      <c r="CB10" s="10">
        <v>1.30863535694415</v>
      </c>
      <c r="CC10" s="15"/>
      <c r="CD10" s="13">
        <v>16</v>
      </c>
      <c r="CE10" s="13">
        <v>1</v>
      </c>
      <c r="CF10" s="13">
        <v>1</v>
      </c>
      <c r="CG10" s="13">
        <v>2</v>
      </c>
      <c r="CH10" s="13">
        <v>0.01</v>
      </c>
      <c r="CI10" s="13">
        <v>8</v>
      </c>
      <c r="CJ10" s="13">
        <v>15000</v>
      </c>
      <c r="CK10" s="13">
        <v>538.4</v>
      </c>
    </row>
    <row r="11" spans="1:89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7">
        <v>0.5</v>
      </c>
      <c r="G11" s="57">
        <v>0.42971599999999999</v>
      </c>
      <c r="H11" s="58">
        <v>-0.40701799999999999</v>
      </c>
      <c r="I11" s="57">
        <v>-0.42971571060000002</v>
      </c>
      <c r="J11" s="17">
        <v>0.4070176419</v>
      </c>
      <c r="K11" s="84">
        <f t="shared" si="16"/>
        <v>2.8944076496673077E-7</v>
      </c>
      <c r="L11" s="85">
        <f t="shared" si="17"/>
        <v>3.5812599497031528E-7</v>
      </c>
      <c r="M11" s="88">
        <f>ABS(G11)-ABS(AV11)</f>
        <v>-3.3266917804929963E-3</v>
      </c>
      <c r="N11" s="89">
        <f>ABS(H11)-ABS(AW11)</f>
        <v>1.3904623264909821E-3</v>
      </c>
      <c r="T11" s="15">
        <f t="shared" si="14"/>
        <v>-9.2164085226057013E-2</v>
      </c>
      <c r="U11" s="15">
        <f t="shared" si="18"/>
        <v>0.20171241190377698</v>
      </c>
      <c r="V11" s="30">
        <f>AY11+BH11</f>
        <v>0.87107448655430808</v>
      </c>
      <c r="W11" s="15">
        <f>AZ11+BI11</f>
        <v>-0.75453065431637101</v>
      </c>
      <c r="X11" s="31">
        <f t="shared" si="7"/>
        <v>5.8271916118968536E-2</v>
      </c>
      <c r="Y11" s="15">
        <f t="shared" si="1"/>
        <v>0.78890325657994609</v>
      </c>
      <c r="Z11" s="15">
        <f t="shared" si="2"/>
        <v>-0.43174098588923021</v>
      </c>
      <c r="AA11" s="31">
        <f t="shared" si="15"/>
        <v>0.17858113534535794</v>
      </c>
      <c r="AB11" s="30">
        <f t="shared" si="8"/>
        <v>3.0127658756357034E-2</v>
      </c>
      <c r="AC11" s="15">
        <f t="shared" si="9"/>
        <v>-6.2036426469699979E-2</v>
      </c>
      <c r="AD11" s="31">
        <f t="shared" si="3"/>
        <v>0.78890325657994609</v>
      </c>
      <c r="AE11" s="36">
        <f t="shared" si="4"/>
        <v>-1.1643065435837985E-2</v>
      </c>
      <c r="AF11" s="36">
        <f t="shared" si="5"/>
        <v>-5.9504629431639033E-2</v>
      </c>
      <c r="AG11" s="15">
        <f>AV11-AY11</f>
        <v>3.326981221257963E-3</v>
      </c>
      <c r="AH11" s="15">
        <f>AW11-AZ11</f>
        <v>1.3901042004960118E-3</v>
      </c>
      <c r="AI11" s="17">
        <v>0.5</v>
      </c>
      <c r="AK11" s="17" t="s">
        <v>75</v>
      </c>
      <c r="AL11" s="57">
        <v>-0.42</v>
      </c>
      <c r="AM11" s="17">
        <f>AL11-AZ6</f>
        <v>-3.9029999999999898E-3</v>
      </c>
      <c r="AO11" s="58"/>
      <c r="AR11" s="50">
        <f t="shared" ref="AR11" si="23">AV11-BB11</f>
        <v>0.79223023780120405</v>
      </c>
      <c r="AS11" s="50">
        <f t="shared" ref="AS11" si="24">AW11-BC11</f>
        <v>-0.4303508816887342</v>
      </c>
      <c r="AT11" s="48">
        <f t="shared" ref="AT11" si="25">AY11-AV11</f>
        <v>-3.326981221257963E-3</v>
      </c>
      <c r="AU11" s="48">
        <f t="shared" ref="AU11" si="26">AZ11-AW11</f>
        <v>-1.3901042004960118E-3</v>
      </c>
      <c r="AV11" s="15">
        <v>0.43304269178049298</v>
      </c>
      <c r="AW11" s="15">
        <v>-0.40562753767350901</v>
      </c>
      <c r="AX11" s="45">
        <v>0.59334616559270803</v>
      </c>
      <c r="AY11">
        <v>0.42971571055923502</v>
      </c>
      <c r="AZ11">
        <v>-0.40701764187400502</v>
      </c>
      <c r="BA11">
        <v>0.59187748115476002</v>
      </c>
      <c r="BB11" s="47">
        <v>-0.35918754602071101</v>
      </c>
      <c r="BC11" s="47">
        <v>2.4723344015225201E-2</v>
      </c>
      <c r="BD11" s="47">
        <v>0.36003741049462601</v>
      </c>
      <c r="BE11" s="7">
        <v>-0.63414752803858399</v>
      </c>
      <c r="BF11" s="7">
        <v>0.159562875592174</v>
      </c>
      <c r="BG11" s="7">
        <v>0.65391390762446</v>
      </c>
      <c r="BH11" s="3">
        <v>0.441358775995073</v>
      </c>
      <c r="BI11" s="3">
        <v>-0.34751301244236599</v>
      </c>
      <c r="BJ11" s="3">
        <v>0.56174982239840299</v>
      </c>
      <c r="BK11" s="15">
        <v>1.116719E-5</v>
      </c>
      <c r="BL11" s="16">
        <v>0.5</v>
      </c>
      <c r="BM11" s="7">
        <v>-0.63414752803858399</v>
      </c>
      <c r="BN11" s="7">
        <v>0.159562875592174</v>
      </c>
      <c r="BO11" s="7">
        <v>0.65391390762446</v>
      </c>
      <c r="BP11" s="15">
        <v>0.20171241190377698</v>
      </c>
      <c r="BQ11" s="15">
        <v>5.5661439999999998E-5</v>
      </c>
      <c r="BR11" s="15">
        <v>0.99996399999999996</v>
      </c>
      <c r="BS11" s="5">
        <v>-0.35918754602071101</v>
      </c>
      <c r="BT11" s="5">
        <v>2.4723344015225201E-2</v>
      </c>
      <c r="BU11" s="5">
        <v>0.36003741049462601</v>
      </c>
      <c r="BV11" s="15">
        <v>0.21294950000000001</v>
      </c>
      <c r="BW11" s="15">
        <v>0.92513860000000003</v>
      </c>
      <c r="BX11" s="20">
        <v>0.41836667621661899</v>
      </c>
      <c r="BY11" s="20">
        <v>-0.41836667621661899</v>
      </c>
      <c r="BZ11" s="10">
        <v>-0.35918754602071101</v>
      </c>
      <c r="CA11" s="10">
        <v>2.4723344015225201E-2</v>
      </c>
      <c r="CB11" s="10">
        <v>0.36003741049462601</v>
      </c>
      <c r="CC11" s="15"/>
      <c r="CD11" s="13">
        <v>16</v>
      </c>
      <c r="CE11" s="13">
        <v>1</v>
      </c>
      <c r="CF11" s="13">
        <v>1</v>
      </c>
      <c r="CG11" s="13">
        <v>2</v>
      </c>
      <c r="CH11" s="13">
        <v>0.01</v>
      </c>
      <c r="CI11" s="13">
        <v>8</v>
      </c>
      <c r="CJ11" s="13">
        <v>15000</v>
      </c>
      <c r="CK11" s="13">
        <v>561.20000000000005</v>
      </c>
    </row>
    <row r="12" spans="1:89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7">
        <v>0.6</v>
      </c>
      <c r="G12" s="57">
        <v>0.43198599999999998</v>
      </c>
      <c r="H12" s="58">
        <v>-0.404748</v>
      </c>
      <c r="I12" s="57">
        <v>-0.43198551740000002</v>
      </c>
      <c r="J12" s="17">
        <v>0.404747835</v>
      </c>
      <c r="K12" s="84">
        <f t="shared" si="16"/>
        <v>4.825722410006783E-7</v>
      </c>
      <c r="L12" s="85">
        <f t="shared" si="17"/>
        <v>1.6499451799267817E-7</v>
      </c>
      <c r="M12" s="82"/>
      <c r="N12" s="83"/>
      <c r="T12" s="15">
        <f t="shared" si="14"/>
        <v>-0.84354539986524113</v>
      </c>
      <c r="U12" s="15">
        <f t="shared" si="18"/>
        <v>-0.68426980158545092</v>
      </c>
      <c r="V12" s="30">
        <f>AY12+BH12</f>
        <v>0.86504763238912996</v>
      </c>
      <c r="W12" s="15">
        <f>AZ12+BI12</f>
        <v>-0.68273136885670693</v>
      </c>
      <c r="X12" s="31">
        <f t="shared" si="7"/>
        <v>9.1158131766211514E-2</v>
      </c>
      <c r="Y12" s="15">
        <f t="shared" si="1"/>
        <v>-0.72763073535445111</v>
      </c>
      <c r="Z12" s="15">
        <f t="shared" si="2"/>
        <v>-0.70903287522796798</v>
      </c>
      <c r="AA12" s="31">
        <f t="shared" si="15"/>
        <v>-0.71833180529120955</v>
      </c>
      <c r="AB12" s="30">
        <f t="shared" si="8"/>
        <v>7.736887001860604E-2</v>
      </c>
      <c r="AC12" s="15">
        <f t="shared" si="9"/>
        <v>-0.76617652984663509</v>
      </c>
      <c r="AD12" s="31">
        <f t="shared" si="3"/>
        <v>-0.72763073535445111</v>
      </c>
      <c r="AE12" s="36">
        <f t="shared" si="4"/>
        <v>-1.0765975336120004E-3</v>
      </c>
      <c r="AF12" s="36">
        <f t="shared" si="5"/>
        <v>-0.12676430115425702</v>
      </c>
      <c r="AG12" s="15"/>
      <c r="AH12" s="15"/>
      <c r="AI12" s="17">
        <v>0.6</v>
      </c>
      <c r="AL12" s="57"/>
      <c r="AO12" s="58"/>
      <c r="AR12" s="51"/>
      <c r="AS12" s="51"/>
      <c r="AT12" s="49"/>
      <c r="AU12" s="49"/>
      <c r="AV12" s="15"/>
      <c r="AW12" s="15"/>
      <c r="AX12" s="36"/>
      <c r="AY12">
        <v>0.43198551742775898</v>
      </c>
      <c r="AZ12">
        <v>-0.404747835005482</v>
      </c>
      <c r="BA12">
        <v>0.59197322338848501</v>
      </c>
      <c r="BB12" s="47">
        <v>1.15961625278221</v>
      </c>
      <c r="BC12" s="47">
        <v>0.30428504022248598</v>
      </c>
      <c r="BD12" s="47">
        <v>1.1988741549553299</v>
      </c>
      <c r="BE12" s="7">
        <v>1.29884440994618</v>
      </c>
      <c r="BF12" s="7">
        <v>0.39695585518314602</v>
      </c>
      <c r="BG12" s="7">
        <v>1.3581497532351201</v>
      </c>
      <c r="BH12" s="3">
        <v>0.43306211496137098</v>
      </c>
      <c r="BI12" s="3">
        <v>-0.27798353385122498</v>
      </c>
      <c r="BJ12" s="3">
        <v>0.51460435336987898</v>
      </c>
      <c r="BK12" s="15">
        <v>1.134407E-5</v>
      </c>
      <c r="BL12" s="16">
        <v>0.6</v>
      </c>
      <c r="BM12" s="7">
        <v>1.29884440994618</v>
      </c>
      <c r="BN12" s="7">
        <v>0.39695585518314602</v>
      </c>
      <c r="BO12" s="7">
        <v>1.3581497532351201</v>
      </c>
      <c r="BP12" s="15">
        <v>-0.68426980158545092</v>
      </c>
      <c r="BQ12" s="15">
        <v>4.9417360000000003E-5</v>
      </c>
      <c r="BR12" s="15">
        <v>0.99993200000000004</v>
      </c>
      <c r="BS12" s="5">
        <v>1.15961625278221</v>
      </c>
      <c r="BT12" s="5">
        <v>0.30428504022248598</v>
      </c>
      <c r="BU12" s="5">
        <v>1.1988741549553299</v>
      </c>
      <c r="BV12" s="15">
        <v>0.19559570000000001</v>
      </c>
      <c r="BW12" s="15">
        <v>1.328659</v>
      </c>
      <c r="BX12" s="20">
        <v>0.41836667621661899</v>
      </c>
      <c r="BY12" s="20">
        <v>-0.41836667621661899</v>
      </c>
      <c r="BZ12" s="10">
        <v>1.15961625278221</v>
      </c>
      <c r="CA12" s="10">
        <v>0.30428504022248598</v>
      </c>
      <c r="CB12" s="10">
        <v>1.1988741549553299</v>
      </c>
      <c r="CC12" s="15"/>
      <c r="CD12" s="13">
        <v>16</v>
      </c>
      <c r="CE12" s="13">
        <v>1</v>
      </c>
      <c r="CF12" s="13">
        <v>1</v>
      </c>
      <c r="CG12" s="13">
        <v>2</v>
      </c>
      <c r="CH12" s="13">
        <v>0.01</v>
      </c>
      <c r="CI12" s="13">
        <v>8</v>
      </c>
      <c r="CJ12" s="13">
        <v>15000</v>
      </c>
      <c r="CK12" s="13">
        <v>564.4</v>
      </c>
    </row>
    <row r="13" spans="1:89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7">
        <v>0.7</v>
      </c>
      <c r="G13" s="57">
        <v>0.434255</v>
      </c>
      <c r="H13" s="58">
        <v>-0.402478</v>
      </c>
      <c r="I13" s="57">
        <v>-0.43425532430000002</v>
      </c>
      <c r="J13" s="17">
        <v>0.4024780281</v>
      </c>
      <c r="K13" s="84">
        <f t="shared" si="16"/>
        <v>-3.242962819949291E-7</v>
      </c>
      <c r="L13" s="85">
        <f t="shared" si="17"/>
        <v>-2.813695998415966E-8</v>
      </c>
      <c r="M13" s="88">
        <f>ABS(G13)-ABS(AV13)</f>
        <v>2.7548712212659976E-3</v>
      </c>
      <c r="N13" s="89">
        <f>ABS(H13)-ABS(AW13)</f>
        <v>1.3128455341099854E-3</v>
      </c>
      <c r="T13" s="15">
        <f t="shared" si="14"/>
        <v>-1.4145697130045529</v>
      </c>
      <c r="U13" s="15">
        <f t="shared" si="18"/>
        <v>-1.1659008059386928</v>
      </c>
      <c r="V13" s="32">
        <f>AY13-BH13</f>
        <v>5.2653408476490138E-3</v>
      </c>
      <c r="W13" s="33">
        <f>AZ13-BI13</f>
        <v>-0.12426644537632198</v>
      </c>
      <c r="X13" s="34">
        <f t="shared" si="7"/>
        <v>-5.9500552264336481E-2</v>
      </c>
      <c r="Y13" s="33">
        <f t="shared" si="1"/>
        <v>-0.91896404012691801</v>
      </c>
      <c r="Z13" s="33">
        <f t="shared" si="2"/>
        <v>0.58839072757685906</v>
      </c>
      <c r="AA13" s="34">
        <f t="shared" si="15"/>
        <v>-0.16528665627502948</v>
      </c>
      <c r="AB13" s="30">
        <f t="shared" si="8"/>
        <v>8.0780094156347015E-2</v>
      </c>
      <c r="AC13" s="15">
        <f t="shared" si="9"/>
        <v>-1.3337896188482059</v>
      </c>
      <c r="AD13" s="31">
        <f t="shared" si="3"/>
        <v>-0.91896404012691801</v>
      </c>
      <c r="AE13" s="36">
        <f t="shared" si="4"/>
        <v>5.2653408476490138E-3</v>
      </c>
      <c r="AF13" s="36">
        <f t="shared" si="5"/>
        <v>-0.12426644537632198</v>
      </c>
      <c r="AG13" s="15">
        <f>AV13-AY13</f>
        <v>-2.7551955175479925E-3</v>
      </c>
      <c r="AH13" s="15">
        <f>AW13-AZ13</f>
        <v>1.3128736710699696E-3</v>
      </c>
      <c r="AI13" s="17">
        <v>0.7</v>
      </c>
      <c r="AL13" s="57"/>
      <c r="AO13" s="58"/>
      <c r="AR13" s="51"/>
      <c r="AS13" s="51"/>
      <c r="AT13" s="48">
        <f t="shared" ref="AT13" si="27">AY13-AV13</f>
        <v>2.7551955175479925E-3</v>
      </c>
      <c r="AU13" s="48">
        <f t="shared" ref="AU13" si="28">AZ13-AW13</f>
        <v>-1.3128736710699696E-3</v>
      </c>
      <c r="AV13" s="15">
        <v>0.431500128778734</v>
      </c>
      <c r="AW13" s="15">
        <v>-0.40116515446589002</v>
      </c>
      <c r="AX13" s="44">
        <v>0.58917386423169305</v>
      </c>
      <c r="AY13">
        <v>0.434255324296282</v>
      </c>
      <c r="AZ13">
        <v>-0.40247802813695999</v>
      </c>
      <c r="BA13">
        <v>0.59208635334103399</v>
      </c>
      <c r="BB13" s="47">
        <v>1.3532193644232</v>
      </c>
      <c r="BC13" s="47">
        <v>-0.99086875571381905</v>
      </c>
      <c r="BD13" s="47">
        <v>1.6772070651233799</v>
      </c>
      <c r="BE13" s="7">
        <v>1.47819152095449</v>
      </c>
      <c r="BF13" s="7">
        <v>-1.2344829231844801</v>
      </c>
      <c r="BG13" s="7">
        <v>1.92587597218924</v>
      </c>
      <c r="BH13" s="3">
        <v>0.42898998344863298</v>
      </c>
      <c r="BI13" s="3">
        <v>-0.27821158276063801</v>
      </c>
      <c r="BJ13" s="3">
        <v>0.51130625918468697</v>
      </c>
      <c r="BK13" s="15">
        <v>1.3134060000000001E-5</v>
      </c>
      <c r="BL13" s="16">
        <v>0.7</v>
      </c>
      <c r="BM13" s="7">
        <v>1.47819152095449</v>
      </c>
      <c r="BN13" s="7">
        <v>-1.2344829231844801</v>
      </c>
      <c r="BO13" s="7">
        <v>1.92587597218924</v>
      </c>
      <c r="BP13" s="15">
        <v>-1.1659008059386928</v>
      </c>
      <c r="BQ13" s="15">
        <v>6.0528790000000002E-5</v>
      </c>
      <c r="BR13" s="15">
        <v>0.99991200000000002</v>
      </c>
      <c r="BS13" s="5">
        <v>1.3532193644232</v>
      </c>
      <c r="BT13" s="5">
        <v>-0.99086875571381905</v>
      </c>
      <c r="BU13" s="5">
        <v>1.6772070651233799</v>
      </c>
      <c r="BV13" s="15">
        <v>0.17096130000000001</v>
      </c>
      <c r="BW13" s="15">
        <v>0.69584840000000003</v>
      </c>
      <c r="BX13" s="20">
        <v>0.41836667621661899</v>
      </c>
      <c r="BY13" s="20">
        <v>-0.41836667621661899</v>
      </c>
      <c r="BZ13" s="10">
        <v>1.3532193644232</v>
      </c>
      <c r="CA13" s="10">
        <v>-0.99086875571381905</v>
      </c>
      <c r="CB13" s="10">
        <v>1.6772070651233799</v>
      </c>
      <c r="CC13" s="15"/>
      <c r="CD13" s="13">
        <v>16</v>
      </c>
      <c r="CE13" s="13">
        <v>1</v>
      </c>
      <c r="CF13" s="13">
        <v>1</v>
      </c>
      <c r="CG13" s="13">
        <v>2</v>
      </c>
      <c r="CH13" s="13">
        <v>0.01</v>
      </c>
      <c r="CI13" s="13">
        <v>8</v>
      </c>
      <c r="CJ13" s="13">
        <v>15000</v>
      </c>
      <c r="CK13" s="13">
        <v>588</v>
      </c>
    </row>
    <row r="14" spans="1:89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7">
        <v>0.8</v>
      </c>
      <c r="G14" s="57">
        <v>0.436525</v>
      </c>
      <c r="H14" s="58">
        <v>-0.40020800000000001</v>
      </c>
      <c r="I14" s="57">
        <v>-0.43652513120000003</v>
      </c>
      <c r="J14" s="17">
        <v>0.4002082213</v>
      </c>
      <c r="K14" s="84">
        <f t="shared" si="16"/>
        <v>-1.31164805017292E-7</v>
      </c>
      <c r="L14" s="85">
        <f t="shared" si="17"/>
        <v>-2.2126843701730792E-7</v>
      </c>
      <c r="M14" s="82"/>
      <c r="N14" s="83"/>
      <c r="T14" s="15">
        <f t="shared" si="14"/>
        <v>-1.5429140289728069</v>
      </c>
      <c r="U14" s="15">
        <f t="shared" si="18"/>
        <v>-1.1908294650063769</v>
      </c>
      <c r="V14" s="15"/>
      <c r="W14" s="15"/>
      <c r="X14" s="15"/>
      <c r="Y14" s="15"/>
      <c r="Z14" s="15"/>
      <c r="AA14" s="15"/>
      <c r="AB14" s="30">
        <f t="shared" si="8"/>
        <v>0.18172808884532604</v>
      </c>
      <c r="AC14" s="15">
        <f t="shared" si="9"/>
        <v>-1.3611859401274811</v>
      </c>
      <c r="AD14" s="31">
        <f t="shared" si="3"/>
        <v>1.0560073451687024E-2</v>
      </c>
      <c r="AE14" s="15"/>
      <c r="AF14" s="15"/>
      <c r="AG14" s="15"/>
      <c r="AH14" s="15"/>
      <c r="AI14" s="17">
        <v>0.8</v>
      </c>
      <c r="AL14" s="57"/>
      <c r="AO14" s="58"/>
      <c r="AR14" s="51"/>
      <c r="AS14" s="51"/>
      <c r="AT14" s="49"/>
      <c r="AU14" s="49"/>
      <c r="AV14" s="15"/>
      <c r="AW14" s="15"/>
      <c r="AX14" s="15"/>
      <c r="AY14">
        <v>0.43652513116480501</v>
      </c>
      <c r="AZ14">
        <v>-0.40020822126843703</v>
      </c>
      <c r="BA14">
        <v>0.59221686104778903</v>
      </c>
      <c r="BB14" s="5">
        <v>0.42596505771311799</v>
      </c>
      <c r="BC14" s="5">
        <v>-1.5436236155310299</v>
      </c>
      <c r="BD14" s="5">
        <v>1.6013182372088399</v>
      </c>
      <c r="BE14" s="7">
        <v>0.36500845508625501</v>
      </c>
      <c r="BF14" s="7">
        <v>-1.9189974808099499</v>
      </c>
      <c r="BG14" s="7">
        <v>1.95340280117527</v>
      </c>
      <c r="BH14" s="3">
        <v>0.40284725419550899</v>
      </c>
      <c r="BI14" s="3">
        <v>-7.8836044366930799E-2</v>
      </c>
      <c r="BJ14" s="3">
        <v>0.41048877220246299</v>
      </c>
      <c r="BK14" s="15">
        <v>1.322406E-5</v>
      </c>
      <c r="BL14" s="16">
        <v>0.8</v>
      </c>
      <c r="BM14" s="7">
        <v>0.36500845508625501</v>
      </c>
      <c r="BN14" s="7">
        <v>-1.9189974808099499</v>
      </c>
      <c r="BO14" s="7">
        <v>1.95340280117527</v>
      </c>
      <c r="BP14" s="15">
        <v>-1.1908294650063769</v>
      </c>
      <c r="BQ14" s="15">
        <v>1.054128E-4</v>
      </c>
      <c r="BR14" s="15">
        <v>0.99988500000000002</v>
      </c>
      <c r="BS14" s="5">
        <v>0.42596505771311799</v>
      </c>
      <c r="BT14" s="5">
        <v>-1.5436236155310299</v>
      </c>
      <c r="BU14" s="5">
        <v>1.6013182372088399</v>
      </c>
      <c r="BV14" s="15">
        <v>0.14611350000000001</v>
      </c>
      <c r="BW14" s="15">
        <v>0.91485249999999996</v>
      </c>
      <c r="BX14" s="20">
        <v>0.41836667621661899</v>
      </c>
      <c r="BY14" s="20">
        <v>-0.41836667621661899</v>
      </c>
      <c r="BZ14" s="10">
        <v>0.42596505771311799</v>
      </c>
      <c r="CA14" s="10">
        <v>-1.5436236155310299</v>
      </c>
      <c r="CB14" s="10">
        <v>1.6013182372088399</v>
      </c>
      <c r="CC14" s="15"/>
      <c r="CD14" s="13">
        <v>16</v>
      </c>
      <c r="CE14" s="13">
        <v>1</v>
      </c>
      <c r="CF14" s="13">
        <v>1</v>
      </c>
      <c r="CG14" s="13">
        <v>2</v>
      </c>
      <c r="CH14" s="13">
        <v>0.01</v>
      </c>
      <c r="CI14" s="13">
        <v>8</v>
      </c>
      <c r="CJ14" s="13">
        <v>15000</v>
      </c>
      <c r="CK14" s="13">
        <v>582.9</v>
      </c>
    </row>
    <row r="15" spans="1:89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7">
        <v>0.9</v>
      </c>
      <c r="G15" s="57">
        <v>0.43879499999999999</v>
      </c>
      <c r="H15" s="58">
        <v>-0.39793800000000001</v>
      </c>
      <c r="I15" s="57">
        <v>-0.43879493800000002</v>
      </c>
      <c r="J15" s="17">
        <v>0.3979384144</v>
      </c>
      <c r="K15" s="84">
        <f t="shared" si="16"/>
        <v>6.1966672015856261E-8</v>
      </c>
      <c r="L15" s="85">
        <f t="shared" si="17"/>
        <v>-4.1439991399494502E-7</v>
      </c>
      <c r="M15" s="82"/>
      <c r="N15" s="83"/>
      <c r="T15" s="15">
        <f t="shared" si="14"/>
        <v>-1.166235658952806</v>
      </c>
      <c r="U15" s="15">
        <f t="shared" si="18"/>
        <v>-0.75154478443724593</v>
      </c>
      <c r="V15" s="15"/>
      <c r="W15" s="15"/>
      <c r="X15" s="15"/>
      <c r="Y15" s="15"/>
      <c r="Z15" s="15"/>
      <c r="AA15" s="15"/>
      <c r="AB15" s="30">
        <f t="shared" si="8"/>
        <v>5.451557479979896E-2</v>
      </c>
      <c r="AC15" s="15">
        <f t="shared" si="9"/>
        <v>-1.1117200841530068</v>
      </c>
      <c r="AD15" s="31">
        <f t="shared" si="3"/>
        <v>0.84393645245891991</v>
      </c>
      <c r="AE15" s="15"/>
      <c r="AF15" s="15"/>
      <c r="AG15" s="15"/>
      <c r="AH15" s="15"/>
      <c r="AI15" s="17">
        <v>0.9</v>
      </c>
      <c r="AL15" s="57"/>
      <c r="AO15" s="58"/>
      <c r="AR15" s="51"/>
      <c r="AS15" s="51"/>
      <c r="AT15" s="49"/>
      <c r="AU15" s="49"/>
      <c r="AV15" s="15"/>
      <c r="AW15" s="15"/>
      <c r="AX15" s="15"/>
      <c r="AY15">
        <v>0.43879493803332797</v>
      </c>
      <c r="AZ15">
        <v>-0.39793841439991401</v>
      </c>
      <c r="BA15">
        <v>0.59236473502293296</v>
      </c>
      <c r="BB15" s="5">
        <v>-0.40514151442559199</v>
      </c>
      <c r="BC15" s="5">
        <v>-1.22409031440323</v>
      </c>
      <c r="BD15" s="5">
        <v>1.2893939446603799</v>
      </c>
      <c r="BE15" s="7">
        <v>-1.09647851053595</v>
      </c>
      <c r="BF15" s="7">
        <v>-1.30446922036466</v>
      </c>
      <c r="BG15" s="7">
        <v>1.7040848191759399</v>
      </c>
      <c r="BH15" s="3">
        <v>0.44753086447989698</v>
      </c>
      <c r="BI15" s="3">
        <v>-0.29832506513969997</v>
      </c>
      <c r="BJ15" s="3">
        <v>0.537849160223134</v>
      </c>
      <c r="BK15" s="15">
        <v>2.0992099999999998E-5</v>
      </c>
      <c r="BL15" s="16">
        <v>0.9</v>
      </c>
      <c r="BM15" s="7">
        <v>-1.09647851053595</v>
      </c>
      <c r="BN15" s="7">
        <v>-1.30446922036466</v>
      </c>
      <c r="BO15" s="7">
        <v>1.7040848191759399</v>
      </c>
      <c r="BP15" s="15">
        <v>-0.75154478443724593</v>
      </c>
      <c r="BQ15" s="15">
        <v>2.008685E-4</v>
      </c>
      <c r="BR15" s="15">
        <v>0.99987599999999999</v>
      </c>
      <c r="BS15" s="5">
        <v>-0.40514151442559199</v>
      </c>
      <c r="BT15" s="5">
        <v>-1.22409031440323</v>
      </c>
      <c r="BU15" s="5">
        <v>1.2893939446603799</v>
      </c>
      <c r="BV15" s="15">
        <v>0.12389749999999999</v>
      </c>
      <c r="BW15" s="15">
        <v>1.181179</v>
      </c>
      <c r="BX15" s="20">
        <v>0.41836667621661899</v>
      </c>
      <c r="BY15" s="20">
        <v>-0.41836667621661899</v>
      </c>
      <c r="BZ15" s="10">
        <v>-0.40514151442559199</v>
      </c>
      <c r="CA15" s="10">
        <v>-1.22409031440323</v>
      </c>
      <c r="CB15" s="10">
        <v>1.2893939446603799</v>
      </c>
      <c r="CC15" s="15"/>
      <c r="CD15" s="13">
        <v>16</v>
      </c>
      <c r="CE15" s="13">
        <v>1</v>
      </c>
      <c r="CF15" s="13">
        <v>1</v>
      </c>
      <c r="CG15" s="13">
        <v>2</v>
      </c>
      <c r="CH15" s="13">
        <v>0.01</v>
      </c>
      <c r="CI15" s="13">
        <v>8</v>
      </c>
      <c r="CJ15" s="13">
        <v>15000</v>
      </c>
      <c r="CK15" s="13">
        <v>587.9</v>
      </c>
    </row>
    <row r="16" spans="1:89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7">
        <v>1</v>
      </c>
      <c r="G16" s="57">
        <v>0.44106499999999998</v>
      </c>
      <c r="H16" s="58">
        <v>-0.39566899999999999</v>
      </c>
      <c r="I16" s="57">
        <v>-0.44106474490000003</v>
      </c>
      <c r="J16" s="17">
        <v>0.39566860749999999</v>
      </c>
      <c r="K16" s="84">
        <f t="shared" si="16"/>
        <v>2.5509814899349337E-7</v>
      </c>
      <c r="L16" s="85">
        <f t="shared" si="17"/>
        <v>3.9246860900066238E-7</v>
      </c>
      <c r="M16" s="88">
        <f>ABS(G16)-ABS(AV16)</f>
        <v>5.5101502541939906E-3</v>
      </c>
      <c r="N16" s="89">
        <f>ABS(H16)-ABS(AW16)</f>
        <v>2.3578596767609983E-3</v>
      </c>
      <c r="T16" s="15">
        <f t="shared" si="14"/>
        <v>-0.72293426116734394</v>
      </c>
      <c r="U16" s="15">
        <f t="shared" si="18"/>
        <v>-0.51616790447968208</v>
      </c>
      <c r="V16" s="15"/>
      <c r="W16" s="15"/>
      <c r="X16" s="15"/>
      <c r="Y16" s="15"/>
      <c r="Z16" s="15"/>
      <c r="AA16" s="15"/>
      <c r="AB16" s="30">
        <f t="shared" si="8"/>
        <v>0.16305248967747893</v>
      </c>
      <c r="AC16" s="15">
        <f t="shared" si="9"/>
        <v>-0.55988177148986507</v>
      </c>
      <c r="AD16" s="31">
        <f t="shared" si="3"/>
        <v>1.194906694961106</v>
      </c>
      <c r="AE16" s="15"/>
      <c r="AF16" s="15"/>
      <c r="AG16" s="15">
        <f>AV16-AY16</f>
        <v>-5.5098951560449971E-3</v>
      </c>
      <c r="AH16" s="15">
        <f>AW16-AZ16</f>
        <v>2.3574672081519976E-3</v>
      </c>
      <c r="AI16" s="17">
        <v>1</v>
      </c>
      <c r="AL16" s="57"/>
      <c r="AO16" s="58"/>
      <c r="AR16" s="50">
        <f t="shared" ref="AR16" si="29">AV16-BB16</f>
        <v>1.189396799805061</v>
      </c>
      <c r="AS16" s="50">
        <f t="shared" ref="AS16" si="30">AW16-BC16</f>
        <v>0.17762448958478905</v>
      </c>
      <c r="AT16" s="48">
        <f t="shared" ref="AT16" si="31">AY16-AV16</f>
        <v>5.5098951560449971E-3</v>
      </c>
      <c r="AU16" s="48">
        <f t="shared" ref="AU16" si="32">AZ16-AW16</f>
        <v>-2.3574672081519976E-3</v>
      </c>
      <c r="AV16" s="15">
        <v>0.43555484974580599</v>
      </c>
      <c r="AW16" s="15">
        <v>-0.39331114032323899</v>
      </c>
      <c r="AX16" s="45">
        <v>0.586857461603292</v>
      </c>
      <c r="AY16">
        <v>0.44106474490185099</v>
      </c>
      <c r="AZ16">
        <v>-0.39566860753139099</v>
      </c>
      <c r="BA16">
        <v>0.59252996226449495</v>
      </c>
      <c r="BB16" s="5">
        <v>-0.75384195005925503</v>
      </c>
      <c r="BC16" s="5">
        <v>-0.57093562990802804</v>
      </c>
      <c r="BD16" s="5">
        <v>0.94564537706669805</v>
      </c>
      <c r="BE16" s="7">
        <v>0.23895537712982301</v>
      </c>
      <c r="BF16" s="7">
        <v>-1.1273655715141699</v>
      </c>
      <c r="BG16" s="7">
        <v>1.15241173375436</v>
      </c>
      <c r="BH16" s="3">
        <v>0.38875603774941703</v>
      </c>
      <c r="BI16" s="3">
        <v>-0.18253668829335301</v>
      </c>
      <c r="BJ16" s="3">
        <v>0.42947747258701602</v>
      </c>
      <c r="BK16" s="15">
        <v>1.370807E-5</v>
      </c>
      <c r="BL16" s="16">
        <v>1</v>
      </c>
      <c r="BM16" s="7">
        <v>0.23895537712982301</v>
      </c>
      <c r="BN16" s="7">
        <v>-1.1273655715141699</v>
      </c>
      <c r="BO16" s="7">
        <v>1.15241173375436</v>
      </c>
      <c r="BP16" s="15">
        <v>-0.51616790447968208</v>
      </c>
      <c r="BQ16" s="15">
        <v>1.005259E-4</v>
      </c>
      <c r="BR16" s="15">
        <v>0.99990699999999999</v>
      </c>
      <c r="BS16" s="5">
        <v>-0.75384195005925503</v>
      </c>
      <c r="BT16" s="5">
        <v>-0.57093562990802804</v>
      </c>
      <c r="BU16" s="5">
        <v>0.94564537706669805</v>
      </c>
      <c r="BV16" s="15">
        <v>0.1050461</v>
      </c>
      <c r="BW16" s="15">
        <v>1.276173</v>
      </c>
      <c r="BX16" s="20">
        <v>0.41836667621661899</v>
      </c>
      <c r="BY16" s="20">
        <v>-0.41836667621661899</v>
      </c>
      <c r="BZ16" s="10">
        <v>-0.75384195005925503</v>
      </c>
      <c r="CA16" s="10">
        <v>-0.57093562990802804</v>
      </c>
      <c r="CB16" s="10">
        <v>0.94564537706669805</v>
      </c>
      <c r="CC16" s="15"/>
      <c r="CD16" s="13">
        <v>16</v>
      </c>
      <c r="CE16" s="13">
        <v>1</v>
      </c>
      <c r="CF16" s="13">
        <v>1</v>
      </c>
      <c r="CG16" s="13">
        <v>2</v>
      </c>
      <c r="CH16" s="13">
        <v>0.01</v>
      </c>
      <c r="CI16" s="13">
        <v>8</v>
      </c>
      <c r="CJ16" s="13">
        <v>15000</v>
      </c>
      <c r="CK16" s="13">
        <v>594.29999999999995</v>
      </c>
    </row>
    <row r="17" spans="1:89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G17" s="57">
        <v>0.44333499999999998</v>
      </c>
      <c r="H17" s="58">
        <v>-0.393399</v>
      </c>
      <c r="I17" s="57"/>
      <c r="K17" s="82"/>
      <c r="L17" s="83"/>
      <c r="M17" s="82"/>
      <c r="N17" s="83"/>
      <c r="P17">
        <v>1.2</v>
      </c>
      <c r="T17" s="15">
        <f t="shared" si="14"/>
        <v>-0.19082299014612497</v>
      </c>
      <c r="U17" s="15">
        <f t="shared" si="18"/>
        <v>-0.20263556713091696</v>
      </c>
      <c r="V17" s="15"/>
      <c r="W17" s="15"/>
      <c r="X17" s="15"/>
      <c r="Y17" s="15"/>
      <c r="Z17" s="15"/>
      <c r="AA17" s="15"/>
      <c r="AB17" s="30">
        <f t="shared" si="8"/>
        <v>9.329743291963305E-2</v>
      </c>
      <c r="AC17" s="15">
        <f t="shared" si="9"/>
        <v>-9.7525557226491921E-2</v>
      </c>
      <c r="AD17" s="31">
        <f t="shared" si="3"/>
        <v>1.1437122908510671</v>
      </c>
      <c r="AE17" s="15"/>
      <c r="AF17" s="15"/>
      <c r="AG17" s="15"/>
      <c r="AH17" s="15"/>
      <c r="AI17" s="17">
        <v>1.1000000000000001</v>
      </c>
      <c r="AL17" s="57"/>
      <c r="AO17" s="58"/>
      <c r="AU17" s="17">
        <v>1.2</v>
      </c>
      <c r="AV17" s="17">
        <v>-0.43800563248688701</v>
      </c>
      <c r="AW17" s="17">
        <v>0.38806765140185501</v>
      </c>
      <c r="AY17">
        <v>0.44333455177037401</v>
      </c>
      <c r="AZ17">
        <v>-0.39339880066286798</v>
      </c>
      <c r="BA17">
        <v>0.59271252826005005</v>
      </c>
      <c r="BB17" s="5">
        <v>-0.70037773908069301</v>
      </c>
      <c r="BC17" s="5">
        <v>4.8437127047911602E-2</v>
      </c>
      <c r="BD17" s="5">
        <v>0.70205066247133396</v>
      </c>
      <c r="BE17" s="7">
        <v>0.298975925923744</v>
      </c>
      <c r="BF17" s="7">
        <v>-0.62212700501920504</v>
      </c>
      <c r="BG17" s="7">
        <v>0.69023808548654197</v>
      </c>
      <c r="BH17" s="3">
        <v>0.43364537005112902</v>
      </c>
      <c r="BI17" s="3">
        <v>-0.24772389970912501</v>
      </c>
      <c r="BJ17" s="3">
        <v>0.499415095340417</v>
      </c>
      <c r="BK17" s="15">
        <v>1.947085E-5</v>
      </c>
      <c r="BL17" s="16">
        <v>1.1000000000000001</v>
      </c>
      <c r="BM17" s="7">
        <v>0.298975925923744</v>
      </c>
      <c r="BN17" s="7">
        <v>-0.62212700501920504</v>
      </c>
      <c r="BO17" s="7">
        <v>0.69023808548654197</v>
      </c>
      <c r="BP17" s="15">
        <v>-0.20263556713091696</v>
      </c>
      <c r="BQ17" s="15">
        <v>1.9880749999999999E-4</v>
      </c>
      <c r="BR17" s="15">
        <v>0.99987099999999995</v>
      </c>
      <c r="BS17" s="5">
        <v>-0.70037773908069301</v>
      </c>
      <c r="BT17" s="5">
        <v>4.8437127047911602E-2</v>
      </c>
      <c r="BU17" s="5">
        <v>0.70205066247133396</v>
      </c>
      <c r="BV17" s="15">
        <v>8.9406239999999998E-2</v>
      </c>
      <c r="BW17" s="15">
        <v>1.669478</v>
      </c>
      <c r="BX17" s="20">
        <v>0.41836667621661899</v>
      </c>
      <c r="BY17" s="20">
        <v>-0.41836667621661899</v>
      </c>
      <c r="BZ17" s="10">
        <v>-0.70037773908069301</v>
      </c>
      <c r="CA17" s="10">
        <v>4.8437127047911602E-2</v>
      </c>
      <c r="CB17" s="10">
        <v>0.70205066247133396</v>
      </c>
      <c r="CC17" s="15"/>
      <c r="CD17" s="13">
        <v>16</v>
      </c>
      <c r="CE17" s="13">
        <v>1</v>
      </c>
      <c r="CF17" s="13">
        <v>1</v>
      </c>
      <c r="CG17" s="13">
        <v>2</v>
      </c>
      <c r="CH17" s="13">
        <v>0.01</v>
      </c>
      <c r="CI17" s="13">
        <v>8</v>
      </c>
      <c r="CJ17" s="13">
        <v>15000</v>
      </c>
      <c r="CK17" s="13">
        <v>567.6</v>
      </c>
    </row>
    <row r="18" spans="1:89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G18" s="57">
        <v>0.46376299999999998</v>
      </c>
      <c r="H18" s="58">
        <v>-0.372971</v>
      </c>
      <c r="I18" s="57"/>
      <c r="K18" s="82"/>
      <c r="L18" s="83"/>
      <c r="M18" s="82"/>
      <c r="N18" s="83"/>
      <c r="P18">
        <v>1.5</v>
      </c>
      <c r="T18" s="15">
        <f t="shared" si="14"/>
        <v>-0.66740646093593603</v>
      </c>
      <c r="U18" s="15">
        <f t="shared" si="18"/>
        <v>-1.281747772931958</v>
      </c>
      <c r="V18" s="15"/>
      <c r="W18" s="15"/>
      <c r="X18" s="15"/>
      <c r="Y18" s="15"/>
      <c r="Z18" s="15"/>
      <c r="AA18" s="15"/>
      <c r="AB18" s="30">
        <f t="shared" si="8"/>
        <v>0.28826167677646702</v>
      </c>
      <c r="AC18" s="15">
        <f t="shared" si="9"/>
        <v>-0.37914478415946895</v>
      </c>
      <c r="AD18" s="31">
        <f t="shared" si="3"/>
        <v>-1.116417224803828</v>
      </c>
      <c r="AE18" s="15"/>
      <c r="AF18" s="15"/>
      <c r="AG18" s="15"/>
      <c r="AH18" s="15"/>
      <c r="AI18" s="17">
        <v>2</v>
      </c>
      <c r="AL18" s="57"/>
      <c r="AO18" s="58"/>
      <c r="AU18" s="17">
        <v>1.5</v>
      </c>
      <c r="AV18" s="17">
        <v>-0.44109460221624802</v>
      </c>
      <c r="AW18" s="17">
        <v>0.38030972186100698</v>
      </c>
      <c r="AY18">
        <v>0.46376281358708199</v>
      </c>
      <c r="AZ18">
        <v>-0.37297053884615999</v>
      </c>
      <c r="BA18">
        <v>0.59513273318932902</v>
      </c>
      <c r="BB18" s="5">
        <v>1.5801800383909099</v>
      </c>
      <c r="BC18" s="5">
        <v>0.16352624015679401</v>
      </c>
      <c r="BD18" s="5">
        <v>1.58861882934482</v>
      </c>
      <c r="BE18" s="7">
        <v>0.76259002379749896</v>
      </c>
      <c r="BF18" s="7">
        <v>-0.60636056634305102</v>
      </c>
      <c r="BG18" s="7">
        <v>0.97427751734879797</v>
      </c>
      <c r="BH18" s="3">
        <v>0.27992729188315002</v>
      </c>
      <c r="BI18" s="3">
        <v>-0.12574003548159199</v>
      </c>
      <c r="BJ18" s="3">
        <v>0.306871056412862</v>
      </c>
      <c r="BK18" s="15">
        <v>1.4754719999999999E-5</v>
      </c>
      <c r="BL18" s="16">
        <v>2</v>
      </c>
      <c r="BM18" s="7">
        <v>0.76259002379749896</v>
      </c>
      <c r="BN18" s="7">
        <v>-0.60636056634305102</v>
      </c>
      <c r="BO18" s="7">
        <v>0.97427751734879797</v>
      </c>
      <c r="BP18" s="15">
        <v>-1.281747772931958</v>
      </c>
      <c r="BQ18" s="15">
        <v>2.605253E-4</v>
      </c>
      <c r="BR18" s="15">
        <v>0.99976299999999996</v>
      </c>
      <c r="BS18" s="5">
        <v>1.5801800383909099</v>
      </c>
      <c r="BT18" s="5">
        <v>0.16352624015679401</v>
      </c>
      <c r="BU18" s="5">
        <v>1.58861882934482</v>
      </c>
      <c r="BV18" s="15">
        <v>2.6561689999999999E-2</v>
      </c>
      <c r="BW18" s="15">
        <v>1.171138</v>
      </c>
      <c r="BX18" s="20">
        <v>0.41836667621661899</v>
      </c>
      <c r="BY18" s="20">
        <v>-0.41836667621661899</v>
      </c>
      <c r="BZ18" s="10">
        <v>1.5801800383909099</v>
      </c>
      <c r="CA18" s="10">
        <v>0.16352624015679401</v>
      </c>
      <c r="CB18" s="10">
        <v>1.58861882934482</v>
      </c>
      <c r="CC18" s="15"/>
      <c r="CD18" s="13">
        <v>16</v>
      </c>
      <c r="CE18" s="13">
        <v>1</v>
      </c>
      <c r="CF18" s="13">
        <v>1</v>
      </c>
      <c r="CG18" s="13">
        <v>2</v>
      </c>
      <c r="CH18" s="13">
        <v>0.01</v>
      </c>
      <c r="CI18" s="13">
        <v>8</v>
      </c>
      <c r="CJ18" s="13">
        <v>15000</v>
      </c>
      <c r="CK18" s="13">
        <v>571.70000000000005</v>
      </c>
    </row>
    <row r="19" spans="1:89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G19" s="57">
        <v>0.48646099999999998</v>
      </c>
      <c r="H19" s="58">
        <v>-0.35027200000000003</v>
      </c>
      <c r="I19" s="57"/>
      <c r="K19" s="82"/>
      <c r="L19" s="83"/>
      <c r="M19" s="82"/>
      <c r="N19" s="83"/>
      <c r="P19">
        <v>2</v>
      </c>
      <c r="T19" s="15">
        <f t="shared" si="14"/>
        <v>-1.363905243264959</v>
      </c>
      <c r="U19" s="15">
        <f t="shared" si="18"/>
        <v>-1.2800812362153591</v>
      </c>
      <c r="V19" s="15"/>
      <c r="W19" s="15"/>
      <c r="X19" s="15"/>
      <c r="Y19" s="15"/>
      <c r="Z19" s="15"/>
      <c r="AA19" s="15"/>
      <c r="AB19" s="30">
        <f t="shared" si="8"/>
        <v>6.9619278707717003E-2</v>
      </c>
      <c r="AC19" s="15">
        <f t="shared" si="9"/>
        <v>-1.294285964557242</v>
      </c>
      <c r="AD19" s="31">
        <f t="shared" si="3"/>
        <v>-1.064998484757508</v>
      </c>
      <c r="AE19" s="15"/>
      <c r="AF19" s="15"/>
      <c r="AG19" s="15"/>
      <c r="AH19" s="15"/>
      <c r="AI19" s="17">
        <v>3</v>
      </c>
      <c r="AL19" s="57"/>
      <c r="AO19" s="58"/>
      <c r="AU19" s="17">
        <v>2</v>
      </c>
      <c r="AV19" s="17">
        <v>-0.44497868717495698</v>
      </c>
      <c r="AW19" s="17">
        <v>0.367827515089311</v>
      </c>
      <c r="AY19">
        <v>0.48646088227231199</v>
      </c>
      <c r="AZ19">
        <v>-0.35027247016092999</v>
      </c>
      <c r="BA19">
        <v>0.59944557161913803</v>
      </c>
      <c r="BB19" s="5">
        <v>1.55145936702982</v>
      </c>
      <c r="BC19" s="5">
        <v>-0.93206174497467897</v>
      </c>
      <c r="BD19" s="5">
        <v>1.8099075291267801</v>
      </c>
      <c r="BE19" s="7">
        <v>1.88712470203465</v>
      </c>
      <c r="BF19" s="7">
        <v>0.15804901163740101</v>
      </c>
      <c r="BG19" s="7">
        <v>1.89373153617638</v>
      </c>
      <c r="BH19" s="3">
        <v>0.44467422076545299</v>
      </c>
      <c r="BI19" s="3">
        <v>-0.28806377427037899</v>
      </c>
      <c r="BJ19" s="3">
        <v>0.52982629291142103</v>
      </c>
      <c r="BK19" s="15">
        <v>4.128381E-5</v>
      </c>
      <c r="BL19" s="16">
        <v>3</v>
      </c>
      <c r="BM19" s="7">
        <v>1.88712470203465</v>
      </c>
      <c r="BN19" s="7">
        <v>0.15804901163740101</v>
      </c>
      <c r="BO19" s="7">
        <v>1.89373153617638</v>
      </c>
      <c r="BP19" s="15">
        <v>-1.2800812362153591</v>
      </c>
      <c r="BQ19" s="15">
        <v>5.4041460000000001E-4</v>
      </c>
      <c r="BR19" s="15">
        <v>0.99931599999999998</v>
      </c>
      <c r="BS19" s="5">
        <v>1.55145936702982</v>
      </c>
      <c r="BT19" s="5">
        <v>-0.93206174497467897</v>
      </c>
      <c r="BU19" s="5">
        <v>1.8099075291267801</v>
      </c>
      <c r="BV19" s="15">
        <v>9.7190530000000001E-3</v>
      </c>
      <c r="BW19" s="15">
        <v>0.70750040000000003</v>
      </c>
      <c r="BX19" s="20">
        <v>0.41836667621661899</v>
      </c>
      <c r="BY19" s="20">
        <v>-0.41836667621661899</v>
      </c>
      <c r="BZ19" s="10">
        <v>1.55145936702982</v>
      </c>
      <c r="CA19" s="10">
        <v>-0.93206174497467897</v>
      </c>
      <c r="CB19" s="10">
        <v>1.8099075291267801</v>
      </c>
      <c r="CC19" s="15"/>
      <c r="CD19" s="13">
        <v>16</v>
      </c>
      <c r="CE19" s="13">
        <v>1</v>
      </c>
      <c r="CF19" s="13">
        <v>1</v>
      </c>
      <c r="CG19" s="13">
        <v>2</v>
      </c>
      <c r="CH19" s="13">
        <v>0.01</v>
      </c>
      <c r="CI19" s="13">
        <v>8</v>
      </c>
      <c r="CJ19" s="13">
        <v>15000</v>
      </c>
      <c r="CK19" s="13">
        <v>569</v>
      </c>
    </row>
    <row r="20" spans="1:89" ht="15" thickBot="1" x14ac:dyDescent="0.35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G20" s="57">
        <v>0.50915900000000003</v>
      </c>
      <c r="H20" s="58">
        <v>-0.32757399999999998</v>
      </c>
      <c r="I20" s="57"/>
      <c r="K20" s="82"/>
      <c r="L20" s="83"/>
      <c r="M20" s="82"/>
      <c r="N20" s="83"/>
      <c r="P20">
        <v>2.5</v>
      </c>
      <c r="T20" s="15">
        <f t="shared" si="14"/>
        <v>-1.3271502024764159</v>
      </c>
      <c r="U20" s="15">
        <f t="shared" si="18"/>
        <v>-1.537312238142396</v>
      </c>
      <c r="V20" s="15"/>
      <c r="W20" s="15"/>
      <c r="X20" s="15"/>
      <c r="Y20" s="15"/>
      <c r="Z20" s="15"/>
      <c r="AA20" s="15"/>
      <c r="AB20" s="30">
        <f t="shared" si="8"/>
        <v>0.45485082130591303</v>
      </c>
      <c r="AC20" s="15">
        <f t="shared" si="9"/>
        <v>-0.87229938117050287</v>
      </c>
      <c r="AD20" s="31">
        <f t="shared" si="3"/>
        <v>-0.49461237992392693</v>
      </c>
      <c r="AE20" s="15"/>
      <c r="AF20" s="15"/>
      <c r="AG20" s="15"/>
      <c r="AH20" s="15"/>
      <c r="AI20" s="17">
        <v>4</v>
      </c>
      <c r="AL20" s="59"/>
      <c r="AM20" s="60"/>
      <c r="AN20" s="60"/>
      <c r="AO20" s="61"/>
      <c r="AU20" s="17">
        <v>2.5</v>
      </c>
      <c r="AV20" s="17">
        <v>-0.447514126706968</v>
      </c>
      <c r="AW20" s="17">
        <v>0.35600662252677101</v>
      </c>
      <c r="AY20">
        <v>0.50915895095754304</v>
      </c>
      <c r="AZ20">
        <v>-0.327574401475699</v>
      </c>
      <c r="BA20">
        <v>0.60543193328593703</v>
      </c>
      <c r="BB20" s="5">
        <v>1.00377133088147</v>
      </c>
      <c r="BC20" s="5">
        <v>-1.3569919221159401</v>
      </c>
      <c r="BD20" s="5">
        <v>1.68789335012242</v>
      </c>
      <c r="BE20" s="7">
        <v>0.13921922245985499</v>
      </c>
      <c r="BF20" s="7">
        <v>-1.4711586745904801</v>
      </c>
      <c r="BG20" s="7">
        <v>1.4777313144564399</v>
      </c>
      <c r="BH20" s="3">
        <v>8.9165534081367695E-2</v>
      </c>
      <c r="BI20" s="3">
        <v>-0.12134322732285099</v>
      </c>
      <c r="BJ20" s="3">
        <v>0.150581111980024</v>
      </c>
      <c r="BK20" s="35">
        <v>0.36657911413458599</v>
      </c>
      <c r="BL20" s="16">
        <v>4</v>
      </c>
      <c r="BM20" s="7">
        <v>0.13921922245985499</v>
      </c>
      <c r="BN20" s="7">
        <v>-1.4711586745904801</v>
      </c>
      <c r="BO20" s="7">
        <v>1.4777313144564399</v>
      </c>
      <c r="BP20" s="15">
        <v>-1.537312238142396</v>
      </c>
      <c r="BQ20" s="15">
        <v>2.982808E-4</v>
      </c>
      <c r="BR20" s="15">
        <v>0.999668</v>
      </c>
      <c r="BS20" s="5">
        <v>1.00377133088147</v>
      </c>
      <c r="BT20" s="5">
        <v>-1.3569919221159401</v>
      </c>
      <c r="BU20" s="5">
        <v>1.68789335012242</v>
      </c>
      <c r="BV20" s="15">
        <v>5.3214699999999997E-2</v>
      </c>
      <c r="BW20" s="15">
        <v>0.91078800000000004</v>
      </c>
      <c r="BX20" s="20">
        <v>0.41836667621661899</v>
      </c>
      <c r="BY20" s="20">
        <v>-0.41836667621661899</v>
      </c>
      <c r="BZ20" s="10">
        <v>1.00377133088147</v>
      </c>
      <c r="CA20" s="10">
        <v>-1.3569919221159401</v>
      </c>
      <c r="CB20" s="10">
        <v>1.68789335012242</v>
      </c>
      <c r="CC20" s="15"/>
      <c r="CD20" s="13">
        <v>16</v>
      </c>
      <c r="CE20" s="13">
        <v>1</v>
      </c>
      <c r="CF20" s="13">
        <v>1</v>
      </c>
      <c r="CG20" s="13">
        <v>2</v>
      </c>
      <c r="CH20" s="13">
        <v>0.01</v>
      </c>
      <c r="CI20" s="13">
        <v>8</v>
      </c>
      <c r="CJ20" s="13">
        <v>15000</v>
      </c>
      <c r="CK20" s="13">
        <v>637.5</v>
      </c>
    </row>
    <row r="21" spans="1:89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G21" s="59">
        <v>0.59995100000000001</v>
      </c>
      <c r="H21" s="61">
        <v>-0.23678199999999999</v>
      </c>
      <c r="I21" s="59"/>
      <c r="J21" s="60"/>
      <c r="K21" s="86"/>
      <c r="L21" s="87"/>
      <c r="M21" s="86"/>
      <c r="N21" s="87"/>
      <c r="P21">
        <v>3</v>
      </c>
      <c r="T21" s="15">
        <f t="shared" si="14"/>
        <v>-0.99676046677572394</v>
      </c>
      <c r="U21" s="15">
        <f t="shared" si="18"/>
        <v>-0.95750232152093395</v>
      </c>
      <c r="V21" s="15"/>
      <c r="W21" s="15"/>
      <c r="X21" s="15"/>
      <c r="Y21" s="15"/>
      <c r="Z21" s="15"/>
      <c r="AA21" s="15"/>
      <c r="AB21" s="32">
        <f t="shared" si="8"/>
        <v>0.35337106037435506</v>
      </c>
      <c r="AC21" s="33">
        <f t="shared" si="9"/>
        <v>-0.64338940640136888</v>
      </c>
      <c r="AD21" s="34">
        <f t="shared" si="3"/>
        <v>0.87984731705269204</v>
      </c>
      <c r="AE21" s="15"/>
      <c r="AF21" s="15"/>
      <c r="AG21" s="15"/>
      <c r="AH21" s="15"/>
      <c r="AI21" s="17">
        <v>8</v>
      </c>
      <c r="AU21" s="17">
        <v>3</v>
      </c>
      <c r="AV21" s="17">
        <v>-0.44918247897674202</v>
      </c>
      <c r="AW21" s="17">
        <v>0.34489034517107903</v>
      </c>
      <c r="AY21">
        <v>0.59995122569846604</v>
      </c>
      <c r="AZ21">
        <v>-0.236782126734776</v>
      </c>
      <c r="BA21">
        <v>0.64498623920060105</v>
      </c>
      <c r="BB21" s="5">
        <v>-0.279896091354226</v>
      </c>
      <c r="BC21" s="5">
        <v>-1.21735479943943</v>
      </c>
      <c r="BD21" s="5">
        <v>1.2491175003471799</v>
      </c>
      <c r="BE21" s="7">
        <v>-1.28663475804626</v>
      </c>
      <c r="BF21" s="7">
        <v>-6.6953741998137903E-2</v>
      </c>
      <c r="BG21" s="7">
        <v>1.2883756456019699</v>
      </c>
      <c r="BH21" s="3">
        <v>0.28774808947310299</v>
      </c>
      <c r="BI21" s="3">
        <v>4.73333870163824E-2</v>
      </c>
      <c r="BJ21" s="3">
        <v>0.29161517882624599</v>
      </c>
      <c r="BK21" s="15">
        <v>2.2044449999999999E-5</v>
      </c>
      <c r="BL21" s="16">
        <v>8</v>
      </c>
      <c r="BM21" s="7">
        <v>-1.28663475804626</v>
      </c>
      <c r="BN21" s="7">
        <v>-6.6953741998137903E-2</v>
      </c>
      <c r="BO21" s="7">
        <v>1.2883756456019699</v>
      </c>
      <c r="BP21" s="15">
        <v>-0.95750232152093395</v>
      </c>
      <c r="BQ21" s="15">
        <v>6.1093859999999999E-4</v>
      </c>
      <c r="BR21" s="15">
        <v>0.99940200000000001</v>
      </c>
      <c r="BS21" s="5">
        <v>-0.279896091354226</v>
      </c>
      <c r="BT21" s="5">
        <v>-1.21735479943943</v>
      </c>
      <c r="BU21" s="5">
        <v>1.2491175003471799</v>
      </c>
      <c r="BV21" s="15">
        <v>0.18083740000000001</v>
      </c>
      <c r="BW21" s="15">
        <v>1.109774</v>
      </c>
      <c r="BX21" s="20">
        <v>0.41836667621661899</v>
      </c>
      <c r="BY21" s="20">
        <v>-0.41836667621661899</v>
      </c>
      <c r="BZ21" s="10">
        <v>-0.279896091354226</v>
      </c>
      <c r="CA21" s="10">
        <v>-1.21735479943943</v>
      </c>
      <c r="CB21" s="10">
        <v>1.2491175003471799</v>
      </c>
      <c r="CC21" s="15"/>
      <c r="CD21" s="13">
        <v>16</v>
      </c>
      <c r="CE21" s="13">
        <v>1</v>
      </c>
      <c r="CF21" s="13">
        <v>1</v>
      </c>
      <c r="CG21" s="13">
        <v>2</v>
      </c>
      <c r="CH21" s="13">
        <v>0.01</v>
      </c>
      <c r="CI21" s="13">
        <v>8</v>
      </c>
      <c r="CJ21" s="13">
        <v>15000</v>
      </c>
      <c r="CK21" s="13">
        <v>562.9</v>
      </c>
    </row>
    <row r="22" spans="1:89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>
        <v>3.5</v>
      </c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>
        <v>3.5</v>
      </c>
      <c r="AV22" s="17">
        <v>-0.45005276745616701</v>
      </c>
      <c r="AW22" s="17">
        <v>0.33445548967958799</v>
      </c>
      <c r="AX22" s="17"/>
      <c r="AY22"/>
      <c r="AZ22"/>
      <c r="BA22" s="17"/>
      <c r="BE22" s="17"/>
      <c r="BF22" s="17"/>
      <c r="BG22" s="17"/>
      <c r="BM22" s="17"/>
      <c r="BN22" s="17"/>
      <c r="BO22" s="17"/>
    </row>
    <row r="23" spans="1:89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>
        <v>4</v>
      </c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>
        <v>4</v>
      </c>
      <c r="AV23" s="17">
        <v>-0.45044746315328099</v>
      </c>
      <c r="AW23" s="17">
        <v>0.32465732939870401</v>
      </c>
      <c r="AX23" s="17"/>
      <c r="AY23" s="25" t="s">
        <v>56</v>
      </c>
      <c r="AZ23" s="17"/>
      <c r="BA23" s="17"/>
      <c r="BD23" s="17" t="s">
        <v>34</v>
      </c>
      <c r="BJ23" s="22" t="s">
        <v>35</v>
      </c>
      <c r="BP23" s="17"/>
      <c r="BQ23" s="17"/>
      <c r="BU23" s="17" t="s">
        <v>34</v>
      </c>
    </row>
    <row r="24" spans="1:89" x14ac:dyDescent="0.3">
      <c r="D24" s="17" t="s">
        <v>33</v>
      </c>
      <c r="P24">
        <v>4.5</v>
      </c>
      <c r="AF24" s="17" t="s">
        <v>60</v>
      </c>
      <c r="AU24" s="17">
        <v>4.5</v>
      </c>
      <c r="AV24" s="17">
        <v>-0.45037891546436598</v>
      </c>
      <c r="AW24" s="17">
        <v>0.315439056579013</v>
      </c>
      <c r="AY24" s="25" t="s">
        <v>44</v>
      </c>
      <c r="AZ24" s="25" t="s">
        <v>45</v>
      </c>
      <c r="BA24" s="25" t="s">
        <v>30</v>
      </c>
      <c r="BB24" s="13"/>
      <c r="BC24" s="13"/>
      <c r="BD24" s="13"/>
      <c r="BE24" s="17"/>
      <c r="BF24" s="17"/>
      <c r="BH24" s="13"/>
      <c r="BI24" s="13"/>
      <c r="BJ24" s="4" t="s">
        <v>11</v>
      </c>
      <c r="BK24" s="4" t="s">
        <v>12</v>
      </c>
      <c r="BM24" s="17"/>
      <c r="BN24" s="17"/>
      <c r="BP24" s="6" t="s">
        <v>31</v>
      </c>
      <c r="BQ24" s="6" t="s">
        <v>29</v>
      </c>
      <c r="BR24" s="6" t="s">
        <v>30</v>
      </c>
      <c r="BS24" s="13"/>
      <c r="BT24" s="13"/>
      <c r="BU24" s="13"/>
      <c r="BV24" s="4" t="s">
        <v>11</v>
      </c>
      <c r="BW24" s="4" t="s">
        <v>12</v>
      </c>
      <c r="BX24" s="4" t="s">
        <v>13</v>
      </c>
      <c r="BZ24" s="19" t="s">
        <v>17</v>
      </c>
      <c r="CA24" s="13"/>
      <c r="CB24" s="13"/>
    </row>
    <row r="25" spans="1:89" x14ac:dyDescent="0.3">
      <c r="D25" s="17">
        <v>1</v>
      </c>
      <c r="E25" s="17">
        <v>0</v>
      </c>
      <c r="P25">
        <v>5</v>
      </c>
      <c r="AF25" s="17">
        <v>0</v>
      </c>
      <c r="AG25" s="17" t="s">
        <v>80</v>
      </c>
      <c r="AU25" s="17">
        <v>5</v>
      </c>
      <c r="AV25" s="17">
        <v>-0.44999321179351298</v>
      </c>
      <c r="AW25" s="17">
        <v>0.30674892465553799</v>
      </c>
      <c r="AY25" s="25">
        <v>0.30752200000000002</v>
      </c>
      <c r="AZ25" s="25">
        <v>-0.30752200000000002</v>
      </c>
      <c r="BA25" s="25">
        <v>0.43490099999999998</v>
      </c>
      <c r="BB25" s="18">
        <f>BA25-BJ25</f>
        <v>0.12738728588613696</v>
      </c>
      <c r="BC25" s="14"/>
      <c r="BD25" s="18">
        <f>BJ25-BA25</f>
        <v>-0.12738728588613696</v>
      </c>
      <c r="BE25" s="15">
        <f t="shared" ref="BE25:BE42" si="33">BD25-BJ25</f>
        <v>-0.43490099999999998</v>
      </c>
      <c r="BF25" s="23">
        <f>BJ25-BP25</f>
        <v>6.6059891677840432E-3</v>
      </c>
      <c r="BH25" s="24">
        <f>BL25-BX25</f>
        <v>-7.2164496600635175E-16</v>
      </c>
      <c r="BI25" s="13"/>
      <c r="BJ25" s="17">
        <v>0.30751371411386302</v>
      </c>
      <c r="BK25" s="13">
        <v>-0.30753560602694202</v>
      </c>
      <c r="BL25" s="15">
        <f>SQRT(BK25^2+BJ25^2)</f>
        <v>0.43490554531123327</v>
      </c>
      <c r="BM25" s="15">
        <f t="shared" ref="BM25:BM42" si="34">BL25-BR25</f>
        <v>-3.7351285365692655E-3</v>
      </c>
      <c r="BN25" s="23">
        <f>BR25-BX25</f>
        <v>3.7351285365685438E-3</v>
      </c>
      <c r="BP25" s="11">
        <v>0.30090772494607898</v>
      </c>
      <c r="BQ25" s="11">
        <v>-0.319155419539492</v>
      </c>
      <c r="BR25" s="15">
        <f>SQRT(BQ25^2+BP25^2)</f>
        <v>0.43864067384780253</v>
      </c>
      <c r="BS25" s="18">
        <f>BR25-BX25</f>
        <v>3.7351285365685438E-3</v>
      </c>
      <c r="BT25" s="14"/>
      <c r="BU25" s="18">
        <f>BX25-BR25</f>
        <v>-3.7351285365685438E-3</v>
      </c>
      <c r="BV25" s="12">
        <v>0.30751371411386302</v>
      </c>
      <c r="BW25" s="12">
        <v>-0.30753560602694202</v>
      </c>
      <c r="BX25" s="12">
        <v>0.43490554531123399</v>
      </c>
      <c r="BY25" s="15">
        <f>SQRT(BV25^2+BW25^2)</f>
        <v>0.43490554531123327</v>
      </c>
      <c r="BZ25" s="21">
        <v>-0.30752150772800002</v>
      </c>
      <c r="CA25" s="14" t="e">
        <f>SQRT(BZ25^2+#REF!^2)</f>
        <v>#REF!</v>
      </c>
      <c r="CB25" s="13"/>
    </row>
    <row r="26" spans="1:89" x14ac:dyDescent="0.3">
      <c r="D26" s="17">
        <v>1</v>
      </c>
      <c r="E26" s="17">
        <v>0.05</v>
      </c>
      <c r="P26">
        <v>6</v>
      </c>
      <c r="AF26" s="17">
        <v>0.05</v>
      </c>
      <c r="AU26" s="17">
        <v>6</v>
      </c>
      <c r="AV26" s="17">
        <v>-0.44843870180900097</v>
      </c>
      <c r="AW26" s="17">
        <v>0.29075226824371603</v>
      </c>
      <c r="AY26" s="25">
        <v>0.30796899999999999</v>
      </c>
      <c r="AZ26" s="25">
        <v>-0.30707400000000001</v>
      </c>
      <c r="BA26" s="25">
        <v>0.43490200000000001</v>
      </c>
      <c r="BB26" s="18">
        <f t="shared" ref="BB26:BB42" si="35">BA26-BJ26</f>
        <v>0.126977500297343</v>
      </c>
      <c r="BC26" s="13"/>
      <c r="BD26" s="13"/>
      <c r="BE26" s="15">
        <f t="shared" si="33"/>
        <v>-0.30792449970265701</v>
      </c>
      <c r="BF26" s="23">
        <f t="shared" ref="BF26:BF42" si="36">BJ26-BP26</f>
        <v>3.9502148617703015E-2</v>
      </c>
      <c r="BH26" s="24">
        <f t="shared" ref="BH26:BH42" si="37">BL26-BX26</f>
        <v>-8.3266726846886741E-16</v>
      </c>
      <c r="BI26" s="13"/>
      <c r="BJ26" s="17">
        <v>0.30792449970265701</v>
      </c>
      <c r="BK26" s="13">
        <v>-0.30701084731864298</v>
      </c>
      <c r="BL26" s="15">
        <f t="shared" ref="BL26:BL42" si="38">SQRT(BK26^2+BJ26^2)</f>
        <v>0.43482543381044619</v>
      </c>
      <c r="BM26" s="15">
        <f t="shared" si="34"/>
        <v>5.817509501963386E-2</v>
      </c>
      <c r="BN26" s="23">
        <f t="shared" ref="BN26:BN42" si="39">BR26-BX26</f>
        <v>-5.8175095019634693E-2</v>
      </c>
      <c r="BP26" s="11">
        <v>0.26842235108495399</v>
      </c>
      <c r="BQ26" s="11">
        <v>-0.26422512967024803</v>
      </c>
      <c r="BR26" s="15">
        <f t="shared" ref="BR26:BR42" si="40">SQRT(BQ26^2+BP26^2)</f>
        <v>0.37665033879081233</v>
      </c>
      <c r="BS26" s="18">
        <f t="shared" ref="BS26:BS42" si="41">BR26-BX26</f>
        <v>-5.8175095019634693E-2</v>
      </c>
      <c r="BT26" s="13"/>
      <c r="BU26" s="13"/>
      <c r="BV26" s="12">
        <v>0.30792449970265701</v>
      </c>
      <c r="BW26" s="12">
        <v>-0.30701084731864298</v>
      </c>
      <c r="BX26" s="12">
        <v>0.43482543381044703</v>
      </c>
      <c r="BZ26" s="13"/>
      <c r="CA26" s="13"/>
      <c r="CB26" s="13"/>
    </row>
    <row r="27" spans="1:89" ht="16.2" customHeight="1" x14ac:dyDescent="0.3">
      <c r="D27" s="17">
        <v>1</v>
      </c>
      <c r="E27" s="17">
        <v>0.1</v>
      </c>
      <c r="P27">
        <v>7</v>
      </c>
      <c r="AF27" s="17">
        <v>0.1</v>
      </c>
      <c r="AG27" s="75" t="s">
        <v>77</v>
      </c>
      <c r="AH27" s="75" t="s">
        <v>78</v>
      </c>
      <c r="AI27" s="75" t="s">
        <v>79</v>
      </c>
      <c r="AU27" s="17">
        <v>7</v>
      </c>
      <c r="AV27" s="17">
        <v>-0.44620101997047201</v>
      </c>
      <c r="AW27" s="17">
        <v>0.276389489854313</v>
      </c>
      <c r="AY27" s="25">
        <v>0.308417</v>
      </c>
      <c r="AZ27" s="25">
        <v>-0.30662600000000001</v>
      </c>
      <c r="BA27" s="25">
        <v>0.43490299999999998</v>
      </c>
      <c r="BB27" s="18">
        <f t="shared" si="35"/>
        <v>0.12663263819217596</v>
      </c>
      <c r="BC27" s="13"/>
      <c r="BD27" s="13"/>
      <c r="BE27" s="15">
        <f t="shared" si="33"/>
        <v>-0.30827036180782402</v>
      </c>
      <c r="BF27" s="23">
        <f t="shared" si="36"/>
        <v>-5.8512146189332981E-2</v>
      </c>
      <c r="BH27" s="24">
        <f t="shared" si="37"/>
        <v>0</v>
      </c>
      <c r="BI27" s="13"/>
      <c r="BJ27" s="17">
        <v>0.30827036180782402</v>
      </c>
      <c r="BK27" s="13">
        <v>-0.30712646009599198</v>
      </c>
      <c r="BL27" s="15">
        <f t="shared" si="38"/>
        <v>0.43515201764466366</v>
      </c>
      <c r="BM27" s="15">
        <f t="shared" si="34"/>
        <v>-0.29533191024897626</v>
      </c>
      <c r="BN27" s="23">
        <f t="shared" si="39"/>
        <v>0.29533191024897593</v>
      </c>
      <c r="BP27" s="11">
        <v>0.366782507997157</v>
      </c>
      <c r="BQ27" s="11">
        <v>-0.63172570055225397</v>
      </c>
      <c r="BR27" s="15">
        <f t="shared" si="40"/>
        <v>0.73048392789363992</v>
      </c>
      <c r="BS27" s="18">
        <f t="shared" si="41"/>
        <v>0.29533191024897593</v>
      </c>
      <c r="BT27" s="13"/>
      <c r="BU27" s="13"/>
      <c r="BV27" s="12">
        <v>0.30827036180782402</v>
      </c>
      <c r="BW27" s="12">
        <v>-0.30712646009599198</v>
      </c>
      <c r="BX27" s="12">
        <v>0.43515201764466399</v>
      </c>
      <c r="BZ27" s="13"/>
      <c r="CA27" s="13"/>
      <c r="CB27" s="13"/>
    </row>
    <row r="28" spans="1:89" x14ac:dyDescent="0.3">
      <c r="D28" s="17">
        <v>1</v>
      </c>
      <c r="E28" s="17">
        <v>0.15</v>
      </c>
      <c r="P28">
        <v>8</v>
      </c>
      <c r="AF28" s="17">
        <v>0.15</v>
      </c>
      <c r="AG28" s="76">
        <v>0</v>
      </c>
      <c r="AH28" s="76">
        <v>-0.41836667620000001</v>
      </c>
      <c r="AI28" s="76">
        <v>0.41836667620000001</v>
      </c>
      <c r="AU28" s="17">
        <v>8</v>
      </c>
      <c r="AV28" s="17">
        <v>-0.443539950690576</v>
      </c>
      <c r="AW28" s="17">
        <v>0.26338438428719102</v>
      </c>
      <c r="AY28" s="25">
        <v>0.308865</v>
      </c>
      <c r="AZ28" s="25">
        <v>-0.30617800000000001</v>
      </c>
      <c r="BA28" s="25">
        <v>0.43490499999999999</v>
      </c>
      <c r="BB28" s="18">
        <f t="shared" si="35"/>
        <v>0.11800622863544996</v>
      </c>
      <c r="BC28" s="13"/>
      <c r="BD28" s="13"/>
      <c r="BE28" s="15">
        <f t="shared" si="33"/>
        <v>-0.31689877136455002</v>
      </c>
      <c r="BF28" s="23">
        <f t="shared" si="36"/>
        <v>-0.70256242650362999</v>
      </c>
      <c r="BH28" s="24">
        <f t="shared" si="37"/>
        <v>0</v>
      </c>
      <c r="BI28" s="13"/>
      <c r="BJ28" s="17">
        <v>0.31689877136455002</v>
      </c>
      <c r="BK28" s="13">
        <v>-0.29740570589188903</v>
      </c>
      <c r="BL28" s="15">
        <f t="shared" si="38"/>
        <v>0.43459749790974883</v>
      </c>
      <c r="BM28" s="15">
        <f t="shared" si="34"/>
        <v>-0.79786988594604913</v>
      </c>
      <c r="BN28" s="23">
        <f t="shared" si="39"/>
        <v>0.79786988594604902</v>
      </c>
      <c r="BP28" s="11">
        <v>1.01946119786818</v>
      </c>
      <c r="BQ28" s="11">
        <v>0.69258553140354495</v>
      </c>
      <c r="BR28" s="15">
        <f t="shared" si="40"/>
        <v>1.232467383855798</v>
      </c>
      <c r="BS28" s="18">
        <f t="shared" si="41"/>
        <v>0.79786988594604902</v>
      </c>
      <c r="BT28" s="13"/>
      <c r="BU28" s="13"/>
      <c r="BV28" s="12">
        <v>0.31689877136455002</v>
      </c>
      <c r="BW28" s="12">
        <v>-0.29740570589188903</v>
      </c>
      <c r="BX28" s="12">
        <v>0.434597497909749</v>
      </c>
      <c r="BZ28" s="13"/>
      <c r="CA28" s="13"/>
      <c r="CB28" s="13"/>
    </row>
    <row r="29" spans="1:89" x14ac:dyDescent="0.3">
      <c r="D29" s="17">
        <v>1</v>
      </c>
      <c r="E29" s="17">
        <v>0.2</v>
      </c>
      <c r="AF29" s="17">
        <v>0.2</v>
      </c>
      <c r="AG29" s="76">
        <v>0.1</v>
      </c>
      <c r="AH29" s="76">
        <v>-0.42063648310000001</v>
      </c>
      <c r="AI29" s="76">
        <v>0.41609686930000001</v>
      </c>
      <c r="AY29" s="25">
        <v>0.30931199999999998</v>
      </c>
      <c r="AZ29" s="25">
        <v>-0.30573099999999998</v>
      </c>
      <c r="BA29" s="25">
        <v>0.43490800000000002</v>
      </c>
      <c r="BB29" s="18">
        <f t="shared" si="35"/>
        <v>0.12327836511748003</v>
      </c>
      <c r="BC29" s="13"/>
      <c r="BD29" s="13"/>
      <c r="BE29" s="15">
        <f t="shared" si="33"/>
        <v>-0.31162963488251999</v>
      </c>
      <c r="BF29" s="23">
        <f t="shared" si="36"/>
        <v>-0.25844765482566706</v>
      </c>
      <c r="BH29" s="24">
        <f t="shared" si="37"/>
        <v>-7.2164496600635175E-16</v>
      </c>
      <c r="BI29" s="13"/>
      <c r="BJ29" s="17">
        <v>0.31162963488251999</v>
      </c>
      <c r="BK29" s="13">
        <v>-0.35540013675900101</v>
      </c>
      <c r="BL29" s="15">
        <f t="shared" si="38"/>
        <v>0.47267566739290628</v>
      </c>
      <c r="BM29" s="15">
        <f t="shared" si="34"/>
        <v>-0.97959487007113633</v>
      </c>
      <c r="BN29" s="23">
        <f t="shared" si="39"/>
        <v>0.97959487007113555</v>
      </c>
      <c r="BP29" s="11">
        <v>0.57007728970818705</v>
      </c>
      <c r="BQ29" s="11">
        <v>-1.3357026606790401</v>
      </c>
      <c r="BR29" s="15">
        <f t="shared" si="40"/>
        <v>1.4522705374640426</v>
      </c>
      <c r="BS29" s="18">
        <f t="shared" si="41"/>
        <v>0.97959487007113555</v>
      </c>
      <c r="BT29" s="13"/>
      <c r="BU29" s="13"/>
      <c r="BV29" s="12">
        <v>0.31162963488251999</v>
      </c>
      <c r="BW29" s="12">
        <v>-0.35540013675900101</v>
      </c>
      <c r="BX29" s="12">
        <v>0.47267566739290701</v>
      </c>
      <c r="BZ29" s="13"/>
      <c r="CA29" s="13"/>
      <c r="CB29" s="13"/>
    </row>
    <row r="30" spans="1:89" x14ac:dyDescent="0.3">
      <c r="D30" s="17">
        <v>1</v>
      </c>
      <c r="E30" s="17">
        <v>0.3</v>
      </c>
      <c r="AG30" s="76">
        <v>0.15</v>
      </c>
      <c r="AH30" s="76">
        <v>-0.42177138650000001</v>
      </c>
      <c r="AI30" s="76">
        <v>0.41496196590000001</v>
      </c>
      <c r="BB30" s="18">
        <f t="shared" si="35"/>
        <v>-0.158238165852533</v>
      </c>
      <c r="BC30" s="13"/>
      <c r="BD30" s="13"/>
      <c r="BE30" s="15">
        <f t="shared" si="33"/>
        <v>-0.158238165852533</v>
      </c>
      <c r="BF30" s="23">
        <f t="shared" si="36"/>
        <v>0.706922715767207</v>
      </c>
      <c r="BH30" s="24">
        <f t="shared" si="37"/>
        <v>5.2735593669694936E-16</v>
      </c>
      <c r="BI30" s="13"/>
      <c r="BJ30" s="17">
        <v>0.158238165852533</v>
      </c>
      <c r="BK30" s="13">
        <v>-0.16667417251261499</v>
      </c>
      <c r="BL30" s="15">
        <f t="shared" si="38"/>
        <v>0.22982514421868352</v>
      </c>
      <c r="BM30" s="15">
        <f t="shared" si="34"/>
        <v>-0.43647319000971208</v>
      </c>
      <c r="BN30" s="23">
        <f t="shared" si="39"/>
        <v>0.43647319000971257</v>
      </c>
      <c r="BP30" s="11">
        <v>-0.54868454991467397</v>
      </c>
      <c r="BQ30" s="11">
        <v>0.378019490080163</v>
      </c>
      <c r="BR30" s="15">
        <f t="shared" si="40"/>
        <v>0.66629833422839557</v>
      </c>
      <c r="BS30" s="18">
        <f t="shared" si="41"/>
        <v>0.43647319000971257</v>
      </c>
      <c r="BT30" s="13"/>
      <c r="BU30" s="13"/>
      <c r="BV30" s="12">
        <v>0.158238165852533</v>
      </c>
      <c r="BW30" s="12">
        <v>-0.16667417251261499</v>
      </c>
      <c r="BX30" s="12">
        <v>0.229825144218683</v>
      </c>
      <c r="BZ30" s="13"/>
      <c r="CA30" s="13"/>
      <c r="CB30" s="13"/>
    </row>
    <row r="31" spans="1:89" x14ac:dyDescent="0.3">
      <c r="D31" s="17">
        <v>1</v>
      </c>
      <c r="E31" s="17">
        <v>0.4</v>
      </c>
      <c r="AG31" s="76">
        <v>0.2</v>
      </c>
      <c r="AH31" s="76">
        <v>-0.42290629000000002</v>
      </c>
      <c r="AI31" s="76">
        <v>0.41382706250000001</v>
      </c>
      <c r="BB31" s="18">
        <f t="shared" si="35"/>
        <v>-0.178161431444501</v>
      </c>
      <c r="BC31" s="13"/>
      <c r="BD31" s="13"/>
      <c r="BE31" s="15">
        <f t="shared" si="33"/>
        <v>-0.178161431444501</v>
      </c>
      <c r="BF31" s="23">
        <f t="shared" si="36"/>
        <v>0.17243123837390503</v>
      </c>
      <c r="BH31" s="24">
        <f t="shared" si="37"/>
        <v>0</v>
      </c>
      <c r="BI31" s="13"/>
      <c r="BJ31" s="17">
        <v>0.178161431444501</v>
      </c>
      <c r="BK31" s="13">
        <v>-0.68112296377902704</v>
      </c>
      <c r="BL31" s="15">
        <f t="shared" si="38"/>
        <v>0.70403834230919515</v>
      </c>
      <c r="BM31" s="15">
        <f t="shared" si="34"/>
        <v>-0.68890813594088929</v>
      </c>
      <c r="BN31" s="23">
        <f t="shared" si="39"/>
        <v>0.6889081359408894</v>
      </c>
      <c r="BP31" s="11">
        <v>5.7301930705959802E-3</v>
      </c>
      <c r="BQ31" s="11">
        <v>-1.39293469199266</v>
      </c>
      <c r="BR31" s="15">
        <f t="shared" si="40"/>
        <v>1.3929464782500844</v>
      </c>
      <c r="BS31" s="18">
        <f t="shared" si="41"/>
        <v>0.6889081359408894</v>
      </c>
      <c r="BT31" s="13"/>
      <c r="BU31" s="13"/>
      <c r="BV31" s="12">
        <v>0.178161431444501</v>
      </c>
      <c r="BW31" s="12">
        <v>-0.68112296377902704</v>
      </c>
      <c r="BX31" s="12">
        <v>0.70403834230919504</v>
      </c>
      <c r="BZ31" s="13"/>
      <c r="CA31" s="13"/>
      <c r="CB31" s="13"/>
    </row>
    <row r="32" spans="1:89" x14ac:dyDescent="0.3">
      <c r="D32" s="17">
        <v>1</v>
      </c>
      <c r="E32" s="17">
        <v>0.5</v>
      </c>
      <c r="AG32" s="76">
        <v>0.3</v>
      </c>
      <c r="AH32" s="76">
        <v>-0.42517609680000001</v>
      </c>
      <c r="AI32" s="76">
        <v>0.4115572556</v>
      </c>
      <c r="BB32" s="18">
        <f t="shared" si="35"/>
        <v>-8.1018078323665796E-2</v>
      </c>
      <c r="BC32" s="13"/>
      <c r="BD32" s="13"/>
      <c r="BE32" s="15">
        <f t="shared" si="33"/>
        <v>-8.1018078323665796E-2</v>
      </c>
      <c r="BF32" s="23">
        <f t="shared" si="36"/>
        <v>0.1685443334704767</v>
      </c>
      <c r="BH32" s="24">
        <f t="shared" si="37"/>
        <v>0</v>
      </c>
      <c r="BI32" s="13"/>
      <c r="BJ32" s="17">
        <v>8.1018078323665796E-2</v>
      </c>
      <c r="BK32" s="13">
        <v>-0.83197708377727997</v>
      </c>
      <c r="BL32" s="15">
        <f t="shared" si="38"/>
        <v>0.83591255340843329</v>
      </c>
      <c r="BM32" s="15">
        <f t="shared" si="34"/>
        <v>-0.57166209832239057</v>
      </c>
      <c r="BN32" s="23">
        <f t="shared" si="39"/>
        <v>0.5716620983223909</v>
      </c>
      <c r="BP32" s="11">
        <v>-8.7526255146810894E-2</v>
      </c>
      <c r="BQ32" s="11">
        <v>-1.40485072333509</v>
      </c>
      <c r="BR32" s="15">
        <f t="shared" si="40"/>
        <v>1.4075746517308239</v>
      </c>
      <c r="BS32" s="18">
        <f t="shared" si="41"/>
        <v>0.5716620983223909</v>
      </c>
      <c r="BT32" s="13"/>
      <c r="BU32" s="13"/>
      <c r="BV32" s="12">
        <v>8.1018078323665796E-2</v>
      </c>
      <c r="BW32" s="12">
        <v>-0.83197708377727997</v>
      </c>
      <c r="BX32" s="12">
        <v>0.83591255340843296</v>
      </c>
      <c r="BZ32" s="13"/>
      <c r="CA32" s="13"/>
      <c r="CB32" s="13"/>
    </row>
    <row r="33" spans="1:80" x14ac:dyDescent="0.3">
      <c r="D33" s="17">
        <v>1</v>
      </c>
      <c r="E33" s="17">
        <v>0.6</v>
      </c>
      <c r="AG33" s="76">
        <v>0.4</v>
      </c>
      <c r="AH33" s="76">
        <v>-0.42744590370000002</v>
      </c>
      <c r="AI33" s="76">
        <v>0.4092874487</v>
      </c>
      <c r="AV33" s="17" t="s">
        <v>90</v>
      </c>
      <c r="BB33" s="18">
        <f t="shared" si="35"/>
        <v>-1.03015285007262</v>
      </c>
      <c r="BC33" s="13"/>
      <c r="BD33" s="13"/>
      <c r="BE33" s="15">
        <f t="shared" si="33"/>
        <v>-1.03015285007262</v>
      </c>
      <c r="BF33" s="23">
        <f t="shared" si="36"/>
        <v>-0.46974524405401996</v>
      </c>
      <c r="BH33" s="24">
        <f t="shared" si="37"/>
        <v>0</v>
      </c>
      <c r="BI33" s="13"/>
      <c r="BJ33" s="17">
        <v>1.03015285007262</v>
      </c>
      <c r="BK33" s="13">
        <v>-0.25665637333119901</v>
      </c>
      <c r="BL33" s="15">
        <f t="shared" si="38"/>
        <v>1.0616437201266091</v>
      </c>
      <c r="BM33" s="15">
        <f t="shared" si="34"/>
        <v>-0.45900963052278687</v>
      </c>
      <c r="BN33" s="23">
        <f t="shared" si="39"/>
        <v>0.45900963052278598</v>
      </c>
      <c r="BP33" s="11">
        <v>1.49989809412664</v>
      </c>
      <c r="BQ33" s="11">
        <v>-0.250384344711301</v>
      </c>
      <c r="BR33" s="15">
        <f t="shared" si="40"/>
        <v>1.520653350649396</v>
      </c>
      <c r="BS33" s="18">
        <f t="shared" si="41"/>
        <v>0.45900963052278598</v>
      </c>
      <c r="BT33" s="13"/>
      <c r="BU33" s="13"/>
      <c r="BV33" s="12">
        <v>1.03015285007262</v>
      </c>
      <c r="BW33" s="12">
        <v>-0.25665637333119901</v>
      </c>
      <c r="BX33" s="12">
        <v>1.06164372012661</v>
      </c>
      <c r="BZ33" s="13"/>
      <c r="CA33" s="13"/>
      <c r="CB33" s="13"/>
    </row>
    <row r="34" spans="1:80" x14ac:dyDescent="0.3">
      <c r="D34" s="17">
        <v>1</v>
      </c>
      <c r="E34" s="17">
        <v>0.7</v>
      </c>
      <c r="AG34" s="76">
        <v>0.5</v>
      </c>
      <c r="AH34" s="76">
        <v>-0.42971571060000002</v>
      </c>
      <c r="AI34" s="76">
        <v>0.4070176419</v>
      </c>
      <c r="BB34" s="18">
        <f t="shared" si="35"/>
        <v>0.49989492822739301</v>
      </c>
      <c r="BC34" s="13"/>
      <c r="BD34" s="13"/>
      <c r="BE34" s="15">
        <f t="shared" si="33"/>
        <v>0.49989492822739301</v>
      </c>
      <c r="BF34" s="23">
        <f t="shared" si="36"/>
        <v>0.27247955108650102</v>
      </c>
      <c r="BH34" s="24">
        <f t="shared" si="37"/>
        <v>0</v>
      </c>
      <c r="BI34" s="13"/>
      <c r="BJ34" s="17">
        <v>-0.49989492822739301</v>
      </c>
      <c r="BK34" s="13">
        <v>-0.44545698486931101</v>
      </c>
      <c r="BL34" s="15">
        <f t="shared" si="38"/>
        <v>0.66957215043363927</v>
      </c>
      <c r="BM34" s="15">
        <f t="shared" si="34"/>
        <v>-0.25675965893024089</v>
      </c>
      <c r="BN34" s="23">
        <f t="shared" si="39"/>
        <v>0.25675965893024111</v>
      </c>
      <c r="BP34" s="11">
        <v>-0.77237447931389402</v>
      </c>
      <c r="BQ34" s="11">
        <v>-0.51139836208571399</v>
      </c>
      <c r="BR34" s="15">
        <f t="shared" si="40"/>
        <v>0.92633180936388015</v>
      </c>
      <c r="BS34" s="18">
        <f t="shared" si="41"/>
        <v>0.25675965893024111</v>
      </c>
      <c r="BT34" s="13"/>
      <c r="BU34" s="13"/>
      <c r="BV34" s="12">
        <v>-0.49989492822739301</v>
      </c>
      <c r="BW34" s="12">
        <v>-0.44545698486931101</v>
      </c>
      <c r="BX34" s="12">
        <v>0.66957215043363905</v>
      </c>
      <c r="BZ34" s="13"/>
      <c r="CA34" s="13"/>
      <c r="CB34" s="13"/>
    </row>
    <row r="35" spans="1:80" x14ac:dyDescent="0.3">
      <c r="D35" s="17">
        <v>1</v>
      </c>
      <c r="E35" s="17">
        <v>0.8</v>
      </c>
      <c r="AG35" s="76">
        <v>0.6</v>
      </c>
      <c r="AH35" s="76">
        <v>-0.43198551740000002</v>
      </c>
      <c r="AI35" s="76">
        <v>0.404747835</v>
      </c>
      <c r="BB35" s="18">
        <f t="shared" si="35"/>
        <v>-0.76934193755625901</v>
      </c>
      <c r="BC35" s="13"/>
      <c r="BD35" s="13"/>
      <c r="BE35" s="15">
        <f t="shared" si="33"/>
        <v>-0.76934193755625901</v>
      </c>
      <c r="BF35" s="23">
        <f t="shared" si="36"/>
        <v>-0.10198276640812298</v>
      </c>
      <c r="BH35" s="24">
        <f t="shared" si="37"/>
        <v>0</v>
      </c>
      <c r="BI35" s="13"/>
      <c r="BJ35" s="17">
        <v>0.76934193755625901</v>
      </c>
      <c r="BK35" s="13">
        <v>0.48248284653412998</v>
      </c>
      <c r="BL35" s="15">
        <f t="shared" si="38"/>
        <v>0.90811712575113102</v>
      </c>
      <c r="BM35" s="15">
        <f t="shared" si="34"/>
        <v>-0.1795301904237373</v>
      </c>
      <c r="BN35" s="23">
        <f t="shared" si="39"/>
        <v>0.1795301904237373</v>
      </c>
      <c r="BP35" s="11">
        <v>0.871324703964382</v>
      </c>
      <c r="BQ35" s="11">
        <v>0.65097614752291499</v>
      </c>
      <c r="BR35" s="15">
        <f t="shared" si="40"/>
        <v>1.0876473161748683</v>
      </c>
      <c r="BS35" s="18">
        <f t="shared" si="41"/>
        <v>0.1795301904237373</v>
      </c>
      <c r="BT35" s="13"/>
      <c r="BU35" s="13"/>
      <c r="BV35" s="12">
        <v>0.76934193755625901</v>
      </c>
      <c r="BW35" s="12">
        <v>0.48248284653412998</v>
      </c>
      <c r="BX35" s="12">
        <v>0.90811712575113102</v>
      </c>
      <c r="BZ35" s="13"/>
      <c r="CA35" s="13"/>
      <c r="CB35" s="13"/>
    </row>
    <row r="36" spans="1:80" x14ac:dyDescent="0.3">
      <c r="D36" s="17">
        <v>1</v>
      </c>
      <c r="E36" s="17">
        <v>0.9</v>
      </c>
      <c r="AG36" s="76">
        <v>0.7</v>
      </c>
      <c r="AH36" s="76">
        <v>-0.43425532430000002</v>
      </c>
      <c r="AI36" s="76">
        <v>0.4024780281</v>
      </c>
      <c r="BB36" s="18">
        <f t="shared" si="35"/>
        <v>-1.0352627315682701</v>
      </c>
      <c r="BC36" s="13"/>
      <c r="BD36" s="13"/>
      <c r="BE36" s="15">
        <f t="shared" si="33"/>
        <v>-1.0352627315682701</v>
      </c>
      <c r="BF36" s="23">
        <f t="shared" si="36"/>
        <v>-9.9216292444179954E-2</v>
      </c>
      <c r="BH36" s="24">
        <f t="shared" si="37"/>
        <v>0</v>
      </c>
      <c r="BI36" s="13"/>
      <c r="BJ36" s="17">
        <v>1.0352627315682701</v>
      </c>
      <c r="BK36" s="13">
        <v>-0.93884585193734604</v>
      </c>
      <c r="BL36" s="15">
        <f t="shared" si="38"/>
        <v>1.3975694820201809</v>
      </c>
      <c r="BM36" s="15">
        <f t="shared" si="34"/>
        <v>-0.21656179816249677</v>
      </c>
      <c r="BN36" s="23">
        <f t="shared" si="39"/>
        <v>0.21656179816249765</v>
      </c>
      <c r="BP36" s="11">
        <v>1.13447902401245</v>
      </c>
      <c r="BQ36" s="11">
        <v>-1.1482060502104701</v>
      </c>
      <c r="BR36" s="15">
        <f t="shared" si="40"/>
        <v>1.6141312801826777</v>
      </c>
      <c r="BS36" s="18">
        <f t="shared" si="41"/>
        <v>0.21656179816249765</v>
      </c>
      <c r="BT36" s="13"/>
      <c r="BU36" s="13"/>
      <c r="BV36" s="12">
        <v>1.0352627315682701</v>
      </c>
      <c r="BW36" s="12">
        <v>-0.93884585193734604</v>
      </c>
      <c r="BX36" s="12">
        <v>1.3975694820201801</v>
      </c>
      <c r="BZ36" s="13"/>
      <c r="CA36" s="13"/>
      <c r="CB36" s="13"/>
    </row>
    <row r="37" spans="1:80" x14ac:dyDescent="0.3">
      <c r="D37" s="17">
        <v>1</v>
      </c>
      <c r="E37" s="17">
        <v>1</v>
      </c>
      <c r="AG37" s="76">
        <v>0.8</v>
      </c>
      <c r="AH37" s="76">
        <v>-0.43652513120000003</v>
      </c>
      <c r="AI37" s="76">
        <v>0.4002082213</v>
      </c>
      <c r="BB37" s="18">
        <f t="shared" si="35"/>
        <v>0.22992529647193599</v>
      </c>
      <c r="BC37" s="13"/>
      <c r="BD37" s="13"/>
      <c r="BE37" s="15">
        <f t="shared" si="33"/>
        <v>0.22992529647193599</v>
      </c>
      <c r="BF37" s="23">
        <f t="shared" si="36"/>
        <v>9.8807992447594029E-2</v>
      </c>
      <c r="BH37" s="24">
        <f t="shared" si="37"/>
        <v>1.7763568394002505E-15</v>
      </c>
      <c r="BI37" s="13"/>
      <c r="BJ37" s="17">
        <v>-0.22992529647193599</v>
      </c>
      <c r="BK37" s="13">
        <v>-1.14351229870103</v>
      </c>
      <c r="BL37" s="15">
        <f t="shared" si="38"/>
        <v>1.1663987393847017</v>
      </c>
      <c r="BM37" s="15">
        <f t="shared" si="34"/>
        <v>-4.7935370049976944E-2</v>
      </c>
      <c r="BN37" s="23">
        <f t="shared" si="39"/>
        <v>4.7935370049978721E-2</v>
      </c>
      <c r="BP37" s="11">
        <v>-0.32873328891953002</v>
      </c>
      <c r="BQ37" s="11">
        <v>-1.16899176818858</v>
      </c>
      <c r="BR37" s="15">
        <f t="shared" si="40"/>
        <v>1.2143341094346787</v>
      </c>
      <c r="BS37" s="18">
        <f t="shared" si="41"/>
        <v>4.7935370049978721E-2</v>
      </c>
      <c r="BT37" s="13"/>
      <c r="BU37" s="13"/>
      <c r="BV37" s="12">
        <v>-0.22992529647193599</v>
      </c>
      <c r="BW37" s="12">
        <v>-1.14351229870103</v>
      </c>
      <c r="BX37" s="12">
        <v>1.1663987393847</v>
      </c>
      <c r="BZ37" s="13"/>
      <c r="CA37" s="13"/>
      <c r="CB37" s="13"/>
    </row>
    <row r="38" spans="1:80" x14ac:dyDescent="0.3">
      <c r="D38" s="17">
        <v>1</v>
      </c>
      <c r="E38" s="17">
        <v>1.1000000000000001</v>
      </c>
      <c r="AG38" s="76">
        <v>0.9</v>
      </c>
      <c r="AH38" s="76">
        <v>-0.43879493800000002</v>
      </c>
      <c r="AI38" s="76">
        <v>0.3979384144</v>
      </c>
      <c r="BB38" s="18">
        <f t="shared" si="35"/>
        <v>0.70798155275093599</v>
      </c>
      <c r="BC38" s="13"/>
      <c r="BD38" s="13"/>
      <c r="BE38" s="15">
        <f t="shared" si="33"/>
        <v>0.70798155275093599</v>
      </c>
      <c r="BF38" s="23">
        <f t="shared" si="36"/>
        <v>-4.513386348603543E-5</v>
      </c>
      <c r="BH38" s="24">
        <f t="shared" si="37"/>
        <v>0</v>
      </c>
      <c r="BI38" s="13"/>
      <c r="BJ38" s="17">
        <v>-0.70798155275093599</v>
      </c>
      <c r="BK38" s="13">
        <v>-0.128362412243583</v>
      </c>
      <c r="BL38" s="15">
        <f t="shared" si="38"/>
        <v>0.71952400092882085</v>
      </c>
      <c r="BM38" s="15">
        <f t="shared" si="34"/>
        <v>7.3095095250550468E-3</v>
      </c>
      <c r="BN38" s="23">
        <f t="shared" si="39"/>
        <v>-7.3095095250551578E-3</v>
      </c>
      <c r="BP38" s="11">
        <v>-0.70793641888744996</v>
      </c>
      <c r="BQ38" s="11">
        <v>-7.7945548803877704E-2</v>
      </c>
      <c r="BR38" s="15">
        <f t="shared" si="40"/>
        <v>0.7122144914037658</v>
      </c>
      <c r="BS38" s="18">
        <f t="shared" si="41"/>
        <v>-7.3095095250551578E-3</v>
      </c>
      <c r="BT38" s="13"/>
      <c r="BU38" s="13"/>
      <c r="BV38" s="12">
        <v>-0.70798155275093599</v>
      </c>
      <c r="BW38" s="12">
        <v>-0.128362412243583</v>
      </c>
      <c r="BX38" s="12">
        <v>0.71952400092882096</v>
      </c>
      <c r="BZ38" s="13"/>
      <c r="CA38" s="13"/>
      <c r="CB38" s="13"/>
    </row>
    <row r="39" spans="1:80" x14ac:dyDescent="0.3">
      <c r="D39" s="17">
        <v>1</v>
      </c>
      <c r="E39" s="17">
        <v>2</v>
      </c>
      <c r="AG39" s="76">
        <v>1</v>
      </c>
      <c r="AH39" s="76">
        <v>-0.44106474490000003</v>
      </c>
      <c r="AI39" s="76">
        <v>0.39566860749999999</v>
      </c>
      <c r="BB39" s="18">
        <f t="shared" si="35"/>
        <v>0.399900989440299</v>
      </c>
      <c r="BC39" s="13"/>
      <c r="BD39" s="13"/>
      <c r="BE39" s="15">
        <f t="shared" si="33"/>
        <v>0.399900989440299</v>
      </c>
      <c r="BF39" s="23">
        <f t="shared" si="36"/>
        <v>0.687177661150431</v>
      </c>
      <c r="BH39" s="24">
        <f t="shared" si="37"/>
        <v>7.3274719625260332E-15</v>
      </c>
      <c r="BI39" s="13"/>
      <c r="BJ39" s="17">
        <v>-0.399900989440299</v>
      </c>
      <c r="BK39" s="13">
        <v>-1.15921498375423</v>
      </c>
      <c r="BL39" s="15">
        <f t="shared" si="38"/>
        <v>1.2262545330866874</v>
      </c>
      <c r="BM39" s="15">
        <f t="shared" si="34"/>
        <v>-0.31053801398962677</v>
      </c>
      <c r="BN39" s="23">
        <f t="shared" si="39"/>
        <v>0.3105380139896341</v>
      </c>
      <c r="BP39" s="11">
        <v>-1.0870786505907299</v>
      </c>
      <c r="BQ39" s="11">
        <v>-1.08627406310707</v>
      </c>
      <c r="BR39" s="15">
        <f t="shared" si="40"/>
        <v>1.5367925470763142</v>
      </c>
      <c r="BS39" s="18">
        <f t="shared" si="41"/>
        <v>0.3105380139896341</v>
      </c>
      <c r="BT39" s="13"/>
      <c r="BU39" s="13"/>
      <c r="BV39" s="12">
        <v>-0.399900989440299</v>
      </c>
      <c r="BW39" s="12">
        <v>-1.15921498375423</v>
      </c>
      <c r="BX39" s="12">
        <v>1.2262545330866801</v>
      </c>
      <c r="BZ39" s="13"/>
      <c r="CA39" s="13"/>
      <c r="CB39" s="13"/>
    </row>
    <row r="40" spans="1:80" x14ac:dyDescent="0.3">
      <c r="D40" s="17">
        <v>1</v>
      </c>
      <c r="E40" s="17">
        <v>3</v>
      </c>
      <c r="BB40" s="18">
        <f t="shared" si="35"/>
        <v>-4.7864493687262404E-3</v>
      </c>
      <c r="BC40" s="13"/>
      <c r="BD40" s="13"/>
      <c r="BE40" s="15">
        <f t="shared" si="33"/>
        <v>-4.7864493687262404E-3</v>
      </c>
      <c r="BF40" s="23">
        <f t="shared" si="36"/>
        <v>-0.92258099903502278</v>
      </c>
      <c r="BH40" s="24">
        <f t="shared" si="37"/>
        <v>0</v>
      </c>
      <c r="BI40" s="13"/>
      <c r="BJ40" s="17">
        <v>4.7864493687262404E-3</v>
      </c>
      <c r="BK40" s="13">
        <v>0.82175618867133704</v>
      </c>
      <c r="BL40" s="15">
        <f t="shared" si="38"/>
        <v>0.82177012827018814</v>
      </c>
      <c r="BM40" s="15">
        <f t="shared" si="34"/>
        <v>-1.0214116298278069</v>
      </c>
      <c r="BN40" s="23">
        <f t="shared" si="39"/>
        <v>1.0214116298278069</v>
      </c>
      <c r="BP40" s="11">
        <v>0.92736744840374896</v>
      </c>
      <c r="BQ40" s="11">
        <v>1.59289315681446</v>
      </c>
      <c r="BR40" s="15">
        <f t="shared" si="40"/>
        <v>1.843181758097995</v>
      </c>
      <c r="BS40" s="18">
        <f t="shared" si="41"/>
        <v>1.0214116298278069</v>
      </c>
      <c r="BT40" s="13"/>
      <c r="BU40" s="13"/>
      <c r="BV40" s="12">
        <v>4.7864493687262404E-3</v>
      </c>
      <c r="BW40" s="12">
        <v>0.82175618867133704</v>
      </c>
      <c r="BX40" s="12">
        <v>0.82177012827018803</v>
      </c>
      <c r="BZ40" s="13"/>
      <c r="CA40" s="13"/>
      <c r="CB40" s="13"/>
    </row>
    <row r="41" spans="1:80" x14ac:dyDescent="0.3">
      <c r="D41" s="17">
        <v>1</v>
      </c>
      <c r="E41" s="17">
        <v>4</v>
      </c>
      <c r="BB41" s="18">
        <f t="shared" si="35"/>
        <v>-1.19360888306646</v>
      </c>
      <c r="BC41" s="13"/>
      <c r="BD41" s="13"/>
      <c r="BE41" s="15">
        <f t="shared" si="33"/>
        <v>-1.19360888306646</v>
      </c>
      <c r="BF41" s="23">
        <f t="shared" si="36"/>
        <v>-0.73891400627056014</v>
      </c>
      <c r="BH41" s="24">
        <f t="shared" si="37"/>
        <v>-8.4376949871511897E-15</v>
      </c>
      <c r="BI41" s="13"/>
      <c r="BJ41" s="17">
        <v>1.19360888306646</v>
      </c>
      <c r="BK41" s="13">
        <v>0.496629044835463</v>
      </c>
      <c r="BL41" s="15">
        <f t="shared" si="38"/>
        <v>1.2928041514124815</v>
      </c>
      <c r="BM41" s="15">
        <f t="shared" si="34"/>
        <v>-0.64131133535788676</v>
      </c>
      <c r="BN41" s="23">
        <f t="shared" si="39"/>
        <v>0.64131133535787832</v>
      </c>
      <c r="BP41" s="11">
        <v>1.9325228893370201</v>
      </c>
      <c r="BQ41" s="11">
        <v>-7.8472914776207103E-2</v>
      </c>
      <c r="BR41" s="15">
        <f t="shared" si="40"/>
        <v>1.9341154867703683</v>
      </c>
      <c r="BS41" s="18">
        <f t="shared" si="41"/>
        <v>0.64131133535787832</v>
      </c>
      <c r="BT41" s="13"/>
      <c r="BU41" s="13"/>
      <c r="BV41" s="12">
        <v>1.19360888306646</v>
      </c>
      <c r="BW41" s="12">
        <v>0.496629044835463</v>
      </c>
      <c r="BX41" s="12">
        <v>1.2928041514124899</v>
      </c>
      <c r="BZ41" s="13"/>
      <c r="CA41" s="13"/>
      <c r="CB41" s="13"/>
    </row>
    <row r="42" spans="1:80" x14ac:dyDescent="0.3">
      <c r="D42" s="17">
        <v>1</v>
      </c>
      <c r="E42" s="17">
        <v>8</v>
      </c>
      <c r="BB42" s="18">
        <f t="shared" si="35"/>
        <v>-1.45090533050273</v>
      </c>
      <c r="BC42" s="13"/>
      <c r="BD42" s="13"/>
      <c r="BE42" s="15">
        <f t="shared" si="33"/>
        <v>-1.45090533050273</v>
      </c>
      <c r="BF42" s="23">
        <f t="shared" si="36"/>
        <v>-0.21421387912547996</v>
      </c>
      <c r="BH42" s="24">
        <f t="shared" si="37"/>
        <v>4.8849813083506888E-15</v>
      </c>
      <c r="BI42" s="13"/>
      <c r="BJ42" s="17">
        <v>1.45090533050273</v>
      </c>
      <c r="BK42" s="13">
        <v>-0.65282312338162096</v>
      </c>
      <c r="BL42" s="15">
        <f t="shared" si="38"/>
        <v>1.5910073250940648</v>
      </c>
      <c r="BM42" s="15">
        <f t="shared" si="34"/>
        <v>-8.2268233429405369E-2</v>
      </c>
      <c r="BN42" s="23">
        <f t="shared" si="39"/>
        <v>8.2268233429410254E-2</v>
      </c>
      <c r="BP42" s="11">
        <v>1.6651192096282099</v>
      </c>
      <c r="BQ42" s="11">
        <v>-0.16501246158747199</v>
      </c>
      <c r="BR42" s="15">
        <f t="shared" si="40"/>
        <v>1.6732755585234702</v>
      </c>
      <c r="BS42" s="18">
        <f t="shared" si="41"/>
        <v>8.2268233429410254E-2</v>
      </c>
      <c r="BT42" s="13"/>
      <c r="BU42" s="13"/>
      <c r="BV42" s="12">
        <v>1.45090533050273</v>
      </c>
      <c r="BW42" s="12">
        <v>-0.65282312338162096</v>
      </c>
      <c r="BX42" s="12">
        <v>1.59100732509406</v>
      </c>
      <c r="BZ42" s="13"/>
      <c r="CA42" s="13"/>
      <c r="CB42" s="13"/>
    </row>
    <row r="43" spans="1:80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  <c r="AR43" s="17"/>
      <c r="AS43" s="17"/>
      <c r="AT43" s="17"/>
      <c r="AU43" s="17"/>
      <c r="AV43" s="17"/>
      <c r="AW43" s="17"/>
      <c r="AX43" s="17"/>
      <c r="AY43" s="17"/>
      <c r="AZ43" s="17"/>
      <c r="BA43" s="17"/>
      <c r="BE43" s="17"/>
      <c r="BF43" s="17"/>
      <c r="BG43" s="8"/>
      <c r="BM43" s="17"/>
      <c r="BN43" s="17"/>
      <c r="BO43" s="8"/>
      <c r="BP43" s="17"/>
    </row>
    <row r="44" spans="1:80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  <c r="AR44" s="17"/>
      <c r="AS44" s="17"/>
      <c r="AT44" s="17"/>
      <c r="AU44" s="17"/>
      <c r="AV44" s="17"/>
      <c r="AW44" s="17"/>
      <c r="AX44" s="17"/>
      <c r="AY44" s="17"/>
      <c r="AZ44" s="17"/>
      <c r="BA44" s="17"/>
      <c r="BE44" s="17"/>
      <c r="BF44" s="17"/>
      <c r="BG44" s="17"/>
      <c r="BM44" s="17"/>
      <c r="BN44" s="17"/>
      <c r="BO44" s="17"/>
    </row>
    <row r="45" spans="1:80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  <c r="AR45" s="17"/>
      <c r="AS45" s="17"/>
      <c r="AT45" s="17"/>
      <c r="AU45" s="17"/>
      <c r="AV45" s="17"/>
      <c r="AW45" s="17"/>
      <c r="AX45" s="17"/>
      <c r="AY45" s="17"/>
      <c r="AZ45" s="17"/>
      <c r="BA45" s="17"/>
      <c r="BE45" s="13" t="s">
        <v>41</v>
      </c>
      <c r="BM45" s="13" t="s">
        <v>41</v>
      </c>
      <c r="BQ45" s="17"/>
      <c r="BR45" s="17"/>
    </row>
    <row r="46" spans="1:80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  <c r="AR46" s="17"/>
      <c r="AS46" s="17"/>
      <c r="AT46" s="17"/>
      <c r="AU46" s="17"/>
      <c r="AV46" s="17"/>
      <c r="AW46" s="17"/>
      <c r="AX46" s="17"/>
      <c r="AY46" s="17"/>
      <c r="AZ46" s="17"/>
      <c r="BA46" s="17"/>
      <c r="BQ46" s="17"/>
      <c r="BR46" s="17"/>
    </row>
    <row r="47" spans="1:80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 t="s">
        <v>30</v>
      </c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 t="s">
        <v>21</v>
      </c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BE47" s="13" t="s">
        <v>38</v>
      </c>
      <c r="BF47" s="13" t="s">
        <v>37</v>
      </c>
      <c r="BG47" s="3">
        <v>0.59154030956589698</v>
      </c>
      <c r="BM47" s="13" t="s">
        <v>38</v>
      </c>
      <c r="BN47" s="13" t="s">
        <v>37</v>
      </c>
      <c r="BO47" s="3">
        <v>0.59154030956589698</v>
      </c>
      <c r="BQ47" s="17"/>
      <c r="BR47" s="17"/>
    </row>
    <row r="48" spans="1:80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>
        <v>0.43490099999999998</v>
      </c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>
        <v>1</v>
      </c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BE48" s="13" t="s">
        <v>39</v>
      </c>
      <c r="BG48" s="13">
        <v>0.59199999999999997</v>
      </c>
      <c r="BM48" s="13" t="s">
        <v>39</v>
      </c>
      <c r="BO48" s="13">
        <v>0.59199999999999997</v>
      </c>
      <c r="BQ48" s="17"/>
      <c r="BR48" s="17"/>
    </row>
    <row r="49" spans="1:70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>
        <v>0.43490200000000001</v>
      </c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>
        <v>1</v>
      </c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BE49" s="13" t="s">
        <v>40</v>
      </c>
      <c r="BF49" s="13" t="s">
        <v>36</v>
      </c>
      <c r="BG49" s="13">
        <v>0.59242910402239002</v>
      </c>
      <c r="BM49" s="13" t="s">
        <v>40</v>
      </c>
      <c r="BN49" s="13" t="s">
        <v>36</v>
      </c>
      <c r="BO49" s="13">
        <v>0.59242910402239002</v>
      </c>
      <c r="BQ49" s="17"/>
      <c r="BR49" s="17"/>
    </row>
    <row r="50" spans="1:70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>
        <v>0.43490299999999998</v>
      </c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>
        <v>1</v>
      </c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BG50" s="13">
        <v>-0.364877719018873</v>
      </c>
      <c r="BO50" s="13">
        <v>-0.364877719018873</v>
      </c>
      <c r="BP50" s="13">
        <v>3.5277430225033601E-2</v>
      </c>
      <c r="BQ50" s="13">
        <v>0.36657911413458599</v>
      </c>
      <c r="BR50" s="17"/>
    </row>
    <row r="51" spans="1:70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>
        <v>0.43490499999999999</v>
      </c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>
        <v>1</v>
      </c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BE51" s="17"/>
      <c r="BF51" s="17"/>
      <c r="BG51" s="17"/>
      <c r="BM51" s="17"/>
      <c r="BN51" s="17"/>
      <c r="BO51" s="17"/>
    </row>
    <row r="52" spans="1:70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>
        <v>0.43490800000000002</v>
      </c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>
        <v>1</v>
      </c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BE52" s="17"/>
      <c r="BF52" s="17"/>
      <c r="BG52" s="17"/>
      <c r="BM52" s="17"/>
      <c r="BN52" s="17"/>
      <c r="BO52" s="17"/>
    </row>
    <row r="53" spans="1:70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>
        <v>0.59165999999999996</v>
      </c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>
        <v>2</v>
      </c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BE53" s="17"/>
      <c r="BF53" s="17"/>
      <c r="BG53" s="17"/>
      <c r="BM53" s="17"/>
      <c r="BN53" s="17"/>
      <c r="BO53" s="17"/>
    </row>
    <row r="54" spans="1:70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>
        <v>0.59166200000000002</v>
      </c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>
        <v>2</v>
      </c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BE54" s="17"/>
      <c r="BF54" s="17"/>
      <c r="BG54" s="17"/>
      <c r="BM54" s="17"/>
      <c r="BN54" s="17"/>
      <c r="BO54" s="17"/>
    </row>
    <row r="55" spans="1:70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>
        <v>0.591669</v>
      </c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>
        <v>2</v>
      </c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BE55" s="17"/>
      <c r="BF55" s="17"/>
      <c r="BG55" s="17"/>
      <c r="BM55" s="17"/>
      <c r="BN55" s="17"/>
      <c r="BO55" s="17"/>
    </row>
    <row r="56" spans="1:70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>
        <v>0.59167899999999995</v>
      </c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>
        <v>2</v>
      </c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BE56" s="17"/>
      <c r="BF56" s="17"/>
      <c r="BG56" s="17"/>
      <c r="BM56" s="17"/>
      <c r="BN56" s="17"/>
      <c r="BO56" s="17"/>
    </row>
    <row r="57" spans="1:70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>
        <v>0.59169499999999997</v>
      </c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>
        <v>2</v>
      </c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BE57" s="17"/>
      <c r="BF57" s="17"/>
      <c r="BG57" s="17"/>
      <c r="BM57" s="17"/>
      <c r="BN57" s="17"/>
      <c r="BO57" s="17"/>
    </row>
    <row r="58" spans="1:70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  <c r="AR58" s="17"/>
      <c r="AS58" s="17"/>
      <c r="AT58" s="17"/>
      <c r="AU58" s="17"/>
      <c r="AV58" s="17"/>
      <c r="AW58" s="17"/>
      <c r="AX58" s="17"/>
      <c r="AY58" s="17"/>
      <c r="AZ58" s="17"/>
      <c r="BA58" s="17"/>
      <c r="BE58" s="17"/>
      <c r="BF58" s="17"/>
      <c r="BG58" s="17"/>
      <c r="BM58" s="17"/>
      <c r="BN58" s="17"/>
      <c r="BO58" s="17"/>
    </row>
    <row r="59" spans="1:70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43" t="s">
        <v>21</v>
      </c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17"/>
      <c r="AW59" s="17"/>
      <c r="AX59" s="17"/>
      <c r="AY59" s="17"/>
      <c r="AZ59" s="17"/>
      <c r="BA59" s="17"/>
      <c r="BE59" s="17"/>
      <c r="BF59" s="17"/>
      <c r="BG59" s="17"/>
      <c r="BM59" s="17"/>
      <c r="BN59" s="17"/>
      <c r="BO59" s="17"/>
    </row>
    <row r="60" spans="1:70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43">
        <v>1</v>
      </c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17"/>
      <c r="AW60" s="17"/>
      <c r="AX60" s="17"/>
      <c r="AY60" s="17"/>
      <c r="AZ60" s="17"/>
      <c r="BA60" s="17"/>
      <c r="BE60" s="17"/>
      <c r="BF60" s="17"/>
      <c r="BG60" s="17"/>
      <c r="BM60" s="17"/>
      <c r="BN60" s="17"/>
      <c r="BO60" s="17"/>
    </row>
    <row r="61" spans="1:70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43">
        <v>1</v>
      </c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17"/>
      <c r="AW61" s="17"/>
      <c r="AX61" s="17"/>
      <c r="AY61" s="17"/>
      <c r="AZ61" s="17"/>
      <c r="BA61" s="17"/>
      <c r="BE61" s="17"/>
      <c r="BF61" s="17"/>
      <c r="BG61" s="17"/>
      <c r="BM61" s="17"/>
      <c r="BN61" s="17"/>
      <c r="BO61" s="17"/>
    </row>
    <row r="62" spans="1:70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43">
        <v>1</v>
      </c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17"/>
      <c r="AW62" s="17"/>
      <c r="AX62" s="17"/>
      <c r="AY62" s="17"/>
      <c r="AZ62" s="17"/>
      <c r="BA62" s="17"/>
      <c r="BE62" s="17"/>
      <c r="BF62" s="17"/>
      <c r="BG62" s="17"/>
      <c r="BM62" s="17"/>
      <c r="BN62" s="17"/>
      <c r="BO62" s="17"/>
    </row>
    <row r="63" spans="1:70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43">
        <v>1</v>
      </c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17"/>
      <c r="AW63" s="17"/>
      <c r="AX63" s="17"/>
      <c r="AY63" s="17"/>
      <c r="AZ63" s="17"/>
      <c r="BA63" s="17"/>
      <c r="BE63" s="17"/>
      <c r="BF63" s="17"/>
      <c r="BG63" s="17"/>
      <c r="BM63" s="17"/>
      <c r="BN63" s="17"/>
      <c r="BO63" s="17"/>
    </row>
    <row r="64" spans="1:70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43">
        <v>1</v>
      </c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17"/>
      <c r="AW64" s="17"/>
      <c r="AX64" s="17"/>
      <c r="AY64" s="17"/>
      <c r="AZ64" s="17"/>
      <c r="BA64" s="17"/>
      <c r="BE64" s="17"/>
      <c r="BF64" s="17"/>
      <c r="BG64" s="17"/>
      <c r="BM64" s="17"/>
      <c r="BN64" s="17"/>
      <c r="BO64" s="17"/>
    </row>
    <row r="65" spans="1:67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43">
        <v>2</v>
      </c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17"/>
      <c r="AW65" s="17"/>
      <c r="AX65" s="17"/>
      <c r="AY65" s="17"/>
      <c r="AZ65" s="17"/>
      <c r="BA65" s="17"/>
      <c r="BE65" s="17"/>
      <c r="BF65" s="17"/>
      <c r="BG65" s="17"/>
      <c r="BM65" s="17"/>
      <c r="BN65" s="17"/>
      <c r="BO65" s="17"/>
    </row>
    <row r="66" spans="1:67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43">
        <v>2</v>
      </c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17"/>
      <c r="AW66" s="17"/>
      <c r="AX66" s="17"/>
      <c r="AY66" s="17"/>
      <c r="AZ66" s="17"/>
      <c r="BA66" s="17"/>
      <c r="BE66" s="17"/>
      <c r="BF66" s="17"/>
      <c r="BG66" s="17"/>
      <c r="BM66" s="17"/>
      <c r="BN66" s="17"/>
      <c r="BO66" s="17"/>
    </row>
    <row r="67" spans="1:67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43">
        <v>2</v>
      </c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17"/>
      <c r="AW67" s="17"/>
      <c r="AX67" s="17"/>
      <c r="AY67" s="17"/>
      <c r="AZ67" s="17"/>
      <c r="BA67" s="17"/>
      <c r="BE67" s="17"/>
      <c r="BF67" s="17"/>
      <c r="BG67" s="17"/>
      <c r="BM67" s="17"/>
      <c r="BN67" s="17"/>
      <c r="BO67" s="17"/>
    </row>
    <row r="68" spans="1:67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43">
        <v>2</v>
      </c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17"/>
      <c r="AW68" s="17"/>
      <c r="AX68" s="17"/>
      <c r="AY68" s="17"/>
      <c r="AZ68" s="17"/>
      <c r="BA68" s="17"/>
      <c r="BE68" s="17"/>
      <c r="BF68" s="17"/>
      <c r="BG68" s="17"/>
      <c r="BM68" s="17"/>
      <c r="BN68" s="17"/>
      <c r="BO68" s="17"/>
    </row>
    <row r="69" spans="1:67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43">
        <v>2</v>
      </c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17"/>
      <c r="AW69" s="17"/>
      <c r="AX69" s="17"/>
      <c r="AY69" s="17"/>
      <c r="AZ69" s="17"/>
      <c r="BA69" s="17"/>
      <c r="BE69" s="17"/>
      <c r="BF69" s="17"/>
      <c r="BG69" s="17"/>
      <c r="BM69" s="17"/>
      <c r="BN69" s="17"/>
      <c r="BO69" s="17"/>
    </row>
    <row r="70" spans="1:67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  <c r="AU70" s="17"/>
      <c r="AV70" s="17"/>
      <c r="AW70" s="17"/>
      <c r="AX70" s="17"/>
      <c r="AY70" s="17"/>
      <c r="AZ70" s="17"/>
      <c r="BA70" s="17"/>
      <c r="BE70" s="17"/>
      <c r="BF70" s="17"/>
      <c r="BG70" s="17"/>
      <c r="BM70" s="17"/>
      <c r="BN70" s="17"/>
      <c r="BO70" s="17"/>
    </row>
    <row r="71" spans="1:67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  <c r="AU71" s="17"/>
      <c r="AV71" s="17"/>
      <c r="AW71" s="17"/>
      <c r="AX71" s="17"/>
      <c r="AY71" s="17"/>
      <c r="AZ71" s="17"/>
      <c r="BA71" s="17"/>
      <c r="BE71" s="17"/>
      <c r="BF71" s="17"/>
      <c r="BG71" s="17"/>
      <c r="BM71" s="17"/>
      <c r="BN71" s="17"/>
      <c r="BO71" s="17"/>
    </row>
    <row r="72" spans="1:67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  <c r="AU72" s="17"/>
      <c r="AV72" s="17"/>
      <c r="AW72" s="17"/>
      <c r="AX72" s="17"/>
      <c r="AY72" s="17"/>
      <c r="AZ72" s="17"/>
      <c r="BA72" s="17"/>
      <c r="BE72" s="17"/>
      <c r="BF72" s="17"/>
      <c r="BG72" s="17"/>
      <c r="BM72" s="17"/>
      <c r="BN72" s="17"/>
      <c r="BO72" s="17"/>
    </row>
    <row r="73" spans="1:67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  <c r="AR73" s="17"/>
      <c r="AS73" s="17"/>
      <c r="AT73" s="17"/>
      <c r="AU73" s="17"/>
      <c r="AV73" s="17"/>
      <c r="AW73" s="17"/>
      <c r="AX73" s="17"/>
      <c r="AY73" s="17"/>
      <c r="AZ73" s="17"/>
      <c r="BA73" s="17"/>
      <c r="BE73" s="17"/>
      <c r="BF73" s="17"/>
      <c r="BG73" s="17"/>
      <c r="BM73" s="17"/>
      <c r="BN73" s="17"/>
      <c r="BO73" s="17"/>
    </row>
    <row r="74" spans="1:67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  <c r="AU74" s="17"/>
      <c r="AV74" s="17"/>
      <c r="AW74" s="17"/>
      <c r="AX74" s="17"/>
      <c r="AY74" s="17"/>
      <c r="AZ74" s="17"/>
      <c r="BA74" s="17"/>
      <c r="BE74" s="17"/>
      <c r="BF74" s="17"/>
      <c r="BG74" s="17"/>
      <c r="BM74" s="17"/>
      <c r="BN74" s="17"/>
      <c r="BO74" s="17"/>
    </row>
    <row r="75" spans="1:67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  <c r="AU75" s="17"/>
      <c r="AV75" s="17"/>
      <c r="AW75" s="17"/>
      <c r="AX75" s="17"/>
      <c r="AY75" s="17"/>
      <c r="AZ75" s="17"/>
      <c r="BA75" s="17"/>
      <c r="BE75" s="17"/>
      <c r="BF75" s="17"/>
      <c r="BG75" s="17"/>
      <c r="BM75" s="17"/>
      <c r="BN75" s="17"/>
      <c r="BO75" s="17"/>
    </row>
    <row r="76" spans="1:67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E76" s="17"/>
      <c r="BF76" s="17"/>
      <c r="BG76" s="17"/>
      <c r="BM76" s="17"/>
      <c r="BN76" s="17"/>
      <c r="BO76" s="17"/>
    </row>
    <row r="77" spans="1:67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E77" s="17"/>
      <c r="BF77" s="17"/>
      <c r="BG77" s="17"/>
      <c r="BM77" s="17"/>
      <c r="BN77" s="17"/>
      <c r="BO77" s="17"/>
    </row>
    <row r="78" spans="1:67" x14ac:dyDescent="0.3">
      <c r="BH78" s="13"/>
      <c r="BI78" s="13"/>
      <c r="BJ78" s="13"/>
    </row>
    <row r="79" spans="1:67" x14ac:dyDescent="0.3">
      <c r="BH79" s="13"/>
      <c r="BI79" s="13"/>
      <c r="BJ79" s="13"/>
    </row>
    <row r="80" spans="1:67" x14ac:dyDescent="0.3">
      <c r="BH80" s="13"/>
      <c r="BI80" s="13"/>
      <c r="BJ80" s="13"/>
    </row>
    <row r="81" spans="60:62" x14ac:dyDescent="0.3">
      <c r="BH81" s="13"/>
      <c r="BI81" s="13"/>
      <c r="BJ81" s="13"/>
    </row>
    <row r="82" spans="60:62" x14ac:dyDescent="0.3">
      <c r="BH82" s="13"/>
      <c r="BI82" s="13"/>
      <c r="BJ82" s="13"/>
    </row>
    <row r="83" spans="60:62" x14ac:dyDescent="0.3">
      <c r="BH83" s="13"/>
      <c r="BI83" s="13"/>
      <c r="BJ83" s="13"/>
    </row>
    <row r="84" spans="60:62" x14ac:dyDescent="0.3">
      <c r="BH84" s="13"/>
      <c r="BI84" s="13"/>
      <c r="BJ84" s="13"/>
    </row>
    <row r="85" spans="60:62" x14ac:dyDescent="0.3">
      <c r="BH85" s="13"/>
      <c r="BI85" s="13"/>
      <c r="BJ85" s="13"/>
    </row>
    <row r="86" spans="60:62" x14ac:dyDescent="0.3">
      <c r="BH86" s="13"/>
      <c r="BI86" s="13"/>
      <c r="BJ86" s="13"/>
    </row>
    <row r="87" spans="60:62" x14ac:dyDescent="0.3">
      <c r="BH87" s="13"/>
      <c r="BI87" s="13"/>
      <c r="BJ87" s="13"/>
    </row>
    <row r="88" spans="60:62" x14ac:dyDescent="0.3">
      <c r="BH88" s="13"/>
      <c r="BI88" s="13"/>
      <c r="BJ88" s="13"/>
    </row>
    <row r="89" spans="60:62" x14ac:dyDescent="0.3">
      <c r="BH89" s="13"/>
      <c r="BI89" s="13"/>
      <c r="BJ89" s="1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0FBF-538C-443C-B11A-6439CE8C063C}">
  <dimension ref="A1:Y65"/>
  <sheetViews>
    <sheetView workbookViewId="0">
      <selection activeCell="A2" sqref="A2:A65"/>
    </sheetView>
  </sheetViews>
  <sheetFormatPr defaultRowHeight="14.4" x14ac:dyDescent="0.3"/>
  <cols>
    <col min="7" max="7" width="12.21875" customWidth="1"/>
    <col min="9" max="9" width="12.21875" customWidth="1"/>
  </cols>
  <sheetData>
    <row r="1" spans="1:25" x14ac:dyDescent="0.3">
      <c r="A1" t="s">
        <v>0</v>
      </c>
      <c r="B1" t="s">
        <v>3</v>
      </c>
      <c r="C1" t="s">
        <v>91</v>
      </c>
      <c r="D1" t="s">
        <v>0</v>
      </c>
      <c r="E1" t="s">
        <v>92</v>
      </c>
      <c r="F1" t="s">
        <v>93</v>
      </c>
      <c r="G1" t="s">
        <v>94</v>
      </c>
      <c r="H1" t="s">
        <v>95</v>
      </c>
      <c r="I1" t="s">
        <v>30</v>
      </c>
      <c r="J1" t="s">
        <v>8</v>
      </c>
      <c r="K1" t="s">
        <v>9</v>
      </c>
      <c r="L1" t="s">
        <v>10</v>
      </c>
      <c r="M1" t="s">
        <v>16</v>
      </c>
      <c r="N1" t="s">
        <v>17</v>
      </c>
      <c r="O1" t="s">
        <v>96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1</v>
      </c>
      <c r="W1" t="s">
        <v>2</v>
      </c>
      <c r="X1" t="s">
        <v>25</v>
      </c>
      <c r="Y1" t="s">
        <v>97</v>
      </c>
    </row>
    <row r="2" spans="1:25" x14ac:dyDescent="0.3">
      <c r="A2">
        <v>0</v>
      </c>
      <c r="B2">
        <v>42</v>
      </c>
      <c r="C2">
        <v>0</v>
      </c>
      <c r="D2">
        <v>0</v>
      </c>
      <c r="E2" t="s">
        <v>18</v>
      </c>
      <c r="G2" s="44">
        <v>-0.41780845290741098</v>
      </c>
      <c r="H2" s="44">
        <v>0.41836309733543903</v>
      </c>
      <c r="I2" s="44">
        <v>0.59126270348550403</v>
      </c>
      <c r="J2" s="44">
        <v>3.7043029999999998E-9</v>
      </c>
      <c r="K2" s="44">
        <v>8.0200870000000003E-12</v>
      </c>
      <c r="L2">
        <v>1</v>
      </c>
      <c r="M2" s="44">
        <v>0.41836667621661899</v>
      </c>
      <c r="N2" s="44">
        <v>-0.41836667621661899</v>
      </c>
      <c r="O2">
        <v>15000</v>
      </c>
      <c r="P2">
        <v>16</v>
      </c>
      <c r="Q2">
        <v>1</v>
      </c>
      <c r="R2">
        <v>1</v>
      </c>
      <c r="S2">
        <v>2</v>
      </c>
      <c r="T2">
        <v>0.01</v>
      </c>
      <c r="U2">
        <v>16</v>
      </c>
      <c r="V2">
        <v>0</v>
      </c>
      <c r="W2">
        <v>0</v>
      </c>
      <c r="X2">
        <v>491.9</v>
      </c>
      <c r="Y2" t="s">
        <v>98</v>
      </c>
    </row>
    <row r="3" spans="1:25" x14ac:dyDescent="0.3">
      <c r="A3">
        <v>0</v>
      </c>
      <c r="B3">
        <v>45</v>
      </c>
      <c r="C3">
        <v>0</v>
      </c>
      <c r="D3">
        <v>0</v>
      </c>
      <c r="E3" t="s">
        <v>18</v>
      </c>
      <c r="G3" s="44">
        <v>0.417861702687848</v>
      </c>
      <c r="H3" s="44">
        <v>-0.41843066752020502</v>
      </c>
      <c r="I3" s="44">
        <v>0.59134814288589099</v>
      </c>
      <c r="J3" s="44">
        <v>3.7916119999999997E-9</v>
      </c>
      <c r="K3" s="44">
        <v>4.1412460000000001E-12</v>
      </c>
      <c r="L3">
        <v>1</v>
      </c>
      <c r="M3" s="44">
        <v>0.41836667621661899</v>
      </c>
      <c r="N3" s="44">
        <v>-0.41836667621661899</v>
      </c>
      <c r="O3">
        <v>15000</v>
      </c>
      <c r="P3">
        <v>16</v>
      </c>
      <c r="Q3">
        <v>1</v>
      </c>
      <c r="R3">
        <v>1</v>
      </c>
      <c r="S3">
        <v>2</v>
      </c>
      <c r="T3">
        <v>0.01</v>
      </c>
      <c r="U3">
        <v>16</v>
      </c>
      <c r="V3">
        <v>0</v>
      </c>
      <c r="W3">
        <v>0</v>
      </c>
      <c r="X3">
        <v>458.2</v>
      </c>
      <c r="Y3" t="s">
        <v>99</v>
      </c>
    </row>
    <row r="4" spans="1:25" x14ac:dyDescent="0.3">
      <c r="A4">
        <v>0</v>
      </c>
      <c r="B4">
        <v>99</v>
      </c>
      <c r="C4">
        <v>0</v>
      </c>
      <c r="D4">
        <v>0</v>
      </c>
      <c r="E4" t="s">
        <v>18</v>
      </c>
      <c r="G4" s="44">
        <v>-0.41783636269690799</v>
      </c>
      <c r="H4" s="44">
        <v>0.41846257303435103</v>
      </c>
      <c r="I4" s="44">
        <v>0.59135281433532705</v>
      </c>
      <c r="J4" s="44">
        <v>3.6474900000000002E-9</v>
      </c>
      <c r="K4" s="44">
        <v>5.3182339999999999E-12</v>
      </c>
      <c r="L4">
        <v>1</v>
      </c>
      <c r="M4" s="44">
        <v>0.41836667621661899</v>
      </c>
      <c r="N4" s="44">
        <v>-0.41836667621661899</v>
      </c>
      <c r="O4">
        <v>15000</v>
      </c>
      <c r="P4">
        <v>16</v>
      </c>
      <c r="Q4">
        <v>1</v>
      </c>
      <c r="R4">
        <v>1</v>
      </c>
      <c r="S4">
        <v>2</v>
      </c>
      <c r="T4">
        <v>0.01</v>
      </c>
      <c r="U4">
        <v>16</v>
      </c>
      <c r="V4">
        <v>0</v>
      </c>
      <c r="W4">
        <v>0</v>
      </c>
      <c r="X4">
        <v>451.7</v>
      </c>
      <c r="Y4" t="s">
        <v>100</v>
      </c>
    </row>
    <row r="5" spans="1:25" x14ac:dyDescent="0.3">
      <c r="A5">
        <v>0.05</v>
      </c>
      <c r="B5">
        <v>42</v>
      </c>
      <c r="C5">
        <v>1</v>
      </c>
      <c r="D5">
        <v>0.05</v>
      </c>
      <c r="E5" t="s">
        <v>26</v>
      </c>
      <c r="F5">
        <v>0</v>
      </c>
      <c r="G5" s="45">
        <v>-0.41888723604943401</v>
      </c>
      <c r="H5" s="44">
        <v>0.41713875947696</v>
      </c>
      <c r="I5" s="45">
        <v>0.59116094355353999</v>
      </c>
      <c r="J5" s="44">
        <v>6.8352619999999998E-6</v>
      </c>
      <c r="K5" s="44">
        <v>1.272085E-5</v>
      </c>
      <c r="L5">
        <v>0.99998799999999999</v>
      </c>
      <c r="M5" s="44">
        <v>0.41836667621661899</v>
      </c>
      <c r="N5" s="44">
        <v>-0.41836667621661899</v>
      </c>
      <c r="O5">
        <v>6000</v>
      </c>
      <c r="P5">
        <v>16</v>
      </c>
      <c r="Q5">
        <v>1</v>
      </c>
      <c r="R5">
        <v>1</v>
      </c>
      <c r="S5">
        <v>2</v>
      </c>
      <c r="T5">
        <v>0.01</v>
      </c>
      <c r="U5">
        <v>16</v>
      </c>
      <c r="V5">
        <v>0</v>
      </c>
      <c r="W5">
        <v>0</v>
      </c>
      <c r="X5">
        <v>195.5</v>
      </c>
      <c r="Y5" t="s">
        <v>101</v>
      </c>
    </row>
    <row r="6" spans="1:25" x14ac:dyDescent="0.3">
      <c r="A6">
        <v>0.05</v>
      </c>
      <c r="B6">
        <v>45</v>
      </c>
      <c r="C6">
        <v>1</v>
      </c>
      <c r="D6">
        <v>0.05</v>
      </c>
      <c r="E6" t="s">
        <v>26</v>
      </c>
      <c r="F6">
        <v>0</v>
      </c>
      <c r="G6" s="45">
        <v>0.41888896960595501</v>
      </c>
      <c r="H6" s="44">
        <v>-0.41735356748021502</v>
      </c>
      <c r="I6" s="45">
        <v>0.59131376539532898</v>
      </c>
      <c r="J6" s="44">
        <v>6.2727479999999997E-6</v>
      </c>
      <c r="K6" s="44">
        <v>9.4622590000000004E-6</v>
      </c>
      <c r="L6">
        <v>0.99998900000000002</v>
      </c>
      <c r="M6" s="44">
        <v>0.41836667621661899</v>
      </c>
      <c r="N6" s="44">
        <v>-0.41836667621661899</v>
      </c>
      <c r="O6">
        <v>6000</v>
      </c>
      <c r="P6">
        <v>16</v>
      </c>
      <c r="Q6">
        <v>1</v>
      </c>
      <c r="R6">
        <v>1</v>
      </c>
      <c r="S6">
        <v>2</v>
      </c>
      <c r="T6">
        <v>0.01</v>
      </c>
      <c r="U6">
        <v>16</v>
      </c>
      <c r="V6">
        <v>0</v>
      </c>
      <c r="W6">
        <v>0</v>
      </c>
      <c r="X6">
        <v>183.4</v>
      </c>
      <c r="Y6" t="s">
        <v>102</v>
      </c>
    </row>
    <row r="7" spans="1:25" x14ac:dyDescent="0.3">
      <c r="A7">
        <v>0.05</v>
      </c>
      <c r="B7">
        <v>99</v>
      </c>
      <c r="C7">
        <v>1</v>
      </c>
      <c r="D7">
        <v>0.05</v>
      </c>
      <c r="E7" t="s">
        <v>26</v>
      </c>
      <c r="F7">
        <v>0</v>
      </c>
      <c r="G7" s="45">
        <v>-0.41894260579363501</v>
      </c>
      <c r="H7" s="44">
        <v>0.41718057512771201</v>
      </c>
      <c r="I7" s="45">
        <v>0.59122968397489095</v>
      </c>
      <c r="J7" s="44">
        <v>6.876082E-6</v>
      </c>
      <c r="K7" s="44">
        <v>9.4305480000000002E-6</v>
      </c>
      <c r="L7">
        <v>0.99998699999999996</v>
      </c>
      <c r="M7" s="44">
        <v>0.41836667621661899</v>
      </c>
      <c r="N7" s="44">
        <v>-0.41836667621661899</v>
      </c>
      <c r="O7">
        <v>6000</v>
      </c>
      <c r="P7">
        <v>16</v>
      </c>
      <c r="Q7">
        <v>1</v>
      </c>
      <c r="R7">
        <v>1</v>
      </c>
      <c r="S7">
        <v>2</v>
      </c>
      <c r="T7">
        <v>0.01</v>
      </c>
      <c r="U7">
        <v>16</v>
      </c>
      <c r="V7">
        <v>0</v>
      </c>
      <c r="W7">
        <v>0</v>
      </c>
      <c r="X7">
        <v>178.6</v>
      </c>
      <c r="Y7" t="s">
        <v>103</v>
      </c>
    </row>
    <row r="8" spans="1:25" x14ac:dyDescent="0.3">
      <c r="A8">
        <v>0.1</v>
      </c>
      <c r="B8">
        <v>42</v>
      </c>
      <c r="C8">
        <v>2</v>
      </c>
      <c r="D8">
        <v>0.1</v>
      </c>
      <c r="E8" t="s">
        <v>26</v>
      </c>
      <c r="F8">
        <v>0.05</v>
      </c>
      <c r="G8" s="44">
        <v>-0.41985514395877999</v>
      </c>
      <c r="H8" s="44">
        <v>0.41619351749012401</v>
      </c>
      <c r="I8" s="44">
        <v>0.59118134773472897</v>
      </c>
      <c r="J8" s="44">
        <v>1.273738E-5</v>
      </c>
      <c r="K8" s="44">
        <v>4.7224020000000002E-5</v>
      </c>
      <c r="L8">
        <v>0.99995800000000001</v>
      </c>
      <c r="M8" s="44">
        <v>0.41836667621661899</v>
      </c>
      <c r="N8" s="44">
        <v>-0.41836667621661899</v>
      </c>
      <c r="O8">
        <v>6000</v>
      </c>
      <c r="P8">
        <v>16</v>
      </c>
      <c r="Q8">
        <v>1</v>
      </c>
      <c r="R8">
        <v>1</v>
      </c>
      <c r="S8">
        <v>2</v>
      </c>
      <c r="T8">
        <v>0.01</v>
      </c>
      <c r="U8">
        <v>16</v>
      </c>
      <c r="V8">
        <v>0</v>
      </c>
      <c r="W8">
        <v>0</v>
      </c>
      <c r="X8">
        <v>200.7</v>
      </c>
      <c r="Y8" t="s">
        <v>104</v>
      </c>
    </row>
    <row r="9" spans="1:25" x14ac:dyDescent="0.3">
      <c r="A9">
        <v>0.1</v>
      </c>
      <c r="B9">
        <v>45</v>
      </c>
      <c r="C9">
        <v>2</v>
      </c>
      <c r="D9">
        <v>0.1</v>
      </c>
      <c r="E9" t="s">
        <v>26</v>
      </c>
      <c r="F9">
        <v>0.05</v>
      </c>
      <c r="G9" s="44">
        <v>0.41992406119997899</v>
      </c>
      <c r="H9" s="44">
        <v>-0.416237163741142</v>
      </c>
      <c r="I9" s="44">
        <v>0.59126101990064694</v>
      </c>
      <c r="J9" s="44">
        <v>1.210061E-5</v>
      </c>
      <c r="K9" s="44">
        <v>3.7124759999999998E-5</v>
      </c>
      <c r="L9">
        <v>0.99995900000000004</v>
      </c>
      <c r="M9" s="44">
        <v>0.41836667621661899</v>
      </c>
      <c r="N9" s="44">
        <v>-0.41836667621661899</v>
      </c>
      <c r="O9">
        <v>6000</v>
      </c>
      <c r="P9">
        <v>16</v>
      </c>
      <c r="Q9">
        <v>1</v>
      </c>
      <c r="R9">
        <v>1</v>
      </c>
      <c r="S9">
        <v>2</v>
      </c>
      <c r="T9">
        <v>0.01</v>
      </c>
      <c r="U9">
        <v>16</v>
      </c>
      <c r="V9">
        <v>0</v>
      </c>
      <c r="W9">
        <v>0</v>
      </c>
      <c r="X9">
        <v>183.2</v>
      </c>
      <c r="Y9" t="s">
        <v>105</v>
      </c>
    </row>
    <row r="10" spans="1:25" x14ac:dyDescent="0.3">
      <c r="A10">
        <v>0.1</v>
      </c>
      <c r="B10">
        <v>99</v>
      </c>
      <c r="C10">
        <v>2</v>
      </c>
      <c r="D10">
        <v>0.1</v>
      </c>
      <c r="E10" t="s">
        <v>26</v>
      </c>
      <c r="F10">
        <v>0.05</v>
      </c>
      <c r="G10" s="44">
        <v>-0.41995995686236998</v>
      </c>
      <c r="H10" s="44">
        <v>0.41615913924433701</v>
      </c>
      <c r="I10" s="44">
        <v>0.591231591294335</v>
      </c>
      <c r="J10" s="44">
        <v>1.309457E-5</v>
      </c>
      <c r="K10" s="44">
        <v>3.407139E-5</v>
      </c>
      <c r="L10">
        <v>0.99995199999999995</v>
      </c>
      <c r="M10" s="44">
        <v>0.41836667621661899</v>
      </c>
      <c r="N10" s="44">
        <v>-0.41836667621661899</v>
      </c>
      <c r="O10">
        <v>6000</v>
      </c>
      <c r="P10">
        <v>16</v>
      </c>
      <c r="Q10">
        <v>1</v>
      </c>
      <c r="R10">
        <v>1</v>
      </c>
      <c r="S10">
        <v>2</v>
      </c>
      <c r="T10">
        <v>0.01</v>
      </c>
      <c r="U10">
        <v>16</v>
      </c>
      <c r="V10">
        <v>0</v>
      </c>
      <c r="W10">
        <v>0</v>
      </c>
      <c r="X10">
        <v>181.6</v>
      </c>
      <c r="Y10" t="s">
        <v>106</v>
      </c>
    </row>
    <row r="11" spans="1:25" x14ac:dyDescent="0.3">
      <c r="A11">
        <v>0.2</v>
      </c>
      <c r="B11">
        <v>42</v>
      </c>
      <c r="C11">
        <v>3</v>
      </c>
      <c r="D11">
        <v>0.2</v>
      </c>
      <c r="E11" t="s">
        <v>26</v>
      </c>
      <c r="F11">
        <v>0.1</v>
      </c>
      <c r="G11" s="45">
        <v>-0.43903701064051498</v>
      </c>
      <c r="H11" s="44">
        <v>0.40568558198158</v>
      </c>
      <c r="I11" s="45">
        <v>0.59777444587393702</v>
      </c>
      <c r="J11" s="44">
        <v>2.3557860000000001E-5</v>
      </c>
      <c r="K11" s="44">
        <v>1.6229570000000001E-4</v>
      </c>
      <c r="L11">
        <v>0.999861</v>
      </c>
      <c r="M11" s="44">
        <v>0.41836667621661899</v>
      </c>
      <c r="N11" s="44">
        <v>-0.41836667621661899</v>
      </c>
      <c r="O11">
        <v>6000</v>
      </c>
      <c r="P11">
        <v>16</v>
      </c>
      <c r="Q11">
        <v>1</v>
      </c>
      <c r="R11">
        <v>1</v>
      </c>
      <c r="S11">
        <v>2</v>
      </c>
      <c r="T11">
        <v>0.01</v>
      </c>
      <c r="U11">
        <v>16</v>
      </c>
      <c r="V11">
        <v>0</v>
      </c>
      <c r="W11">
        <v>0</v>
      </c>
      <c r="X11">
        <v>195.3</v>
      </c>
      <c r="Y11" t="s">
        <v>107</v>
      </c>
    </row>
    <row r="12" spans="1:25" x14ac:dyDescent="0.3">
      <c r="A12">
        <v>0.2</v>
      </c>
      <c r="B12">
        <v>45</v>
      </c>
      <c r="C12">
        <v>3</v>
      </c>
      <c r="D12">
        <v>0.2</v>
      </c>
      <c r="E12" t="s">
        <v>26</v>
      </c>
      <c r="F12">
        <v>0.1</v>
      </c>
      <c r="G12" s="45">
        <v>0.42664488970324799</v>
      </c>
      <c r="H12" s="44">
        <v>-0.41183409228427598</v>
      </c>
      <c r="I12" s="45">
        <v>0.592986662141325</v>
      </c>
      <c r="J12" s="44">
        <v>2.3094329999999999E-5</v>
      </c>
      <c r="K12" s="44">
        <v>1.3049890000000001E-4</v>
      </c>
      <c r="L12">
        <v>0.99985100000000005</v>
      </c>
      <c r="M12" s="44">
        <v>0.41836667621661899</v>
      </c>
      <c r="N12" s="44">
        <v>-0.41836667621661899</v>
      </c>
      <c r="O12">
        <v>6000</v>
      </c>
      <c r="P12">
        <v>16</v>
      </c>
      <c r="Q12">
        <v>1</v>
      </c>
      <c r="R12">
        <v>1</v>
      </c>
      <c r="S12">
        <v>2</v>
      </c>
      <c r="T12">
        <v>0.01</v>
      </c>
      <c r="U12">
        <v>16</v>
      </c>
      <c r="V12">
        <v>0</v>
      </c>
      <c r="W12">
        <v>0</v>
      </c>
      <c r="X12">
        <v>185.9</v>
      </c>
      <c r="Y12" t="s">
        <v>108</v>
      </c>
    </row>
    <row r="13" spans="1:25" x14ac:dyDescent="0.3">
      <c r="A13">
        <v>0.2</v>
      </c>
      <c r="B13">
        <v>99</v>
      </c>
      <c r="C13">
        <v>3</v>
      </c>
      <c r="D13">
        <v>0.2</v>
      </c>
      <c r="E13" t="s">
        <v>26</v>
      </c>
      <c r="F13">
        <v>0.1</v>
      </c>
      <c r="G13" s="45">
        <v>-0.433744546607023</v>
      </c>
      <c r="H13" s="44">
        <v>0.41066141677132501</v>
      </c>
      <c r="I13" s="45">
        <v>0.59730823779348896</v>
      </c>
      <c r="J13" s="44">
        <v>2.4632609999999999E-5</v>
      </c>
      <c r="K13" s="44">
        <v>1.174299E-4</v>
      </c>
      <c r="L13">
        <v>0.999834</v>
      </c>
      <c r="M13" s="44">
        <v>0.41836667621661899</v>
      </c>
      <c r="N13" s="44">
        <v>-0.41836667621661899</v>
      </c>
      <c r="O13">
        <v>6000</v>
      </c>
      <c r="P13">
        <v>16</v>
      </c>
      <c r="Q13">
        <v>1</v>
      </c>
      <c r="R13">
        <v>1</v>
      </c>
      <c r="S13">
        <v>2</v>
      </c>
      <c r="T13">
        <v>0.01</v>
      </c>
      <c r="U13">
        <v>16</v>
      </c>
      <c r="V13">
        <v>0</v>
      </c>
      <c r="W13">
        <v>0</v>
      </c>
      <c r="X13">
        <v>180.3</v>
      </c>
      <c r="Y13" t="s">
        <v>109</v>
      </c>
    </row>
    <row r="14" spans="1:25" x14ac:dyDescent="0.3">
      <c r="A14">
        <v>0.35</v>
      </c>
      <c r="B14">
        <v>42</v>
      </c>
      <c r="C14">
        <v>4</v>
      </c>
      <c r="D14">
        <v>0.35</v>
      </c>
      <c r="E14" t="s">
        <v>26</v>
      </c>
      <c r="F14">
        <v>0.2</v>
      </c>
      <c r="G14" s="44">
        <v>-0.44893966386915402</v>
      </c>
      <c r="H14" s="44">
        <v>0.40219077750913501</v>
      </c>
      <c r="I14" s="44">
        <v>0.60274724662029899</v>
      </c>
      <c r="J14" s="44">
        <v>3.8473409999999997E-5</v>
      </c>
      <c r="K14" s="44">
        <v>4.3871440000000002E-4</v>
      </c>
      <c r="L14">
        <v>0.99963400000000002</v>
      </c>
      <c r="M14" s="44">
        <v>0.41836667621661899</v>
      </c>
      <c r="N14" s="44">
        <v>-0.41836667621661899</v>
      </c>
      <c r="O14">
        <v>6000</v>
      </c>
      <c r="P14">
        <v>16</v>
      </c>
      <c r="Q14">
        <v>1</v>
      </c>
      <c r="R14">
        <v>1</v>
      </c>
      <c r="S14">
        <v>2</v>
      </c>
      <c r="T14">
        <v>0.01</v>
      </c>
      <c r="U14">
        <v>16</v>
      </c>
      <c r="V14">
        <v>0</v>
      </c>
      <c r="W14">
        <v>0</v>
      </c>
      <c r="X14">
        <v>202.6</v>
      </c>
      <c r="Y14" t="s">
        <v>110</v>
      </c>
    </row>
    <row r="15" spans="1:25" x14ac:dyDescent="0.3">
      <c r="A15">
        <v>0.35</v>
      </c>
      <c r="B15">
        <v>45</v>
      </c>
      <c r="C15">
        <v>4</v>
      </c>
      <c r="D15">
        <v>0.35</v>
      </c>
      <c r="E15" t="s">
        <v>26</v>
      </c>
      <c r="F15">
        <v>0.2</v>
      </c>
      <c r="G15" s="44">
        <v>0.432285434529256</v>
      </c>
      <c r="H15" s="44">
        <v>-0.40865743508126101</v>
      </c>
      <c r="I15" s="44">
        <v>0.59487107523676397</v>
      </c>
      <c r="J15" s="44">
        <v>3.8549479999999999E-5</v>
      </c>
      <c r="K15" s="44">
        <v>3.5571799999999998E-4</v>
      </c>
      <c r="L15">
        <v>0.99958999999999998</v>
      </c>
      <c r="M15" s="44">
        <v>0.41836667621661899</v>
      </c>
      <c r="N15" s="44">
        <v>-0.41836667621661899</v>
      </c>
      <c r="O15">
        <v>6000</v>
      </c>
      <c r="P15">
        <v>16</v>
      </c>
      <c r="Q15">
        <v>1</v>
      </c>
      <c r="R15">
        <v>1</v>
      </c>
      <c r="S15">
        <v>2</v>
      </c>
      <c r="T15">
        <v>0.01</v>
      </c>
      <c r="U15">
        <v>16</v>
      </c>
      <c r="V15">
        <v>0</v>
      </c>
      <c r="W15">
        <v>0</v>
      </c>
      <c r="X15">
        <v>189.4</v>
      </c>
      <c r="Y15" t="s">
        <v>111</v>
      </c>
    </row>
    <row r="16" spans="1:25" x14ac:dyDescent="0.3">
      <c r="A16">
        <v>0.35</v>
      </c>
      <c r="B16">
        <v>99</v>
      </c>
      <c r="C16">
        <v>4</v>
      </c>
      <c r="D16">
        <v>0.35</v>
      </c>
      <c r="E16" t="s">
        <v>26</v>
      </c>
      <c r="F16">
        <v>0.2</v>
      </c>
      <c r="G16" s="44">
        <v>-0.44331946046350401</v>
      </c>
      <c r="H16" s="44">
        <v>0.40588573414644202</v>
      </c>
      <c r="I16" s="44">
        <v>0.60106187136537603</v>
      </c>
      <c r="J16" s="44">
        <v>4.0457309999999997E-5</v>
      </c>
      <c r="K16" s="44">
        <v>3.1393589999999998E-4</v>
      </c>
      <c r="L16">
        <v>0.99955700000000003</v>
      </c>
      <c r="M16" s="44">
        <v>0.41836667621661899</v>
      </c>
      <c r="N16" s="44">
        <v>-0.41836667621661899</v>
      </c>
      <c r="O16">
        <v>6000</v>
      </c>
      <c r="P16">
        <v>16</v>
      </c>
      <c r="Q16">
        <v>1</v>
      </c>
      <c r="R16">
        <v>1</v>
      </c>
      <c r="S16">
        <v>2</v>
      </c>
      <c r="T16">
        <v>0.01</v>
      </c>
      <c r="U16">
        <v>16</v>
      </c>
      <c r="V16">
        <v>0</v>
      </c>
      <c r="W16">
        <v>0</v>
      </c>
      <c r="X16">
        <v>180.3</v>
      </c>
      <c r="Y16" t="s">
        <v>112</v>
      </c>
    </row>
    <row r="17" spans="1:25" x14ac:dyDescent="0.3">
      <c r="A17">
        <v>0.5</v>
      </c>
      <c r="B17">
        <v>42</v>
      </c>
      <c r="C17">
        <v>5</v>
      </c>
      <c r="D17">
        <v>0.5</v>
      </c>
      <c r="E17" t="s">
        <v>26</v>
      </c>
      <c r="F17">
        <v>0.35</v>
      </c>
      <c r="G17" s="45">
        <v>-0.43304269178049298</v>
      </c>
      <c r="H17" s="44">
        <v>0.40562753767350901</v>
      </c>
      <c r="I17" s="45">
        <v>0.59334616559270803</v>
      </c>
      <c r="J17" s="44">
        <v>5.2162240000000003E-5</v>
      </c>
      <c r="K17" s="44">
        <v>8.5848520000000005E-4</v>
      </c>
      <c r="L17">
        <v>0.99929800000000002</v>
      </c>
      <c r="M17" s="44">
        <v>0.41836667621661899</v>
      </c>
      <c r="N17" s="44">
        <v>-0.41836667621661899</v>
      </c>
      <c r="O17">
        <v>6000</v>
      </c>
      <c r="P17">
        <v>16</v>
      </c>
      <c r="Q17">
        <v>1</v>
      </c>
      <c r="R17">
        <v>1</v>
      </c>
      <c r="S17">
        <v>2</v>
      </c>
      <c r="T17">
        <v>0.01</v>
      </c>
      <c r="U17">
        <v>16</v>
      </c>
      <c r="V17">
        <v>0</v>
      </c>
      <c r="W17">
        <v>0</v>
      </c>
      <c r="X17">
        <v>188</v>
      </c>
      <c r="Y17" t="s">
        <v>113</v>
      </c>
    </row>
    <row r="18" spans="1:25" x14ac:dyDescent="0.3">
      <c r="A18">
        <v>0.5</v>
      </c>
      <c r="B18">
        <v>45</v>
      </c>
      <c r="C18">
        <v>5</v>
      </c>
      <c r="D18">
        <v>0.5</v>
      </c>
      <c r="E18" t="s">
        <v>26</v>
      </c>
      <c r="F18">
        <v>0.35</v>
      </c>
      <c r="G18" s="45">
        <v>0.42788127040707002</v>
      </c>
      <c r="H18" s="44">
        <v>-0.406380205875432</v>
      </c>
      <c r="I18" s="45">
        <v>0.59010783191932603</v>
      </c>
      <c r="J18" s="44">
        <v>5.2697210000000002E-5</v>
      </c>
      <c r="K18" s="44">
        <v>6.9496749999999996E-4</v>
      </c>
      <c r="L18">
        <v>0.99923099999999998</v>
      </c>
      <c r="M18" s="44">
        <v>0.41836667621661899</v>
      </c>
      <c r="N18" s="44">
        <v>-0.41836667621661899</v>
      </c>
      <c r="O18">
        <v>6000</v>
      </c>
      <c r="P18">
        <v>16</v>
      </c>
      <c r="Q18">
        <v>1</v>
      </c>
      <c r="R18">
        <v>1</v>
      </c>
      <c r="S18">
        <v>2</v>
      </c>
      <c r="T18">
        <v>0.01</v>
      </c>
      <c r="U18">
        <v>16</v>
      </c>
      <c r="V18">
        <v>0</v>
      </c>
      <c r="W18">
        <v>0</v>
      </c>
      <c r="X18">
        <v>193.8</v>
      </c>
      <c r="Y18" t="s">
        <v>114</v>
      </c>
    </row>
    <row r="19" spans="1:25" x14ac:dyDescent="0.3">
      <c r="A19">
        <v>0.5</v>
      </c>
      <c r="B19">
        <v>99</v>
      </c>
      <c r="C19">
        <v>5</v>
      </c>
      <c r="D19">
        <v>0.5</v>
      </c>
      <c r="E19" t="s">
        <v>26</v>
      </c>
      <c r="F19">
        <v>0.35</v>
      </c>
      <c r="G19" s="45">
        <v>-0.42967951915956698</v>
      </c>
      <c r="H19" s="44">
        <v>0.40607711413696002</v>
      </c>
      <c r="I19" s="45">
        <v>0.59120479684369798</v>
      </c>
      <c r="J19" s="44">
        <v>5.4391129999999997E-5</v>
      </c>
      <c r="K19" s="44">
        <v>6.0000880000000002E-4</v>
      </c>
      <c r="L19">
        <v>0.99916400000000005</v>
      </c>
      <c r="M19" s="44">
        <v>0.41836667621661899</v>
      </c>
      <c r="N19" s="44">
        <v>-0.41836667621661899</v>
      </c>
      <c r="O19">
        <v>6000</v>
      </c>
      <c r="P19">
        <v>16</v>
      </c>
      <c r="Q19">
        <v>1</v>
      </c>
      <c r="R19">
        <v>1</v>
      </c>
      <c r="S19">
        <v>2</v>
      </c>
      <c r="T19">
        <v>0.01</v>
      </c>
      <c r="U19">
        <v>16</v>
      </c>
      <c r="V19">
        <v>0</v>
      </c>
      <c r="W19">
        <v>0</v>
      </c>
      <c r="X19">
        <v>176.7</v>
      </c>
      <c r="Y19" t="s">
        <v>115</v>
      </c>
    </row>
    <row r="20" spans="1:25" x14ac:dyDescent="0.3">
      <c r="A20">
        <v>0.7</v>
      </c>
      <c r="B20">
        <v>42</v>
      </c>
      <c r="C20">
        <v>6</v>
      </c>
      <c r="D20">
        <v>0.7</v>
      </c>
      <c r="E20" t="s">
        <v>26</v>
      </c>
      <c r="F20">
        <v>0.5</v>
      </c>
      <c r="G20" s="44">
        <v>-0.431500128778734</v>
      </c>
      <c r="H20" s="44">
        <v>0.40116515446589002</v>
      </c>
      <c r="I20" s="44">
        <v>0.58917386423169305</v>
      </c>
      <c r="J20" s="44">
        <v>6.9473980000000005E-5</v>
      </c>
      <c r="K20" s="44">
        <v>1.595401E-3</v>
      </c>
      <c r="L20">
        <v>0.99871900000000002</v>
      </c>
      <c r="M20" s="44">
        <v>0.41836667621661899</v>
      </c>
      <c r="N20" s="44">
        <v>-0.41836667621661899</v>
      </c>
      <c r="O20">
        <v>6000</v>
      </c>
      <c r="P20">
        <v>16</v>
      </c>
      <c r="Q20">
        <v>1</v>
      </c>
      <c r="R20">
        <v>1</v>
      </c>
      <c r="S20">
        <v>2</v>
      </c>
      <c r="T20">
        <v>0.01</v>
      </c>
      <c r="U20">
        <v>16</v>
      </c>
      <c r="V20">
        <v>0</v>
      </c>
      <c r="W20">
        <v>0</v>
      </c>
      <c r="X20">
        <v>184.8</v>
      </c>
      <c r="Y20" t="s">
        <v>116</v>
      </c>
    </row>
    <row r="21" spans="1:25" x14ac:dyDescent="0.3">
      <c r="A21">
        <v>0.7</v>
      </c>
      <c r="B21">
        <v>45</v>
      </c>
      <c r="C21">
        <v>6</v>
      </c>
      <c r="D21">
        <v>0.7</v>
      </c>
      <c r="E21" t="s">
        <v>26</v>
      </c>
      <c r="F21">
        <v>0.5</v>
      </c>
      <c r="G21" s="44">
        <v>0.43117503273391</v>
      </c>
      <c r="H21" s="44">
        <v>-0.40119649738707203</v>
      </c>
      <c r="I21" s="44">
        <v>0.58895716174331703</v>
      </c>
      <c r="J21" s="44">
        <v>7.0277459999999996E-5</v>
      </c>
      <c r="K21" s="44">
        <v>1.2759430000000001E-3</v>
      </c>
      <c r="L21">
        <v>0.99863999999999997</v>
      </c>
      <c r="M21" s="44">
        <v>0.41836667621661899</v>
      </c>
      <c r="N21" s="44">
        <v>-0.41836667621661899</v>
      </c>
      <c r="O21">
        <v>6000</v>
      </c>
      <c r="P21">
        <v>16</v>
      </c>
      <c r="Q21">
        <v>1</v>
      </c>
      <c r="R21">
        <v>1</v>
      </c>
      <c r="S21">
        <v>2</v>
      </c>
      <c r="T21">
        <v>0.01</v>
      </c>
      <c r="U21">
        <v>16</v>
      </c>
      <c r="V21">
        <v>0</v>
      </c>
      <c r="W21">
        <v>0</v>
      </c>
      <c r="X21">
        <v>181.8</v>
      </c>
      <c r="Y21" t="s">
        <v>117</v>
      </c>
    </row>
    <row r="22" spans="1:25" x14ac:dyDescent="0.3">
      <c r="A22">
        <v>0.7</v>
      </c>
      <c r="B22">
        <v>99</v>
      </c>
      <c r="C22">
        <v>6</v>
      </c>
      <c r="D22">
        <v>0.7</v>
      </c>
      <c r="E22" t="s">
        <v>26</v>
      </c>
      <c r="F22">
        <v>0.5</v>
      </c>
      <c r="G22" s="44">
        <v>-0.43120113200294802</v>
      </c>
      <c r="H22" s="44">
        <v>0.401135370284742</v>
      </c>
      <c r="I22" s="44">
        <v>0.58893463264958501</v>
      </c>
      <c r="J22" s="44">
        <v>7.2134840000000002E-5</v>
      </c>
      <c r="K22" s="44">
        <v>1.1272540000000001E-3</v>
      </c>
      <c r="L22">
        <v>0.99850399999999995</v>
      </c>
      <c r="M22" s="44">
        <v>0.41836667621661899</v>
      </c>
      <c r="N22" s="44">
        <v>-0.41836667621661899</v>
      </c>
      <c r="O22">
        <v>6000</v>
      </c>
      <c r="P22">
        <v>16</v>
      </c>
      <c r="Q22">
        <v>1</v>
      </c>
      <c r="R22">
        <v>1</v>
      </c>
      <c r="S22">
        <v>2</v>
      </c>
      <c r="T22">
        <v>0.01</v>
      </c>
      <c r="U22">
        <v>16</v>
      </c>
      <c r="V22">
        <v>0</v>
      </c>
      <c r="W22">
        <v>0</v>
      </c>
      <c r="X22">
        <v>178.9</v>
      </c>
      <c r="Y22" t="s">
        <v>118</v>
      </c>
    </row>
    <row r="23" spans="1:25" x14ac:dyDescent="0.3">
      <c r="A23">
        <v>1</v>
      </c>
      <c r="B23">
        <v>42</v>
      </c>
      <c r="C23">
        <v>7</v>
      </c>
      <c r="D23">
        <v>1</v>
      </c>
      <c r="E23" t="s">
        <v>26</v>
      </c>
      <c r="F23">
        <v>0.7</v>
      </c>
      <c r="G23" s="45">
        <v>-0.43555484974580599</v>
      </c>
      <c r="H23" s="44">
        <v>0.39331114032323899</v>
      </c>
      <c r="I23" s="45">
        <v>0.586857461603292</v>
      </c>
      <c r="J23" s="44">
        <v>9.2327610000000001E-5</v>
      </c>
      <c r="K23" s="44">
        <v>2.971946E-3</v>
      </c>
      <c r="L23">
        <v>0.99768400000000002</v>
      </c>
      <c r="M23" s="44">
        <v>0.41836667621661899</v>
      </c>
      <c r="N23" s="44">
        <v>-0.41836667621661899</v>
      </c>
      <c r="O23">
        <v>6000</v>
      </c>
      <c r="P23">
        <v>16</v>
      </c>
      <c r="Q23">
        <v>1</v>
      </c>
      <c r="R23">
        <v>1</v>
      </c>
      <c r="S23">
        <v>2</v>
      </c>
      <c r="T23">
        <v>0.01</v>
      </c>
      <c r="U23">
        <v>16</v>
      </c>
      <c r="V23">
        <v>0</v>
      </c>
      <c r="W23">
        <v>0</v>
      </c>
      <c r="X23">
        <v>181.1</v>
      </c>
      <c r="Y23" t="s">
        <v>119</v>
      </c>
    </row>
    <row r="24" spans="1:25" x14ac:dyDescent="0.3">
      <c r="A24">
        <v>1</v>
      </c>
      <c r="B24">
        <v>45</v>
      </c>
      <c r="C24">
        <v>7</v>
      </c>
      <c r="D24">
        <v>1</v>
      </c>
      <c r="E24" t="s">
        <v>26</v>
      </c>
      <c r="F24">
        <v>0.7</v>
      </c>
      <c r="G24" s="45">
        <v>0.43550224567240903</v>
      </c>
      <c r="H24" s="44">
        <v>-0.39333255427296698</v>
      </c>
      <c r="I24" s="45">
        <v>0.58683277365584097</v>
      </c>
      <c r="J24" s="44">
        <v>9.3353129999999994E-5</v>
      </c>
      <c r="K24" s="44">
        <v>2.3560619999999999E-3</v>
      </c>
      <c r="L24">
        <v>0.99758899999999995</v>
      </c>
      <c r="M24" s="44">
        <v>0.41836667621661899</v>
      </c>
      <c r="N24" s="44">
        <v>-0.41836667621661899</v>
      </c>
      <c r="O24">
        <v>6000</v>
      </c>
      <c r="P24">
        <v>16</v>
      </c>
      <c r="Q24">
        <v>1</v>
      </c>
      <c r="R24">
        <v>1</v>
      </c>
      <c r="S24">
        <v>2</v>
      </c>
      <c r="T24">
        <v>0.01</v>
      </c>
      <c r="U24">
        <v>16</v>
      </c>
      <c r="V24">
        <v>0</v>
      </c>
      <c r="W24">
        <v>0</v>
      </c>
      <c r="X24">
        <v>177.2</v>
      </c>
      <c r="Y24" t="s">
        <v>120</v>
      </c>
    </row>
    <row r="25" spans="1:25" x14ac:dyDescent="0.3">
      <c r="A25">
        <v>1</v>
      </c>
      <c r="B25">
        <v>99</v>
      </c>
      <c r="C25">
        <v>7</v>
      </c>
      <c r="D25">
        <v>1</v>
      </c>
      <c r="E25" t="s">
        <v>26</v>
      </c>
      <c r="F25">
        <v>0.7</v>
      </c>
      <c r="G25" s="45">
        <v>-0.43552151167157499</v>
      </c>
      <c r="H25" s="44">
        <v>0.393260909247444</v>
      </c>
      <c r="I25" s="45">
        <v>0.58679905408139499</v>
      </c>
      <c r="J25" s="44">
        <v>9.5814800000000003E-5</v>
      </c>
      <c r="K25" s="44">
        <v>2.1568590000000001E-3</v>
      </c>
      <c r="L25">
        <v>0.99733899999999998</v>
      </c>
      <c r="M25" s="44">
        <v>0.41836667621661899</v>
      </c>
      <c r="N25" s="44">
        <v>-0.41836667621661899</v>
      </c>
      <c r="O25">
        <v>6000</v>
      </c>
      <c r="P25">
        <v>16</v>
      </c>
      <c r="Q25">
        <v>1</v>
      </c>
      <c r="R25">
        <v>1</v>
      </c>
      <c r="S25">
        <v>2</v>
      </c>
      <c r="T25">
        <v>0.01</v>
      </c>
      <c r="U25">
        <v>16</v>
      </c>
      <c r="V25">
        <v>0</v>
      </c>
      <c r="W25">
        <v>0</v>
      </c>
      <c r="X25">
        <v>177.8</v>
      </c>
      <c r="Y25" t="s">
        <v>121</v>
      </c>
    </row>
    <row r="29" spans="1:25" x14ac:dyDescent="0.3">
      <c r="A29" t="s">
        <v>0</v>
      </c>
      <c r="B29" t="s">
        <v>3</v>
      </c>
      <c r="C29" t="s">
        <v>91</v>
      </c>
      <c r="D29" t="s">
        <v>0</v>
      </c>
      <c r="E29" t="s">
        <v>92</v>
      </c>
      <c r="F29" t="s">
        <v>93</v>
      </c>
      <c r="G29" t="s">
        <v>94</v>
      </c>
      <c r="H29" t="s">
        <v>95</v>
      </c>
      <c r="I29" t="s">
        <v>30</v>
      </c>
      <c r="J29" t="s">
        <v>8</v>
      </c>
      <c r="K29" t="s">
        <v>9</v>
      </c>
      <c r="L29" t="s">
        <v>10</v>
      </c>
      <c r="M29" t="s">
        <v>16</v>
      </c>
      <c r="N29" t="s">
        <v>17</v>
      </c>
      <c r="O29" t="s">
        <v>96</v>
      </c>
      <c r="P29" t="s">
        <v>18</v>
      </c>
      <c r="Q29" t="s">
        <v>19</v>
      </c>
      <c r="R29" t="s">
        <v>20</v>
      </c>
      <c r="S29" t="s">
        <v>21</v>
      </c>
      <c r="T29" t="s">
        <v>22</v>
      </c>
      <c r="U29" t="s">
        <v>23</v>
      </c>
      <c r="V29" t="s">
        <v>1</v>
      </c>
      <c r="W29" t="s">
        <v>2</v>
      </c>
      <c r="X29" t="s">
        <v>25</v>
      </c>
      <c r="Y29" t="s">
        <v>97</v>
      </c>
    </row>
    <row r="30" spans="1:25" x14ac:dyDescent="0.3">
      <c r="A30">
        <v>1.2</v>
      </c>
      <c r="B30">
        <v>42</v>
      </c>
      <c r="C30">
        <v>0</v>
      </c>
      <c r="D30">
        <v>1.2</v>
      </c>
      <c r="E30" t="s">
        <v>26</v>
      </c>
      <c r="F30">
        <v>1</v>
      </c>
      <c r="G30" s="44">
        <v>-0.43800563248688701</v>
      </c>
      <c r="H30" s="44">
        <v>0.38806765140185501</v>
      </c>
      <c r="I30" s="44">
        <v>0.58518837664019796</v>
      </c>
      <c r="J30" s="44">
        <v>1.057716E-4</v>
      </c>
      <c r="K30" s="44">
        <v>4.0435109999999996E-3</v>
      </c>
      <c r="L30">
        <v>0.99691700000000005</v>
      </c>
      <c r="M30" s="44">
        <v>0.41836667621661899</v>
      </c>
      <c r="N30" s="44">
        <v>-0.41836667621661899</v>
      </c>
      <c r="O30">
        <v>6000</v>
      </c>
      <c r="P30">
        <v>16</v>
      </c>
      <c r="Q30">
        <v>1</v>
      </c>
      <c r="R30">
        <v>1</v>
      </c>
      <c r="S30">
        <v>2</v>
      </c>
      <c r="T30">
        <v>0.01</v>
      </c>
      <c r="U30">
        <v>16</v>
      </c>
      <c r="V30">
        <v>0</v>
      </c>
      <c r="W30">
        <v>0</v>
      </c>
      <c r="X30">
        <v>199.1</v>
      </c>
      <c r="Y30" t="s">
        <v>124</v>
      </c>
    </row>
    <row r="31" spans="1:25" x14ac:dyDescent="0.3">
      <c r="A31">
        <v>1.2</v>
      </c>
      <c r="B31">
        <v>45</v>
      </c>
      <c r="C31">
        <v>0</v>
      </c>
      <c r="D31">
        <v>1.2</v>
      </c>
      <c r="E31" t="s">
        <v>26</v>
      </c>
      <c r="F31">
        <v>1</v>
      </c>
      <c r="G31" s="44">
        <v>0.43794242692795199</v>
      </c>
      <c r="H31" s="44">
        <v>-0.38809464596201398</v>
      </c>
      <c r="I31" s="44">
        <v>0.58515897286799501</v>
      </c>
      <c r="J31" s="44">
        <v>1.069869E-4</v>
      </c>
      <c r="K31" s="44">
        <v>3.150501E-3</v>
      </c>
      <c r="L31">
        <v>0.99681900000000001</v>
      </c>
      <c r="M31" s="44">
        <v>0.41836667621661899</v>
      </c>
      <c r="N31" s="44">
        <v>-0.41836667621661899</v>
      </c>
      <c r="O31">
        <v>6000</v>
      </c>
      <c r="P31">
        <v>16</v>
      </c>
      <c r="Q31">
        <v>1</v>
      </c>
      <c r="R31">
        <v>1</v>
      </c>
      <c r="S31">
        <v>2</v>
      </c>
      <c r="T31">
        <v>0.01</v>
      </c>
      <c r="U31">
        <v>16</v>
      </c>
      <c r="V31">
        <v>0</v>
      </c>
      <c r="W31">
        <v>0</v>
      </c>
      <c r="X31">
        <v>289.5</v>
      </c>
      <c r="Y31" t="s">
        <v>125</v>
      </c>
    </row>
    <row r="32" spans="1:25" x14ac:dyDescent="0.3">
      <c r="A32">
        <v>1.2</v>
      </c>
      <c r="B32">
        <v>99</v>
      </c>
      <c r="C32">
        <v>0</v>
      </c>
      <c r="D32">
        <v>1.2</v>
      </c>
      <c r="E32" t="s">
        <v>26</v>
      </c>
      <c r="F32">
        <v>1</v>
      </c>
      <c r="G32" s="44">
        <v>-0.43794661792411699</v>
      </c>
      <c r="H32" s="44">
        <v>0.38802991729987502</v>
      </c>
      <c r="I32" s="44">
        <v>0.58511918176634803</v>
      </c>
      <c r="J32" s="44">
        <v>1.096906E-4</v>
      </c>
      <c r="K32" s="44">
        <v>2.9603049999999999E-3</v>
      </c>
      <c r="L32">
        <v>0.99650300000000003</v>
      </c>
      <c r="M32" s="44">
        <v>0.41836667621661899</v>
      </c>
      <c r="N32" s="44">
        <v>-0.41836667621661899</v>
      </c>
      <c r="O32">
        <v>6000</v>
      </c>
      <c r="P32">
        <v>16</v>
      </c>
      <c r="Q32">
        <v>1</v>
      </c>
      <c r="R32">
        <v>1</v>
      </c>
      <c r="S32">
        <v>2</v>
      </c>
      <c r="T32">
        <v>0.01</v>
      </c>
      <c r="U32">
        <v>16</v>
      </c>
      <c r="V32">
        <v>0</v>
      </c>
      <c r="W32">
        <v>0</v>
      </c>
      <c r="X32">
        <v>273.89999999999998</v>
      </c>
      <c r="Y32" t="s">
        <v>126</v>
      </c>
    </row>
    <row r="33" spans="1:25" x14ac:dyDescent="0.3">
      <c r="A33">
        <v>1.5</v>
      </c>
      <c r="B33">
        <v>42</v>
      </c>
      <c r="C33">
        <v>1</v>
      </c>
      <c r="D33">
        <v>1.5</v>
      </c>
      <c r="E33" t="s">
        <v>26</v>
      </c>
      <c r="F33">
        <v>1.2</v>
      </c>
      <c r="G33" s="98">
        <v>-0.44109460221624802</v>
      </c>
      <c r="H33" s="44">
        <v>0.38030972186100698</v>
      </c>
      <c r="I33" s="44">
        <v>0.58240873331905496</v>
      </c>
      <c r="J33" s="44">
        <v>1.238736E-4</v>
      </c>
      <c r="K33" s="44">
        <v>5.8049909999999998E-3</v>
      </c>
      <c r="L33">
        <v>0.99568800000000002</v>
      </c>
      <c r="M33" s="44">
        <v>0.41836667621661899</v>
      </c>
      <c r="N33" s="44">
        <v>-0.41836667621661899</v>
      </c>
      <c r="O33">
        <v>6000</v>
      </c>
      <c r="P33">
        <v>16</v>
      </c>
      <c r="Q33">
        <v>1</v>
      </c>
      <c r="R33">
        <v>1</v>
      </c>
      <c r="S33">
        <v>2</v>
      </c>
      <c r="T33">
        <v>0.01</v>
      </c>
      <c r="U33">
        <v>16</v>
      </c>
      <c r="V33">
        <v>0</v>
      </c>
      <c r="W33">
        <v>0</v>
      </c>
      <c r="X33">
        <v>208.5</v>
      </c>
      <c r="Y33" t="s">
        <v>127</v>
      </c>
    </row>
    <row r="34" spans="1:25" x14ac:dyDescent="0.3">
      <c r="A34">
        <v>1.5</v>
      </c>
      <c r="B34">
        <v>45</v>
      </c>
      <c r="C34">
        <v>1</v>
      </c>
      <c r="D34">
        <v>1.5</v>
      </c>
      <c r="E34" t="s">
        <v>26</v>
      </c>
      <c r="F34">
        <v>1.2</v>
      </c>
      <c r="G34" s="98">
        <v>0.441024131066585</v>
      </c>
      <c r="H34" s="44">
        <v>-0.38034072077472098</v>
      </c>
      <c r="I34" s="44">
        <v>0.58237560737248495</v>
      </c>
      <c r="J34" s="44">
        <v>1.2525249999999999E-4</v>
      </c>
      <c r="K34" s="44">
        <v>4.4403389999999997E-3</v>
      </c>
      <c r="L34">
        <v>0.99559600000000004</v>
      </c>
      <c r="M34" s="44">
        <v>0.41836667621661899</v>
      </c>
      <c r="N34" s="44">
        <v>-0.41836667621661899</v>
      </c>
      <c r="O34">
        <v>6000</v>
      </c>
      <c r="P34">
        <v>16</v>
      </c>
      <c r="Q34">
        <v>1</v>
      </c>
      <c r="R34">
        <v>1</v>
      </c>
      <c r="S34">
        <v>2</v>
      </c>
      <c r="T34">
        <v>0.01</v>
      </c>
      <c r="U34">
        <v>16</v>
      </c>
      <c r="V34">
        <v>0</v>
      </c>
      <c r="W34">
        <v>0</v>
      </c>
      <c r="X34">
        <v>283.39999999999998</v>
      </c>
      <c r="Y34" t="s">
        <v>128</v>
      </c>
    </row>
    <row r="35" spans="1:25" x14ac:dyDescent="0.3">
      <c r="A35">
        <v>1.5</v>
      </c>
      <c r="B35">
        <v>99</v>
      </c>
      <c r="C35">
        <v>1</v>
      </c>
      <c r="D35">
        <v>1.5</v>
      </c>
      <c r="E35" t="s">
        <v>26</v>
      </c>
      <c r="F35">
        <v>1.2</v>
      </c>
      <c r="G35" s="98">
        <v>-0.44102047422990998</v>
      </c>
      <c r="H35" s="44">
        <v>0.38029115868927799</v>
      </c>
      <c r="I35" s="44">
        <v>0.58234047091646302</v>
      </c>
      <c r="J35" s="44">
        <v>1.281241E-4</v>
      </c>
      <c r="K35" s="44">
        <v>4.263714E-3</v>
      </c>
      <c r="L35">
        <v>0.99519599999999997</v>
      </c>
      <c r="M35" s="44">
        <v>0.41836667621661899</v>
      </c>
      <c r="N35" s="44">
        <v>-0.41836667621661899</v>
      </c>
      <c r="O35">
        <v>6000</v>
      </c>
      <c r="P35">
        <v>16</v>
      </c>
      <c r="Q35">
        <v>1</v>
      </c>
      <c r="R35">
        <v>1</v>
      </c>
      <c r="S35">
        <v>2</v>
      </c>
      <c r="T35">
        <v>0.01</v>
      </c>
      <c r="U35">
        <v>16</v>
      </c>
      <c r="V35">
        <v>0</v>
      </c>
      <c r="W35">
        <v>0</v>
      </c>
      <c r="X35">
        <v>272.7</v>
      </c>
      <c r="Y35" t="s">
        <v>129</v>
      </c>
    </row>
    <row r="36" spans="1:25" x14ac:dyDescent="0.3">
      <c r="A36">
        <v>2</v>
      </c>
      <c r="B36">
        <v>42</v>
      </c>
      <c r="C36">
        <v>2</v>
      </c>
      <c r="D36">
        <v>2</v>
      </c>
      <c r="E36" t="s">
        <v>26</v>
      </c>
      <c r="F36">
        <v>1.5</v>
      </c>
      <c r="G36" s="44">
        <v>-0.44497868717495698</v>
      </c>
      <c r="H36" s="44">
        <v>0.367827515089311</v>
      </c>
      <c r="I36" s="44">
        <v>0.57732409693059406</v>
      </c>
      <c r="J36" s="44">
        <v>1.492958E-4</v>
      </c>
      <c r="K36" s="44">
        <v>8.9203879999999996E-3</v>
      </c>
      <c r="L36">
        <v>0.99356</v>
      </c>
      <c r="M36" s="44">
        <v>0.41836667621661899</v>
      </c>
      <c r="N36" s="44">
        <v>-0.41836667621661899</v>
      </c>
      <c r="O36">
        <v>6000</v>
      </c>
      <c r="P36">
        <v>16</v>
      </c>
      <c r="Q36">
        <v>1</v>
      </c>
      <c r="R36">
        <v>1</v>
      </c>
      <c r="S36">
        <v>2</v>
      </c>
      <c r="T36">
        <v>0.01</v>
      </c>
      <c r="U36">
        <v>16</v>
      </c>
      <c r="V36">
        <v>0</v>
      </c>
      <c r="W36">
        <v>0</v>
      </c>
      <c r="X36">
        <v>224.3</v>
      </c>
      <c r="Y36" t="s">
        <v>130</v>
      </c>
    </row>
    <row r="37" spans="1:25" x14ac:dyDescent="0.3">
      <c r="A37">
        <v>2</v>
      </c>
      <c r="B37">
        <v>45</v>
      </c>
      <c r="C37">
        <v>2</v>
      </c>
      <c r="D37">
        <v>2</v>
      </c>
      <c r="E37" t="s">
        <v>26</v>
      </c>
      <c r="F37">
        <v>1.5</v>
      </c>
      <c r="G37" s="44">
        <v>0.44487990523122301</v>
      </c>
      <c r="H37" s="44">
        <v>-0.36785315255140499</v>
      </c>
      <c r="I37" s="44">
        <v>0.57726429988398698</v>
      </c>
      <c r="J37" s="44">
        <v>1.508332E-4</v>
      </c>
      <c r="K37" s="44">
        <v>6.7085979999999996E-3</v>
      </c>
      <c r="L37">
        <v>0.99346599999999996</v>
      </c>
      <c r="M37" s="44">
        <v>0.41836667621661899</v>
      </c>
      <c r="N37" s="44">
        <v>-0.41836667621661899</v>
      </c>
      <c r="O37">
        <v>6000</v>
      </c>
      <c r="P37">
        <v>16</v>
      </c>
      <c r="Q37">
        <v>1</v>
      </c>
      <c r="R37">
        <v>1</v>
      </c>
      <c r="S37">
        <v>2</v>
      </c>
      <c r="T37">
        <v>0.01</v>
      </c>
      <c r="U37">
        <v>16</v>
      </c>
      <c r="V37">
        <v>0</v>
      </c>
      <c r="W37">
        <v>0</v>
      </c>
      <c r="X37">
        <v>293.39999999999998</v>
      </c>
      <c r="Y37" t="s">
        <v>131</v>
      </c>
    </row>
    <row r="38" spans="1:25" x14ac:dyDescent="0.3">
      <c r="A38">
        <v>2</v>
      </c>
      <c r="B38">
        <v>99</v>
      </c>
      <c r="C38">
        <v>2</v>
      </c>
      <c r="D38">
        <v>2</v>
      </c>
      <c r="E38" t="s">
        <v>26</v>
      </c>
      <c r="F38">
        <v>1.5</v>
      </c>
      <c r="G38" s="44">
        <v>-0.44485640420880102</v>
      </c>
      <c r="H38" s="44">
        <v>0.36783025889491899</v>
      </c>
      <c r="I38" s="44">
        <v>0.57723159972777605</v>
      </c>
      <c r="J38" s="44">
        <v>1.538954E-4</v>
      </c>
      <c r="K38" s="44">
        <v>6.6106940000000003E-3</v>
      </c>
      <c r="L38">
        <v>0.99294899999999997</v>
      </c>
      <c r="M38" s="44">
        <v>0.41836667621661899</v>
      </c>
      <c r="N38" s="44">
        <v>-0.41836667621661899</v>
      </c>
      <c r="O38">
        <v>6000</v>
      </c>
      <c r="P38">
        <v>16</v>
      </c>
      <c r="Q38">
        <v>1</v>
      </c>
      <c r="R38">
        <v>1</v>
      </c>
      <c r="S38">
        <v>2</v>
      </c>
      <c r="T38">
        <v>0.01</v>
      </c>
      <c r="U38">
        <v>16</v>
      </c>
      <c r="V38">
        <v>0</v>
      </c>
      <c r="W38">
        <v>0</v>
      </c>
      <c r="X38">
        <v>277</v>
      </c>
      <c r="Y38" t="s">
        <v>132</v>
      </c>
    </row>
    <row r="39" spans="1:25" x14ac:dyDescent="0.3">
      <c r="A39">
        <v>2.5</v>
      </c>
      <c r="B39">
        <v>42</v>
      </c>
      <c r="C39">
        <v>3</v>
      </c>
      <c r="D39">
        <v>2.5</v>
      </c>
      <c r="E39" t="s">
        <v>26</v>
      </c>
      <c r="F39">
        <v>2</v>
      </c>
      <c r="G39" s="98">
        <v>-0.447514126706968</v>
      </c>
      <c r="H39" s="44">
        <v>0.35600662252677101</v>
      </c>
      <c r="I39" s="44">
        <v>0.57184753989609804</v>
      </c>
      <c r="J39" s="44">
        <v>1.7055630000000001E-4</v>
      </c>
      <c r="K39" s="44">
        <v>1.213412E-2</v>
      </c>
      <c r="L39">
        <v>0.99137299999999995</v>
      </c>
      <c r="M39" s="44">
        <v>0.41836667621661899</v>
      </c>
      <c r="N39" s="44">
        <v>-0.41836667621661899</v>
      </c>
      <c r="O39">
        <v>6000</v>
      </c>
      <c r="P39">
        <v>16</v>
      </c>
      <c r="Q39">
        <v>1</v>
      </c>
      <c r="R39">
        <v>1</v>
      </c>
      <c r="S39">
        <v>2</v>
      </c>
      <c r="T39">
        <v>0.01</v>
      </c>
      <c r="U39">
        <v>16</v>
      </c>
      <c r="V39">
        <v>0</v>
      </c>
      <c r="W39">
        <v>0</v>
      </c>
      <c r="X39">
        <v>254</v>
      </c>
      <c r="Y39" t="s">
        <v>133</v>
      </c>
    </row>
    <row r="40" spans="1:25" x14ac:dyDescent="0.3">
      <c r="A40">
        <v>2.5</v>
      </c>
      <c r="B40">
        <v>45</v>
      </c>
      <c r="C40">
        <v>3</v>
      </c>
      <c r="D40">
        <v>2.5</v>
      </c>
      <c r="E40" t="s">
        <v>26</v>
      </c>
      <c r="F40">
        <v>2</v>
      </c>
      <c r="G40" s="98">
        <v>0.44745611197461399</v>
      </c>
      <c r="H40" s="44">
        <v>-0.35602974272173799</v>
      </c>
      <c r="I40" s="44">
        <v>0.57181653512813502</v>
      </c>
      <c r="J40" s="44">
        <v>1.719069E-4</v>
      </c>
      <c r="K40" s="44">
        <v>8.9145370000000002E-3</v>
      </c>
      <c r="L40">
        <v>0.99131800000000003</v>
      </c>
      <c r="M40" s="44">
        <v>0.41836667621661899</v>
      </c>
      <c r="N40" s="44">
        <v>-0.41836667621661899</v>
      </c>
      <c r="O40">
        <v>6000</v>
      </c>
      <c r="P40">
        <v>16</v>
      </c>
      <c r="Q40">
        <v>1</v>
      </c>
      <c r="R40">
        <v>1</v>
      </c>
      <c r="S40">
        <v>2</v>
      </c>
      <c r="T40">
        <v>0.01</v>
      </c>
      <c r="U40">
        <v>16</v>
      </c>
      <c r="V40">
        <v>0</v>
      </c>
      <c r="W40">
        <v>0</v>
      </c>
      <c r="X40">
        <v>285.3</v>
      </c>
      <c r="Y40" t="s">
        <v>134</v>
      </c>
    </row>
    <row r="41" spans="1:25" x14ac:dyDescent="0.3">
      <c r="A41">
        <v>2.5</v>
      </c>
      <c r="B41">
        <v>99</v>
      </c>
      <c r="C41">
        <v>3</v>
      </c>
      <c r="D41">
        <v>2.5</v>
      </c>
      <c r="E41" t="s">
        <v>26</v>
      </c>
      <c r="F41">
        <v>2</v>
      </c>
      <c r="G41" s="98">
        <v>-0.44742589082393203</v>
      </c>
      <c r="H41" s="44">
        <v>0.35603894615751702</v>
      </c>
      <c r="I41" s="44">
        <v>0.57179861748743699</v>
      </c>
      <c r="J41" s="44">
        <v>1.748598E-4</v>
      </c>
      <c r="K41" s="44">
        <v>8.9774629999999998E-3</v>
      </c>
      <c r="L41">
        <v>0.99072499999999997</v>
      </c>
      <c r="M41" s="44">
        <v>0.41836667621661899</v>
      </c>
      <c r="N41" s="44">
        <v>-0.41836667621661899</v>
      </c>
      <c r="O41">
        <v>6000</v>
      </c>
      <c r="P41">
        <v>16</v>
      </c>
      <c r="Q41">
        <v>1</v>
      </c>
      <c r="R41">
        <v>1</v>
      </c>
      <c r="S41">
        <v>2</v>
      </c>
      <c r="T41">
        <v>0.01</v>
      </c>
      <c r="U41">
        <v>16</v>
      </c>
      <c r="V41">
        <v>0</v>
      </c>
      <c r="W41">
        <v>0</v>
      </c>
      <c r="X41">
        <v>275.2</v>
      </c>
      <c r="Y41" t="s">
        <v>135</v>
      </c>
    </row>
    <row r="42" spans="1:25" x14ac:dyDescent="0.3">
      <c r="A42">
        <v>3</v>
      </c>
      <c r="B42">
        <v>42</v>
      </c>
      <c r="C42">
        <v>4</v>
      </c>
      <c r="D42">
        <v>3</v>
      </c>
      <c r="E42" t="s">
        <v>26</v>
      </c>
      <c r="F42">
        <v>2.5</v>
      </c>
      <c r="G42" s="44">
        <v>-0.44918247897674202</v>
      </c>
      <c r="H42" s="44">
        <v>0.34489034517107903</v>
      </c>
      <c r="I42" s="44">
        <v>0.56631638649426097</v>
      </c>
      <c r="J42" s="44">
        <v>1.8812589999999999E-4</v>
      </c>
      <c r="K42" s="44">
        <v>1.5283440000000001E-2</v>
      </c>
      <c r="L42">
        <v>0.989263</v>
      </c>
      <c r="M42" s="44">
        <v>0.41836667621661899</v>
      </c>
      <c r="N42" s="44">
        <v>-0.41836667621661899</v>
      </c>
      <c r="O42">
        <v>6000</v>
      </c>
      <c r="P42">
        <v>16</v>
      </c>
      <c r="Q42">
        <v>1</v>
      </c>
      <c r="R42">
        <v>1</v>
      </c>
      <c r="S42">
        <v>2</v>
      </c>
      <c r="T42">
        <v>0.01</v>
      </c>
      <c r="U42">
        <v>16</v>
      </c>
      <c r="V42">
        <v>0</v>
      </c>
      <c r="W42">
        <v>0</v>
      </c>
      <c r="X42">
        <v>314.2</v>
      </c>
      <c r="Y42" t="s">
        <v>136</v>
      </c>
    </row>
    <row r="43" spans="1:25" x14ac:dyDescent="0.3">
      <c r="A43">
        <v>3</v>
      </c>
      <c r="B43">
        <v>45</v>
      </c>
      <c r="C43">
        <v>4</v>
      </c>
      <c r="D43">
        <v>3</v>
      </c>
      <c r="E43" t="s">
        <v>26</v>
      </c>
      <c r="F43">
        <v>2.5</v>
      </c>
      <c r="G43" s="44">
        <v>0.44910654977046399</v>
      </c>
      <c r="H43" s="44">
        <v>-0.34489413975055999</v>
      </c>
      <c r="I43" s="44">
        <v>0.566258475151595</v>
      </c>
      <c r="J43" s="44">
        <v>1.8931460000000001E-4</v>
      </c>
      <c r="K43" s="44">
        <v>1.0953829999999999E-2</v>
      </c>
      <c r="L43">
        <v>0.98923000000000005</v>
      </c>
      <c r="M43" s="44">
        <v>0.41836667621661899</v>
      </c>
      <c r="N43" s="44">
        <v>-0.41836667621661899</v>
      </c>
      <c r="O43">
        <v>6000</v>
      </c>
      <c r="P43">
        <v>16</v>
      </c>
      <c r="Q43">
        <v>1</v>
      </c>
      <c r="R43">
        <v>1</v>
      </c>
      <c r="S43">
        <v>2</v>
      </c>
      <c r="T43">
        <v>0.01</v>
      </c>
      <c r="U43">
        <v>16</v>
      </c>
      <c r="V43">
        <v>0</v>
      </c>
      <c r="W43">
        <v>0</v>
      </c>
      <c r="X43">
        <v>281.5</v>
      </c>
      <c r="Y43" t="s">
        <v>137</v>
      </c>
    </row>
    <row r="44" spans="1:25" x14ac:dyDescent="0.3">
      <c r="A44">
        <v>3</v>
      </c>
      <c r="B44">
        <v>99</v>
      </c>
      <c r="C44">
        <v>4</v>
      </c>
      <c r="D44">
        <v>3</v>
      </c>
      <c r="E44" t="s">
        <v>26</v>
      </c>
      <c r="F44">
        <v>2.5</v>
      </c>
      <c r="G44" s="44">
        <v>-0.44906225566618102</v>
      </c>
      <c r="H44" s="44">
        <v>0.34493808246593999</v>
      </c>
      <c r="I44" s="44">
        <v>0.56625011275873405</v>
      </c>
      <c r="J44" s="44">
        <v>1.9233950000000001E-4</v>
      </c>
      <c r="K44" s="44">
        <v>1.122284E-2</v>
      </c>
      <c r="L44">
        <v>0.98855899999999997</v>
      </c>
      <c r="M44" s="44">
        <v>0.41836667621661899</v>
      </c>
      <c r="N44" s="44">
        <v>-0.41836667621661899</v>
      </c>
      <c r="O44">
        <v>6000</v>
      </c>
      <c r="P44">
        <v>16</v>
      </c>
      <c r="Q44">
        <v>1</v>
      </c>
      <c r="R44">
        <v>1</v>
      </c>
      <c r="S44">
        <v>2</v>
      </c>
      <c r="T44">
        <v>0.01</v>
      </c>
      <c r="U44">
        <v>16</v>
      </c>
      <c r="V44">
        <v>0</v>
      </c>
      <c r="W44">
        <v>0</v>
      </c>
      <c r="X44">
        <v>275.2</v>
      </c>
      <c r="Y44" t="s">
        <v>138</v>
      </c>
    </row>
    <row r="45" spans="1:25" x14ac:dyDescent="0.3">
      <c r="A45">
        <v>3.5</v>
      </c>
      <c r="B45">
        <v>42</v>
      </c>
      <c r="C45">
        <v>5</v>
      </c>
      <c r="D45">
        <v>3.5</v>
      </c>
      <c r="E45" t="s">
        <v>26</v>
      </c>
      <c r="F45">
        <v>3</v>
      </c>
      <c r="G45" s="98">
        <v>-0.45005276745616701</v>
      </c>
      <c r="H45" s="44">
        <v>0.33445548967958799</v>
      </c>
      <c r="I45" s="44">
        <v>0.56072093600272099</v>
      </c>
      <c r="J45" s="44">
        <v>2.0288040000000001E-4</v>
      </c>
      <c r="K45" s="44">
        <v>1.8390759999999999E-2</v>
      </c>
      <c r="L45">
        <v>0.98722699999999997</v>
      </c>
      <c r="M45" s="44">
        <v>0.41836667621661899</v>
      </c>
      <c r="N45" s="44">
        <v>-0.41836667621661899</v>
      </c>
      <c r="O45">
        <v>6000</v>
      </c>
      <c r="P45">
        <v>16</v>
      </c>
      <c r="Q45">
        <v>1</v>
      </c>
      <c r="R45">
        <v>1</v>
      </c>
      <c r="S45">
        <v>2</v>
      </c>
      <c r="T45">
        <v>0.01</v>
      </c>
      <c r="U45">
        <v>16</v>
      </c>
      <c r="V45">
        <v>0</v>
      </c>
      <c r="W45">
        <v>0</v>
      </c>
      <c r="X45">
        <v>302.7</v>
      </c>
      <c r="Y45" t="s">
        <v>139</v>
      </c>
    </row>
    <row r="46" spans="1:25" x14ac:dyDescent="0.3">
      <c r="A46">
        <v>3.5</v>
      </c>
      <c r="B46">
        <v>45</v>
      </c>
      <c r="C46">
        <v>5</v>
      </c>
      <c r="D46">
        <v>3.5</v>
      </c>
      <c r="E46" t="s">
        <v>26</v>
      </c>
      <c r="F46">
        <v>3</v>
      </c>
      <c r="G46" s="98">
        <v>0.45000535621021498</v>
      </c>
      <c r="H46" s="44">
        <v>-0.33443171152818202</v>
      </c>
      <c r="I46" s="44">
        <v>0.560668699227585</v>
      </c>
      <c r="J46" s="44">
        <v>2.0400330000000001E-4</v>
      </c>
      <c r="K46" s="44">
        <v>1.284921E-2</v>
      </c>
      <c r="L46">
        <v>0.98722100000000002</v>
      </c>
      <c r="M46" s="44">
        <v>0.41836667621661899</v>
      </c>
      <c r="N46" s="44">
        <v>-0.41836667621661899</v>
      </c>
      <c r="O46">
        <v>6000</v>
      </c>
      <c r="P46">
        <v>16</v>
      </c>
      <c r="Q46">
        <v>1</v>
      </c>
      <c r="R46">
        <v>1</v>
      </c>
      <c r="S46">
        <v>2</v>
      </c>
      <c r="T46">
        <v>0.01</v>
      </c>
      <c r="U46">
        <v>16</v>
      </c>
      <c r="V46">
        <v>0</v>
      </c>
      <c r="W46">
        <v>0</v>
      </c>
      <c r="X46">
        <v>273.7</v>
      </c>
      <c r="Y46" t="s">
        <v>140</v>
      </c>
    </row>
    <row r="47" spans="1:25" x14ac:dyDescent="0.3">
      <c r="A47">
        <v>3.5</v>
      </c>
      <c r="B47">
        <v>99</v>
      </c>
      <c r="C47">
        <v>5</v>
      </c>
      <c r="D47">
        <v>3.5</v>
      </c>
      <c r="E47" t="s">
        <v>26</v>
      </c>
      <c r="F47">
        <v>3</v>
      </c>
      <c r="G47" s="98">
        <v>-0.44997801589384001</v>
      </c>
      <c r="H47" s="44">
        <v>0.33451170154287801</v>
      </c>
      <c r="I47" s="44">
        <v>0.56069447407377704</v>
      </c>
      <c r="J47" s="44">
        <v>2.069998E-4</v>
      </c>
      <c r="K47" s="44">
        <v>1.340563E-2</v>
      </c>
      <c r="L47">
        <v>0.98648000000000002</v>
      </c>
      <c r="M47" s="44">
        <v>0.41836667621661899</v>
      </c>
      <c r="N47" s="44">
        <v>-0.41836667621661899</v>
      </c>
      <c r="O47">
        <v>6000</v>
      </c>
      <c r="P47">
        <v>16</v>
      </c>
      <c r="Q47">
        <v>1</v>
      </c>
      <c r="R47">
        <v>1</v>
      </c>
      <c r="S47">
        <v>2</v>
      </c>
      <c r="T47">
        <v>0.01</v>
      </c>
      <c r="U47">
        <v>16</v>
      </c>
      <c r="V47">
        <v>0</v>
      </c>
      <c r="W47">
        <v>0</v>
      </c>
      <c r="X47">
        <v>273.5</v>
      </c>
      <c r="Y47" t="s">
        <v>141</v>
      </c>
    </row>
    <row r="48" spans="1:25" x14ac:dyDescent="0.3">
      <c r="A48">
        <v>4</v>
      </c>
      <c r="B48">
        <v>42</v>
      </c>
      <c r="C48">
        <v>6</v>
      </c>
      <c r="D48">
        <v>4</v>
      </c>
      <c r="E48" t="s">
        <v>26</v>
      </c>
      <c r="F48">
        <v>3.5</v>
      </c>
      <c r="G48" s="44">
        <v>-0.45044746315328099</v>
      </c>
      <c r="H48" s="44">
        <v>0.32465732939870401</v>
      </c>
      <c r="I48" s="44">
        <v>0.55525246383381799</v>
      </c>
      <c r="J48" s="44">
        <v>2.152643E-4</v>
      </c>
      <c r="K48" s="44">
        <v>2.1417700000000001E-2</v>
      </c>
      <c r="L48">
        <v>0.98528400000000005</v>
      </c>
      <c r="M48" s="44">
        <v>0.41836667621661899</v>
      </c>
      <c r="N48" s="44">
        <v>-0.41836667621661899</v>
      </c>
      <c r="O48">
        <v>6000</v>
      </c>
      <c r="P48">
        <v>16</v>
      </c>
      <c r="Q48">
        <v>1</v>
      </c>
      <c r="R48">
        <v>1</v>
      </c>
      <c r="S48">
        <v>2</v>
      </c>
      <c r="T48">
        <v>0.01</v>
      </c>
      <c r="U48">
        <v>16</v>
      </c>
      <c r="V48">
        <v>0</v>
      </c>
      <c r="W48">
        <v>0</v>
      </c>
      <c r="X48">
        <v>295.7</v>
      </c>
      <c r="Y48" t="s">
        <v>142</v>
      </c>
    </row>
    <row r="49" spans="1:25" x14ac:dyDescent="0.3">
      <c r="A49">
        <v>4</v>
      </c>
      <c r="B49">
        <v>45</v>
      </c>
      <c r="C49">
        <v>6</v>
      </c>
      <c r="D49">
        <v>4</v>
      </c>
      <c r="E49" t="s">
        <v>26</v>
      </c>
      <c r="F49">
        <v>3.5</v>
      </c>
      <c r="G49" s="44">
        <v>0.45036829375855902</v>
      </c>
      <c r="H49" s="44">
        <v>-0.324593274169658</v>
      </c>
      <c r="I49" s="44">
        <v>0.55515078461547296</v>
      </c>
      <c r="J49" s="44">
        <v>2.163453E-4</v>
      </c>
      <c r="K49" s="44">
        <v>1.458167E-2</v>
      </c>
      <c r="L49">
        <v>0.98531899999999994</v>
      </c>
      <c r="M49" s="44">
        <v>0.41836667621661899</v>
      </c>
      <c r="N49" s="44">
        <v>-0.41836667621661899</v>
      </c>
      <c r="O49">
        <v>6000</v>
      </c>
      <c r="P49">
        <v>16</v>
      </c>
      <c r="Q49">
        <v>1</v>
      </c>
      <c r="R49">
        <v>1</v>
      </c>
      <c r="S49">
        <v>2</v>
      </c>
      <c r="T49">
        <v>0.01</v>
      </c>
      <c r="U49">
        <v>16</v>
      </c>
      <c r="V49">
        <v>0</v>
      </c>
      <c r="W49">
        <v>0</v>
      </c>
      <c r="X49">
        <v>271.89999999999998</v>
      </c>
      <c r="Y49" t="s">
        <v>143</v>
      </c>
    </row>
    <row r="50" spans="1:25" x14ac:dyDescent="0.3">
      <c r="A50">
        <v>4</v>
      </c>
      <c r="B50">
        <v>99</v>
      </c>
      <c r="C50">
        <v>6</v>
      </c>
      <c r="D50">
        <v>4</v>
      </c>
      <c r="E50" t="s">
        <v>26</v>
      </c>
      <c r="F50">
        <v>3.5</v>
      </c>
      <c r="G50" s="44">
        <v>-0.45036049320232902</v>
      </c>
      <c r="H50" s="44">
        <v>0.32471614602876397</v>
      </c>
      <c r="I50" s="44">
        <v>0.55521630859442395</v>
      </c>
      <c r="J50" s="44">
        <v>2.1936340000000001E-4</v>
      </c>
      <c r="K50" s="44">
        <v>1.5458080000000001E-2</v>
      </c>
      <c r="L50">
        <v>0.98452499999999998</v>
      </c>
      <c r="M50" s="44">
        <v>0.41836667621661899</v>
      </c>
      <c r="N50" s="44">
        <v>-0.41836667621661899</v>
      </c>
      <c r="O50">
        <v>6000</v>
      </c>
      <c r="P50">
        <v>16</v>
      </c>
      <c r="Q50">
        <v>1</v>
      </c>
      <c r="R50">
        <v>1</v>
      </c>
      <c r="S50">
        <v>2</v>
      </c>
      <c r="T50">
        <v>0.01</v>
      </c>
      <c r="U50">
        <v>16</v>
      </c>
      <c r="V50">
        <v>0</v>
      </c>
      <c r="W50">
        <v>0</v>
      </c>
      <c r="X50">
        <v>267.8</v>
      </c>
      <c r="Y50" t="s">
        <v>144</v>
      </c>
    </row>
    <row r="51" spans="1:25" x14ac:dyDescent="0.3">
      <c r="A51">
        <v>4.5</v>
      </c>
      <c r="B51">
        <v>42</v>
      </c>
      <c r="C51">
        <v>7</v>
      </c>
      <c r="D51">
        <v>4.5</v>
      </c>
      <c r="E51" t="s">
        <v>26</v>
      </c>
      <c r="F51">
        <v>4</v>
      </c>
      <c r="G51" s="98">
        <v>-0.45037891546436598</v>
      </c>
      <c r="H51" s="44">
        <v>0.315439056579013</v>
      </c>
      <c r="I51" s="44">
        <v>0.54985722320464003</v>
      </c>
      <c r="J51" s="44">
        <v>2.2594870000000001E-4</v>
      </c>
      <c r="K51" s="44">
        <v>2.4242349999999999E-2</v>
      </c>
      <c r="L51">
        <v>0.98340899999999998</v>
      </c>
      <c r="M51" s="44">
        <v>0.41836667621661899</v>
      </c>
      <c r="N51" s="44">
        <v>-0.41836667621661899</v>
      </c>
      <c r="O51">
        <v>6000</v>
      </c>
      <c r="P51">
        <v>16</v>
      </c>
      <c r="Q51">
        <v>1</v>
      </c>
      <c r="R51">
        <v>1</v>
      </c>
      <c r="S51">
        <v>2</v>
      </c>
      <c r="T51">
        <v>0.01</v>
      </c>
      <c r="U51">
        <v>16</v>
      </c>
      <c r="V51">
        <v>0</v>
      </c>
      <c r="W51">
        <v>0</v>
      </c>
      <c r="X51">
        <v>280.8</v>
      </c>
      <c r="Y51" t="s">
        <v>145</v>
      </c>
    </row>
    <row r="52" spans="1:25" x14ac:dyDescent="0.3">
      <c r="A52">
        <v>4.5</v>
      </c>
      <c r="B52">
        <v>45</v>
      </c>
      <c r="C52">
        <v>7</v>
      </c>
      <c r="D52">
        <v>4.5</v>
      </c>
      <c r="E52" t="s">
        <v>26</v>
      </c>
      <c r="F52">
        <v>4</v>
      </c>
      <c r="G52" s="98">
        <v>0.45029934632600999</v>
      </c>
      <c r="H52" s="44">
        <v>-0.31532546108481402</v>
      </c>
      <c r="I52" s="44">
        <v>0.54972688465271802</v>
      </c>
      <c r="J52" s="44">
        <v>2.268878E-4</v>
      </c>
      <c r="K52" s="44">
        <v>1.6195919999999999E-2</v>
      </c>
      <c r="L52">
        <v>0.98351100000000002</v>
      </c>
      <c r="M52" s="44">
        <v>0.41836667621661899</v>
      </c>
      <c r="N52" s="44">
        <v>-0.41836667621661899</v>
      </c>
      <c r="O52">
        <v>6000</v>
      </c>
      <c r="P52">
        <v>16</v>
      </c>
      <c r="Q52">
        <v>1</v>
      </c>
      <c r="R52">
        <v>1</v>
      </c>
      <c r="S52">
        <v>2</v>
      </c>
      <c r="T52">
        <v>0.01</v>
      </c>
      <c r="U52">
        <v>16</v>
      </c>
      <c r="V52">
        <v>0</v>
      </c>
      <c r="W52">
        <v>0</v>
      </c>
      <c r="X52">
        <v>283</v>
      </c>
      <c r="Y52" t="s">
        <v>146</v>
      </c>
    </row>
    <row r="53" spans="1:25" x14ac:dyDescent="0.3">
      <c r="A53">
        <v>4.5</v>
      </c>
      <c r="B53">
        <v>99</v>
      </c>
      <c r="C53">
        <v>7</v>
      </c>
      <c r="D53">
        <v>4.5</v>
      </c>
      <c r="E53" t="s">
        <v>26</v>
      </c>
      <c r="F53">
        <v>4</v>
      </c>
      <c r="G53" s="98">
        <v>-0.450319287227747</v>
      </c>
      <c r="H53" s="44">
        <v>0.315500452734779</v>
      </c>
      <c r="I53" s="44">
        <v>0.54984361060683196</v>
      </c>
      <c r="J53" s="44">
        <v>2.300231E-4</v>
      </c>
      <c r="K53" s="44">
        <v>1.7403680000000001E-2</v>
      </c>
      <c r="L53">
        <v>0.98264399999999996</v>
      </c>
      <c r="M53" s="44">
        <v>0.41836667621661899</v>
      </c>
      <c r="N53" s="44">
        <v>-0.41836667621661899</v>
      </c>
      <c r="O53">
        <v>6000</v>
      </c>
      <c r="P53">
        <v>16</v>
      </c>
      <c r="Q53">
        <v>1</v>
      </c>
      <c r="R53">
        <v>1</v>
      </c>
      <c r="S53">
        <v>2</v>
      </c>
      <c r="T53">
        <v>0.01</v>
      </c>
      <c r="U53">
        <v>16</v>
      </c>
      <c r="V53">
        <v>0</v>
      </c>
      <c r="W53">
        <v>0</v>
      </c>
      <c r="X53">
        <v>273.2</v>
      </c>
      <c r="Y53" t="s">
        <v>147</v>
      </c>
    </row>
    <row r="54" spans="1:25" x14ac:dyDescent="0.3">
      <c r="A54">
        <v>5</v>
      </c>
      <c r="B54">
        <v>42</v>
      </c>
      <c r="C54">
        <v>8</v>
      </c>
      <c r="D54">
        <v>5</v>
      </c>
      <c r="E54" t="s">
        <v>26</v>
      </c>
      <c r="F54">
        <v>4.5</v>
      </c>
      <c r="G54" s="44">
        <v>-0.44999321179351298</v>
      </c>
      <c r="H54" s="44">
        <v>0.30674892465553799</v>
      </c>
      <c r="I54" s="44">
        <v>0.54459966345708499</v>
      </c>
      <c r="J54" s="44">
        <v>2.3507479999999999E-4</v>
      </c>
      <c r="K54" s="44">
        <v>2.6786509999999999E-2</v>
      </c>
      <c r="L54">
        <v>0.98164600000000002</v>
      </c>
      <c r="M54" s="44">
        <v>0.41836667621661899</v>
      </c>
      <c r="N54" s="44">
        <v>-0.41836667621661899</v>
      </c>
      <c r="O54">
        <v>6000</v>
      </c>
      <c r="P54">
        <v>16</v>
      </c>
      <c r="Q54">
        <v>1</v>
      </c>
      <c r="R54">
        <v>1</v>
      </c>
      <c r="S54">
        <v>2</v>
      </c>
      <c r="T54">
        <v>0.01</v>
      </c>
      <c r="U54">
        <v>16</v>
      </c>
      <c r="V54">
        <v>0</v>
      </c>
      <c r="W54">
        <v>0</v>
      </c>
      <c r="X54">
        <v>291</v>
      </c>
      <c r="Y54" t="s">
        <v>148</v>
      </c>
    </row>
    <row r="55" spans="1:25" x14ac:dyDescent="0.3">
      <c r="A55">
        <v>5</v>
      </c>
      <c r="B55">
        <v>45</v>
      </c>
      <c r="C55">
        <v>8</v>
      </c>
      <c r="D55">
        <v>5</v>
      </c>
      <c r="E55" t="s">
        <v>26</v>
      </c>
      <c r="F55">
        <v>4.5</v>
      </c>
      <c r="G55" s="44">
        <v>0.44988039253552597</v>
      </c>
      <c r="H55" s="44">
        <v>-0.30658692148409999</v>
      </c>
      <c r="I55" s="44">
        <v>0.54441519818335105</v>
      </c>
      <c r="J55" s="44">
        <v>2.359687E-4</v>
      </c>
      <c r="K55" s="44">
        <v>1.7695220000000001E-2</v>
      </c>
      <c r="L55">
        <v>0.98180199999999995</v>
      </c>
      <c r="M55" s="44">
        <v>0.41836667621661899</v>
      </c>
      <c r="N55" s="44">
        <v>-0.41836667621661899</v>
      </c>
      <c r="O55">
        <v>6000</v>
      </c>
      <c r="P55">
        <v>16</v>
      </c>
      <c r="Q55">
        <v>1</v>
      </c>
      <c r="R55">
        <v>1</v>
      </c>
      <c r="S55">
        <v>2</v>
      </c>
      <c r="T55">
        <v>0.01</v>
      </c>
      <c r="U55">
        <v>16</v>
      </c>
      <c r="V55">
        <v>0</v>
      </c>
      <c r="W55">
        <v>0</v>
      </c>
      <c r="X55">
        <v>270.89999999999998</v>
      </c>
      <c r="Y55" t="s">
        <v>149</v>
      </c>
    </row>
    <row r="56" spans="1:25" x14ac:dyDescent="0.3">
      <c r="A56">
        <v>5</v>
      </c>
      <c r="B56">
        <v>99</v>
      </c>
      <c r="C56">
        <v>8</v>
      </c>
      <c r="D56">
        <v>5</v>
      </c>
      <c r="E56" t="s">
        <v>26</v>
      </c>
      <c r="F56">
        <v>4.5</v>
      </c>
      <c r="G56" s="44">
        <v>-0.44994026615438898</v>
      </c>
      <c r="H56" s="44">
        <v>0.306814199171562</v>
      </c>
      <c r="I56" s="44">
        <v>0.54459268808933703</v>
      </c>
      <c r="J56" s="44">
        <v>2.3923959999999999E-4</v>
      </c>
      <c r="K56" s="44">
        <v>1.926456E-2</v>
      </c>
      <c r="L56">
        <v>0.980877</v>
      </c>
      <c r="M56" s="44">
        <v>0.41836667621661899</v>
      </c>
      <c r="N56" s="44">
        <v>-0.41836667621661899</v>
      </c>
      <c r="O56">
        <v>6000</v>
      </c>
      <c r="P56">
        <v>16</v>
      </c>
      <c r="Q56">
        <v>1</v>
      </c>
      <c r="R56">
        <v>1</v>
      </c>
      <c r="S56">
        <v>2</v>
      </c>
      <c r="T56">
        <v>0.01</v>
      </c>
      <c r="U56">
        <v>16</v>
      </c>
      <c r="V56">
        <v>0</v>
      </c>
      <c r="W56">
        <v>0</v>
      </c>
      <c r="X56">
        <v>276</v>
      </c>
      <c r="Y56" t="s">
        <v>150</v>
      </c>
    </row>
    <row r="57" spans="1:25" x14ac:dyDescent="0.3">
      <c r="A57">
        <v>6</v>
      </c>
      <c r="B57">
        <v>42</v>
      </c>
      <c r="C57">
        <v>9</v>
      </c>
      <c r="D57">
        <v>6</v>
      </c>
      <c r="E57" t="s">
        <v>26</v>
      </c>
      <c r="F57">
        <v>5</v>
      </c>
      <c r="G57" s="98">
        <v>-0.44843870180900097</v>
      </c>
      <c r="H57" s="44">
        <v>0.29075226824371603</v>
      </c>
      <c r="I57" s="44">
        <v>0.53444751919061995</v>
      </c>
      <c r="J57" s="44">
        <v>2.4983660000000001E-4</v>
      </c>
      <c r="K57" s="44">
        <v>3.0937200000000002E-2</v>
      </c>
      <c r="L57">
        <v>0.97846100000000003</v>
      </c>
      <c r="M57" s="44">
        <v>0.41836667621661899</v>
      </c>
      <c r="N57" s="44">
        <v>-0.41836667621661899</v>
      </c>
      <c r="O57">
        <v>6000</v>
      </c>
      <c r="P57">
        <v>16</v>
      </c>
      <c r="Q57">
        <v>1</v>
      </c>
      <c r="R57">
        <v>1</v>
      </c>
      <c r="S57">
        <v>2</v>
      </c>
      <c r="T57">
        <v>0.01</v>
      </c>
      <c r="U57">
        <v>16</v>
      </c>
      <c r="V57">
        <v>0</v>
      </c>
      <c r="W57">
        <v>0</v>
      </c>
      <c r="X57">
        <v>295.60000000000002</v>
      </c>
      <c r="Y57" t="s">
        <v>151</v>
      </c>
    </row>
    <row r="58" spans="1:25" x14ac:dyDescent="0.3">
      <c r="A58">
        <v>6</v>
      </c>
      <c r="B58">
        <v>45</v>
      </c>
      <c r="C58">
        <v>9</v>
      </c>
      <c r="D58">
        <v>6</v>
      </c>
      <c r="E58" t="s">
        <v>26</v>
      </c>
      <c r="F58">
        <v>5</v>
      </c>
      <c r="G58" s="98">
        <v>0.44829392732241402</v>
      </c>
      <c r="H58" s="44">
        <v>-0.29053625710619901</v>
      </c>
      <c r="I58" s="44">
        <v>0.53420853790203804</v>
      </c>
      <c r="J58" s="44">
        <v>2.5078900000000001E-4</v>
      </c>
      <c r="K58" s="44">
        <v>2.0670770000000002E-2</v>
      </c>
      <c r="L58">
        <v>0.97867599999999999</v>
      </c>
      <c r="M58" s="44">
        <v>0.41836667621661899</v>
      </c>
      <c r="N58" s="44">
        <v>-0.41836667621661899</v>
      </c>
      <c r="O58">
        <v>6000</v>
      </c>
      <c r="P58">
        <v>16</v>
      </c>
      <c r="Q58">
        <v>1</v>
      </c>
      <c r="R58">
        <v>1</v>
      </c>
      <c r="S58">
        <v>2</v>
      </c>
      <c r="T58">
        <v>0.01</v>
      </c>
      <c r="U58">
        <v>16</v>
      </c>
      <c r="V58">
        <v>0</v>
      </c>
      <c r="W58">
        <v>0</v>
      </c>
      <c r="X58">
        <v>269.8</v>
      </c>
      <c r="Y58" t="s">
        <v>152</v>
      </c>
    </row>
    <row r="59" spans="1:25" x14ac:dyDescent="0.3">
      <c r="A59">
        <v>6</v>
      </c>
      <c r="B59">
        <v>99</v>
      </c>
      <c r="C59">
        <v>9</v>
      </c>
      <c r="D59">
        <v>6</v>
      </c>
      <c r="E59" t="s">
        <v>26</v>
      </c>
      <c r="F59">
        <v>5</v>
      </c>
      <c r="G59" s="98">
        <v>-0.44842212842892798</v>
      </c>
      <c r="H59" s="44">
        <v>0.29083367707875302</v>
      </c>
      <c r="I59" s="44">
        <v>0.53447790692214703</v>
      </c>
      <c r="J59" s="44">
        <v>2.5441409999999999E-4</v>
      </c>
      <c r="K59" s="44">
        <v>2.2436379999999999E-2</v>
      </c>
      <c r="L59">
        <v>0.97761600000000004</v>
      </c>
      <c r="M59" s="44">
        <v>0.41836667621661899</v>
      </c>
      <c r="N59" s="44">
        <v>-0.41836667621661899</v>
      </c>
      <c r="O59">
        <v>6000</v>
      </c>
      <c r="P59">
        <v>16</v>
      </c>
      <c r="Q59">
        <v>1</v>
      </c>
      <c r="R59">
        <v>1</v>
      </c>
      <c r="S59">
        <v>2</v>
      </c>
      <c r="T59">
        <v>0.01</v>
      </c>
      <c r="U59">
        <v>16</v>
      </c>
      <c r="V59">
        <v>0</v>
      </c>
      <c r="W59">
        <v>0</v>
      </c>
      <c r="X59">
        <v>272.60000000000002</v>
      </c>
      <c r="Y59" t="s">
        <v>153</v>
      </c>
    </row>
    <row r="60" spans="1:25" x14ac:dyDescent="0.3">
      <c r="A60">
        <v>7</v>
      </c>
      <c r="B60">
        <v>42</v>
      </c>
      <c r="C60">
        <v>10</v>
      </c>
      <c r="D60">
        <v>7</v>
      </c>
      <c r="E60" t="s">
        <v>26</v>
      </c>
      <c r="F60">
        <v>6</v>
      </c>
      <c r="G60" s="44">
        <v>-0.44620101997047201</v>
      </c>
      <c r="H60" s="44">
        <v>0.276389489854313</v>
      </c>
      <c r="I60" s="44">
        <v>0.52486807897281895</v>
      </c>
      <c r="J60" s="44">
        <v>2.611178E-4</v>
      </c>
      <c r="K60" s="44">
        <v>3.4291889999999998E-2</v>
      </c>
      <c r="L60">
        <v>0.97562800000000005</v>
      </c>
      <c r="M60" s="44">
        <v>0.41836667621661899</v>
      </c>
      <c r="N60" s="44">
        <v>-0.41836667621661899</v>
      </c>
      <c r="O60">
        <v>6000</v>
      </c>
      <c r="P60">
        <v>16</v>
      </c>
      <c r="Q60">
        <v>1</v>
      </c>
      <c r="R60">
        <v>1</v>
      </c>
      <c r="S60">
        <v>2</v>
      </c>
      <c r="T60">
        <v>0.01</v>
      </c>
      <c r="U60">
        <v>16</v>
      </c>
      <c r="V60">
        <v>0</v>
      </c>
      <c r="W60">
        <v>0</v>
      </c>
      <c r="X60">
        <v>293.5</v>
      </c>
      <c r="Y60" t="s">
        <v>154</v>
      </c>
    </row>
    <row r="61" spans="1:25" x14ac:dyDescent="0.3">
      <c r="A61">
        <v>7</v>
      </c>
      <c r="B61">
        <v>45</v>
      </c>
      <c r="C61">
        <v>10</v>
      </c>
      <c r="D61">
        <v>7</v>
      </c>
      <c r="E61" t="s">
        <v>26</v>
      </c>
      <c r="F61">
        <v>6</v>
      </c>
      <c r="G61" s="44">
        <v>0.44603299103941801</v>
      </c>
      <c r="H61" s="44">
        <v>-0.27612088285103897</v>
      </c>
      <c r="I61" s="44">
        <v>0.52458380745311495</v>
      </c>
      <c r="J61" s="44">
        <v>2.6211780000000003E-4</v>
      </c>
      <c r="K61" s="44">
        <v>2.3443019999999998E-2</v>
      </c>
      <c r="L61">
        <v>0.97589700000000001</v>
      </c>
      <c r="M61" s="44">
        <v>0.41836667621661899</v>
      </c>
      <c r="N61" s="44">
        <v>-0.41836667621661899</v>
      </c>
      <c r="O61">
        <v>6000</v>
      </c>
      <c r="P61">
        <v>16</v>
      </c>
      <c r="Q61">
        <v>1</v>
      </c>
      <c r="R61">
        <v>1</v>
      </c>
      <c r="S61">
        <v>2</v>
      </c>
      <c r="T61">
        <v>0.01</v>
      </c>
      <c r="U61">
        <v>16</v>
      </c>
      <c r="V61">
        <v>0</v>
      </c>
      <c r="W61">
        <v>0</v>
      </c>
      <c r="X61">
        <v>265.2</v>
      </c>
      <c r="Y61" t="s">
        <v>155</v>
      </c>
    </row>
    <row r="62" spans="1:25" x14ac:dyDescent="0.3">
      <c r="A62">
        <v>7</v>
      </c>
      <c r="B62">
        <v>99</v>
      </c>
      <c r="C62">
        <v>10</v>
      </c>
      <c r="D62">
        <v>7</v>
      </c>
      <c r="E62" t="s">
        <v>26</v>
      </c>
      <c r="F62">
        <v>6</v>
      </c>
      <c r="G62" s="44">
        <v>-0.44622000740315798</v>
      </c>
      <c r="H62" s="44">
        <v>0.27646417843775201</v>
      </c>
      <c r="I62" s="44">
        <v>0.52492355344958197</v>
      </c>
      <c r="J62" s="44">
        <v>2.6613E-4</v>
      </c>
      <c r="K62" s="44">
        <v>2.51831E-2</v>
      </c>
      <c r="L62">
        <v>0.97471600000000003</v>
      </c>
      <c r="M62" s="44">
        <v>0.41836667621661899</v>
      </c>
      <c r="N62" s="44">
        <v>-0.41836667621661899</v>
      </c>
      <c r="O62">
        <v>6000</v>
      </c>
      <c r="P62">
        <v>16</v>
      </c>
      <c r="Q62">
        <v>1</v>
      </c>
      <c r="R62">
        <v>1</v>
      </c>
      <c r="S62">
        <v>2</v>
      </c>
      <c r="T62">
        <v>0.01</v>
      </c>
      <c r="U62">
        <v>16</v>
      </c>
      <c r="V62">
        <v>0</v>
      </c>
      <c r="W62">
        <v>0</v>
      </c>
      <c r="X62">
        <v>276</v>
      </c>
      <c r="Y62" t="s">
        <v>156</v>
      </c>
    </row>
    <row r="63" spans="1:25" x14ac:dyDescent="0.3">
      <c r="A63">
        <v>8</v>
      </c>
      <c r="B63">
        <v>42</v>
      </c>
      <c r="C63">
        <v>11</v>
      </c>
      <c r="D63">
        <v>8</v>
      </c>
      <c r="E63" t="s">
        <v>26</v>
      </c>
      <c r="F63">
        <v>7</v>
      </c>
      <c r="G63" s="98">
        <v>-0.443539950690576</v>
      </c>
      <c r="H63" s="44">
        <v>0.26338438428719102</v>
      </c>
      <c r="I63" s="44">
        <v>0.51584786686090101</v>
      </c>
      <c r="J63" s="44">
        <v>2.6996639999999998E-4</v>
      </c>
      <c r="K63" s="44">
        <v>3.7263009999999999E-2</v>
      </c>
      <c r="L63">
        <v>0.97308700000000004</v>
      </c>
      <c r="M63" s="44">
        <v>0.41836667621661899</v>
      </c>
      <c r="N63" s="44">
        <v>-0.41836667621661899</v>
      </c>
      <c r="O63">
        <v>6000</v>
      </c>
      <c r="P63">
        <v>16</v>
      </c>
      <c r="Q63">
        <v>1</v>
      </c>
      <c r="R63">
        <v>1</v>
      </c>
      <c r="S63">
        <v>2</v>
      </c>
      <c r="T63">
        <v>0.01</v>
      </c>
      <c r="U63">
        <v>16</v>
      </c>
      <c r="V63">
        <v>0</v>
      </c>
      <c r="W63">
        <v>0</v>
      </c>
      <c r="X63">
        <v>286.89999999999998</v>
      </c>
      <c r="Y63" t="s">
        <v>157</v>
      </c>
    </row>
    <row r="64" spans="1:25" x14ac:dyDescent="0.3">
      <c r="A64">
        <v>8</v>
      </c>
      <c r="B64">
        <v>45</v>
      </c>
      <c r="C64">
        <v>11</v>
      </c>
      <c r="D64">
        <v>8</v>
      </c>
      <c r="E64" t="s">
        <v>26</v>
      </c>
      <c r="F64">
        <v>7</v>
      </c>
      <c r="G64" s="98">
        <v>0.44333610781636201</v>
      </c>
      <c r="H64" s="44">
        <v>-0.26306995462493699</v>
      </c>
      <c r="I64" s="44">
        <v>0.51551208086729405</v>
      </c>
      <c r="J64" s="44">
        <v>2.7102380000000001E-4</v>
      </c>
      <c r="K64" s="44">
        <v>2.5867879999999999E-2</v>
      </c>
      <c r="L64">
        <v>0.97338400000000003</v>
      </c>
      <c r="M64" s="44">
        <v>0.41836667621661899</v>
      </c>
      <c r="N64" s="44">
        <v>-0.41836667621661899</v>
      </c>
      <c r="O64">
        <v>6000</v>
      </c>
      <c r="P64">
        <v>16</v>
      </c>
      <c r="Q64">
        <v>1</v>
      </c>
      <c r="R64">
        <v>1</v>
      </c>
      <c r="S64">
        <v>2</v>
      </c>
      <c r="T64">
        <v>0.01</v>
      </c>
      <c r="U64">
        <v>16</v>
      </c>
      <c r="V64">
        <v>0</v>
      </c>
      <c r="W64">
        <v>0</v>
      </c>
      <c r="X64">
        <v>277.60000000000002</v>
      </c>
      <c r="Y64" t="s">
        <v>158</v>
      </c>
    </row>
    <row r="65" spans="1:25" x14ac:dyDescent="0.3">
      <c r="A65">
        <v>8</v>
      </c>
      <c r="B65">
        <v>99</v>
      </c>
      <c r="C65">
        <v>11</v>
      </c>
      <c r="D65">
        <v>8</v>
      </c>
      <c r="E65" t="s">
        <v>26</v>
      </c>
      <c r="F65">
        <v>7</v>
      </c>
      <c r="G65" s="98">
        <v>-0.44357481863728598</v>
      </c>
      <c r="H65" s="44">
        <v>0.26344683744469</v>
      </c>
      <c r="I65" s="44">
        <v>0.51590973618328895</v>
      </c>
      <c r="J65" s="44">
        <v>2.753597E-4</v>
      </c>
      <c r="K65" s="44">
        <v>2.7741410000000001E-2</v>
      </c>
      <c r="L65">
        <v>0.97208899999999998</v>
      </c>
      <c r="M65" s="44">
        <v>0.41836667621661899</v>
      </c>
      <c r="N65" s="44">
        <v>-0.41836667621661899</v>
      </c>
      <c r="O65">
        <v>6000</v>
      </c>
      <c r="P65">
        <v>16</v>
      </c>
      <c r="Q65">
        <v>1</v>
      </c>
      <c r="R65">
        <v>1</v>
      </c>
      <c r="S65">
        <v>2</v>
      </c>
      <c r="T65">
        <v>0.01</v>
      </c>
      <c r="U65">
        <v>16</v>
      </c>
      <c r="V65">
        <v>0</v>
      </c>
      <c r="W65">
        <v>0</v>
      </c>
      <c r="X65">
        <v>272.60000000000002</v>
      </c>
      <c r="Y65" t="s">
        <v>159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D53B8-AF40-4063-BE31-0BCFE937305D}">
  <dimension ref="A1:M21"/>
  <sheetViews>
    <sheetView workbookViewId="0">
      <selection activeCell="M3" sqref="M3"/>
    </sheetView>
  </sheetViews>
  <sheetFormatPr defaultRowHeight="14.4" x14ac:dyDescent="0.3"/>
  <sheetData>
    <row r="1" spans="1:13" ht="15" thickBot="1" x14ac:dyDescent="0.35"/>
    <row r="2" spans="1:13" x14ac:dyDescent="0.3">
      <c r="E2" s="77" t="s">
        <v>85</v>
      </c>
      <c r="F2" s="56"/>
      <c r="K2" t="s">
        <v>28</v>
      </c>
      <c r="L2" t="s">
        <v>88</v>
      </c>
      <c r="M2" t="s">
        <v>89</v>
      </c>
    </row>
    <row r="3" spans="1:13" x14ac:dyDescent="0.3">
      <c r="A3" t="s">
        <v>28</v>
      </c>
      <c r="B3" t="s">
        <v>86</v>
      </c>
      <c r="C3" t="s">
        <v>87</v>
      </c>
      <c r="D3" s="78"/>
      <c r="E3" s="57" t="s">
        <v>78</v>
      </c>
      <c r="F3" s="58" t="s">
        <v>79</v>
      </c>
      <c r="G3" s="78"/>
      <c r="H3" s="78"/>
      <c r="K3">
        <v>0</v>
      </c>
      <c r="L3">
        <v>0.40987000000000001</v>
      </c>
      <c r="M3">
        <v>-0.42510999999999999</v>
      </c>
    </row>
    <row r="4" spans="1:13" x14ac:dyDescent="0.3">
      <c r="A4">
        <v>0</v>
      </c>
      <c r="B4">
        <v>0.41836667621661899</v>
      </c>
      <c r="C4">
        <v>-0.41836667621661899</v>
      </c>
      <c r="D4" s="79"/>
      <c r="E4" s="57">
        <v>0.41836699999999999</v>
      </c>
      <c r="F4" s="58">
        <v>-0.41836699999999999</v>
      </c>
      <c r="G4" s="79"/>
      <c r="H4">
        <f>B4-E4</f>
        <v>-3.2378338099547932E-7</v>
      </c>
      <c r="I4">
        <f>C4-F4</f>
        <v>3.2378338099547932E-7</v>
      </c>
      <c r="K4">
        <v>0.05</v>
      </c>
      <c r="L4">
        <v>0.41117999999999999</v>
      </c>
      <c r="M4">
        <v>-0.42420999999999998</v>
      </c>
    </row>
    <row r="5" spans="1:13" x14ac:dyDescent="0.3">
      <c r="A5">
        <v>0.05</v>
      </c>
      <c r="B5">
        <v>0.41950157965088097</v>
      </c>
      <c r="C5">
        <v>-0.41723177278235801</v>
      </c>
      <c r="D5" s="79"/>
      <c r="E5" s="57">
        <v>0.41950199999999999</v>
      </c>
      <c r="F5" s="58">
        <v>-0.41723199999999999</v>
      </c>
      <c r="G5" s="79"/>
      <c r="H5">
        <f t="shared" ref="H5:I21" si="0">B5-E5</f>
        <v>-4.2034911901245309E-7</v>
      </c>
      <c r="I5">
        <f t="shared" si="0"/>
        <v>2.2721764197930483E-7</v>
      </c>
      <c r="K5">
        <v>0.1</v>
      </c>
      <c r="L5">
        <v>0.41249999999999998</v>
      </c>
      <c r="M5">
        <v>-0.42331000000000002</v>
      </c>
    </row>
    <row r="6" spans="1:13" x14ac:dyDescent="0.3">
      <c r="A6">
        <v>0.1</v>
      </c>
      <c r="B6">
        <v>0.42063648308514201</v>
      </c>
      <c r="C6">
        <v>-0.41609686934809598</v>
      </c>
      <c r="D6" s="79"/>
      <c r="E6" s="57">
        <v>0.42063600000000001</v>
      </c>
      <c r="F6" s="58">
        <v>-0.41609699999999999</v>
      </c>
      <c r="G6" s="79"/>
      <c r="H6">
        <f t="shared" si="0"/>
        <v>4.8308514200012809E-7</v>
      </c>
      <c r="I6">
        <f t="shared" si="0"/>
        <v>1.3065190401784221E-7</v>
      </c>
      <c r="K6">
        <v>0.15</v>
      </c>
      <c r="L6">
        <v>0.41382000000000002</v>
      </c>
      <c r="M6">
        <v>-0.4224</v>
      </c>
    </row>
    <row r="7" spans="1:13" x14ac:dyDescent="0.3">
      <c r="A7">
        <v>0.15</v>
      </c>
      <c r="B7">
        <v>0.42177138651940399</v>
      </c>
      <c r="C7">
        <v>-0.414961965913835</v>
      </c>
      <c r="D7" s="79"/>
      <c r="E7" s="67">
        <v>0.42177100000000001</v>
      </c>
      <c r="F7" s="69">
        <v>-0.414962</v>
      </c>
      <c r="G7" s="79"/>
      <c r="H7">
        <f t="shared" si="0"/>
        <v>3.8651940398315432E-7</v>
      </c>
      <c r="I7">
        <f t="shared" si="0"/>
        <v>3.4086165001667723E-8</v>
      </c>
      <c r="K7">
        <v>0.2</v>
      </c>
      <c r="L7">
        <v>0.41513</v>
      </c>
      <c r="M7">
        <v>-0.42149999999999999</v>
      </c>
    </row>
    <row r="8" spans="1:13" x14ac:dyDescent="0.3">
      <c r="A8">
        <v>0.2</v>
      </c>
      <c r="B8">
        <v>0.42290628995366503</v>
      </c>
      <c r="C8">
        <v>-0.41382706247957302</v>
      </c>
      <c r="D8" s="79"/>
      <c r="E8" s="57">
        <v>0.422906</v>
      </c>
      <c r="F8" s="58">
        <v>-0.413827</v>
      </c>
      <c r="G8" s="79"/>
      <c r="H8">
        <f t="shared" si="0"/>
        <v>2.8995366502249098E-7</v>
      </c>
      <c r="I8">
        <f t="shared" si="0"/>
        <v>-6.2479573015306045E-8</v>
      </c>
      <c r="K8">
        <v>0.3</v>
      </c>
      <c r="L8">
        <v>0.41776999999999997</v>
      </c>
      <c r="M8">
        <v>-0.41969000000000001</v>
      </c>
    </row>
    <row r="9" spans="1:13" x14ac:dyDescent="0.3">
      <c r="A9">
        <v>0.3</v>
      </c>
      <c r="B9">
        <v>0.42517609682218899</v>
      </c>
      <c r="C9">
        <v>-0.41155725561105</v>
      </c>
      <c r="D9" s="79"/>
      <c r="E9" s="57">
        <v>0.425176</v>
      </c>
      <c r="F9" s="58">
        <v>-0.41155700000000001</v>
      </c>
      <c r="G9" s="79"/>
      <c r="H9">
        <f t="shared" si="0"/>
        <v>9.6822188988543445E-8</v>
      </c>
      <c r="I9">
        <f t="shared" si="0"/>
        <v>-2.5561104999294315E-7</v>
      </c>
      <c r="K9">
        <v>0.4</v>
      </c>
      <c r="L9">
        <v>0.4204</v>
      </c>
      <c r="M9">
        <v>-0.41787999999999997</v>
      </c>
    </row>
    <row r="10" spans="1:13" x14ac:dyDescent="0.3">
      <c r="A10">
        <v>0.4</v>
      </c>
      <c r="B10">
        <v>0.427445903690712</v>
      </c>
      <c r="C10">
        <v>-0.40928744874252698</v>
      </c>
      <c r="D10" s="79"/>
      <c r="E10" s="57">
        <v>0.42744599999999999</v>
      </c>
      <c r="F10" s="58">
        <v>-0.40928700000000001</v>
      </c>
      <c r="G10" s="79"/>
      <c r="H10">
        <f t="shared" si="0"/>
        <v>-9.6309287989093662E-8</v>
      </c>
      <c r="I10">
        <f t="shared" si="0"/>
        <v>-4.4874252697058026E-7</v>
      </c>
      <c r="K10">
        <v>0.5</v>
      </c>
      <c r="L10">
        <v>0.42303000000000002</v>
      </c>
      <c r="M10">
        <v>-0.41607</v>
      </c>
    </row>
    <row r="11" spans="1:13" x14ac:dyDescent="0.3">
      <c r="A11">
        <v>0.5</v>
      </c>
      <c r="B11">
        <v>0.42971571055923502</v>
      </c>
      <c r="C11">
        <v>-0.40701764187400402</v>
      </c>
      <c r="D11" s="79"/>
      <c r="E11" s="57">
        <v>0.42971599999999999</v>
      </c>
      <c r="F11" s="58">
        <v>-0.40701799999999999</v>
      </c>
      <c r="G11" s="79"/>
      <c r="H11">
        <f t="shared" si="0"/>
        <v>-2.8944076496673077E-7</v>
      </c>
      <c r="I11">
        <f t="shared" si="0"/>
        <v>3.58125995969516E-7</v>
      </c>
      <c r="K11">
        <v>0.6</v>
      </c>
      <c r="L11">
        <v>0.42566999999999999</v>
      </c>
      <c r="M11">
        <v>-0.41426000000000002</v>
      </c>
    </row>
    <row r="12" spans="1:13" x14ac:dyDescent="0.3">
      <c r="A12">
        <v>0.6</v>
      </c>
      <c r="B12">
        <v>0.43198551742775798</v>
      </c>
      <c r="C12">
        <v>-0.40474783500548001</v>
      </c>
      <c r="D12" s="79"/>
      <c r="E12" s="57">
        <v>0.43198599999999998</v>
      </c>
      <c r="F12" s="58">
        <v>-0.404748</v>
      </c>
      <c r="G12" s="79"/>
      <c r="H12">
        <f t="shared" si="0"/>
        <v>-4.8257224199987903E-7</v>
      </c>
      <c r="I12">
        <f t="shared" si="0"/>
        <v>1.6499451999107961E-7</v>
      </c>
      <c r="K12">
        <v>0.7</v>
      </c>
      <c r="L12">
        <v>0.42830000000000001</v>
      </c>
      <c r="M12">
        <v>-0.41244999999999998</v>
      </c>
    </row>
    <row r="13" spans="1:13" x14ac:dyDescent="0.3">
      <c r="A13">
        <v>0.7</v>
      </c>
      <c r="B13">
        <v>0.434255324296281</v>
      </c>
      <c r="C13">
        <v>-0.40247802813695699</v>
      </c>
      <c r="D13" s="79"/>
      <c r="E13" s="57">
        <v>0.434255</v>
      </c>
      <c r="F13" s="58">
        <v>-0.402478</v>
      </c>
      <c r="G13" s="79"/>
      <c r="H13">
        <f t="shared" si="0"/>
        <v>3.2429628099572838E-7</v>
      </c>
      <c r="I13">
        <f t="shared" si="0"/>
        <v>-2.8136956986557493E-8</v>
      </c>
      <c r="K13">
        <v>0.8</v>
      </c>
      <c r="L13">
        <v>0.43092999999999998</v>
      </c>
      <c r="M13">
        <v>-0.41065000000000002</v>
      </c>
    </row>
    <row r="14" spans="1:13" x14ac:dyDescent="0.3">
      <c r="A14">
        <v>0.8</v>
      </c>
      <c r="B14">
        <v>0.43652513116480401</v>
      </c>
      <c r="C14">
        <v>-0.40020822126843397</v>
      </c>
      <c r="D14" s="79"/>
      <c r="E14" s="57">
        <v>0.436525</v>
      </c>
      <c r="F14" s="58">
        <v>-0.40020800000000001</v>
      </c>
      <c r="G14" s="79"/>
      <c r="H14">
        <f t="shared" si="0"/>
        <v>1.3116480401809127E-7</v>
      </c>
      <c r="I14">
        <f t="shared" si="0"/>
        <v>-2.212684339641946E-7</v>
      </c>
      <c r="K14">
        <v>0.9</v>
      </c>
      <c r="L14">
        <v>0.43357000000000001</v>
      </c>
      <c r="M14">
        <v>-0.40883999999999998</v>
      </c>
    </row>
    <row r="15" spans="1:13" x14ac:dyDescent="0.3">
      <c r="A15">
        <v>0.9</v>
      </c>
      <c r="B15">
        <v>0.43879493803332797</v>
      </c>
      <c r="C15">
        <v>-0.39793841439991101</v>
      </c>
      <c r="D15" s="79"/>
      <c r="E15" s="57">
        <v>0.43879499999999999</v>
      </c>
      <c r="F15" s="58">
        <v>-0.39793800000000001</v>
      </c>
      <c r="G15" s="79"/>
      <c r="H15">
        <f t="shared" si="0"/>
        <v>-6.1966672015856261E-8</v>
      </c>
      <c r="I15">
        <f t="shared" si="0"/>
        <v>-4.1439991099734286E-7</v>
      </c>
      <c r="K15">
        <v>1</v>
      </c>
      <c r="L15">
        <v>0.43619999999999998</v>
      </c>
      <c r="M15">
        <v>-0.40703</v>
      </c>
    </row>
    <row r="16" spans="1:13" x14ac:dyDescent="0.3">
      <c r="A16">
        <v>1</v>
      </c>
      <c r="B16">
        <v>0.44106474490185099</v>
      </c>
      <c r="C16">
        <v>-0.39566860753138799</v>
      </c>
      <c r="D16" s="79"/>
      <c r="E16" s="57">
        <v>0.44106499999999998</v>
      </c>
      <c r="F16" s="58">
        <v>-0.39566899999999999</v>
      </c>
      <c r="G16" s="79"/>
      <c r="H16">
        <f t="shared" si="0"/>
        <v>-2.5509814899349337E-7</v>
      </c>
      <c r="I16">
        <f t="shared" si="0"/>
        <v>3.9246861199826455E-7</v>
      </c>
      <c r="K16">
        <v>1.1000000000000001</v>
      </c>
      <c r="L16">
        <v>0.43883</v>
      </c>
      <c r="M16">
        <v>-0.40522000000000002</v>
      </c>
    </row>
    <row r="17" spans="1:13" x14ac:dyDescent="0.3">
      <c r="A17">
        <v>1.1000000000000001</v>
      </c>
      <c r="B17">
        <v>0.44333455177037401</v>
      </c>
      <c r="C17">
        <v>-0.39339880066286498</v>
      </c>
      <c r="E17" s="57">
        <v>0.44333499999999998</v>
      </c>
      <c r="F17" s="58">
        <v>-0.393399</v>
      </c>
      <c r="H17">
        <f t="shared" si="0"/>
        <v>-4.4822962597113047E-7</v>
      </c>
      <c r="I17">
        <f t="shared" si="0"/>
        <v>1.9933713502062744E-7</v>
      </c>
      <c r="K17">
        <v>2</v>
      </c>
      <c r="L17">
        <v>0.46253</v>
      </c>
      <c r="M17">
        <v>-0.38894000000000001</v>
      </c>
    </row>
    <row r="18" spans="1:13" x14ac:dyDescent="0.3">
      <c r="A18">
        <v>2</v>
      </c>
      <c r="B18">
        <v>0.46376281358708199</v>
      </c>
      <c r="C18">
        <v>-0.372970538846156</v>
      </c>
      <c r="E18" s="57">
        <v>0.46376299999999998</v>
      </c>
      <c r="F18" s="58">
        <v>-0.372971</v>
      </c>
      <c r="H18">
        <f t="shared" si="0"/>
        <v>-1.8641291799070814E-7</v>
      </c>
      <c r="I18">
        <f t="shared" si="0"/>
        <v>4.611538440002505E-7</v>
      </c>
      <c r="K18">
        <v>3</v>
      </c>
      <c r="L18">
        <v>0.48887000000000003</v>
      </c>
      <c r="M18">
        <v>-0.37086000000000002</v>
      </c>
    </row>
    <row r="19" spans="1:13" x14ac:dyDescent="0.3">
      <c r="A19">
        <v>3</v>
      </c>
      <c r="B19">
        <v>0.48646088227231399</v>
      </c>
      <c r="C19">
        <v>-0.350272470160925</v>
      </c>
      <c r="E19" s="57">
        <v>0.48646099999999998</v>
      </c>
      <c r="F19" s="58">
        <v>-0.35027200000000003</v>
      </c>
      <c r="H19">
        <f t="shared" si="0"/>
        <v>-1.1772768598872219E-7</v>
      </c>
      <c r="I19">
        <f t="shared" si="0"/>
        <v>-4.7016092497020878E-7</v>
      </c>
      <c r="K19">
        <v>4</v>
      </c>
      <c r="L19">
        <v>0.51519999999999999</v>
      </c>
      <c r="M19">
        <v>-0.35276999999999997</v>
      </c>
    </row>
    <row r="20" spans="1:13" x14ac:dyDescent="0.3">
      <c r="A20">
        <v>4</v>
      </c>
      <c r="B20">
        <v>0.50915895095754504</v>
      </c>
      <c r="C20">
        <v>-0.327574401475694</v>
      </c>
      <c r="E20" s="57">
        <v>0.50915900000000003</v>
      </c>
      <c r="F20" s="58">
        <v>-0.32757399999999998</v>
      </c>
      <c r="H20">
        <f t="shared" si="0"/>
        <v>-4.9042454985936956E-8</v>
      </c>
      <c r="I20">
        <f t="shared" si="0"/>
        <v>-4.014756940229347E-7</v>
      </c>
      <c r="K20">
        <v>8</v>
      </c>
      <c r="L20">
        <v>0.62053999999999998</v>
      </c>
      <c r="M20">
        <v>-0.28043000000000001</v>
      </c>
    </row>
    <row r="21" spans="1:13" ht="15" thickBot="1" x14ac:dyDescent="0.35">
      <c r="A21">
        <v>8</v>
      </c>
      <c r="B21">
        <v>0.59995122569847104</v>
      </c>
      <c r="C21">
        <v>-0.23678212673476801</v>
      </c>
      <c r="E21" s="59">
        <v>0.59995100000000001</v>
      </c>
      <c r="F21" s="61">
        <v>-0.23678199999999999</v>
      </c>
      <c r="H21">
        <f t="shared" si="0"/>
        <v>2.2569847102360541E-7</v>
      </c>
      <c r="I21">
        <f t="shared" si="0"/>
        <v>-1.2673476801339234E-7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Y89"/>
  <sheetViews>
    <sheetView topLeftCell="I1" zoomScale="115" zoomScaleNormal="115" workbookViewId="0">
      <selection activeCell="R5" sqref="R5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8" width="8.88671875" style="17"/>
    <col min="19" max="19" width="11.6640625" style="17" customWidth="1"/>
    <col min="20" max="20" width="8.88671875" style="17"/>
    <col min="21" max="21" width="9.88671875" style="17" bestFit="1" customWidth="1"/>
    <col min="22" max="22" width="18.44140625" customWidth="1"/>
    <col min="25" max="25" width="11" style="13" customWidth="1"/>
    <col min="26" max="26" width="8.88671875" style="13"/>
    <col min="27" max="27" width="9.5546875" style="8" bestFit="1" customWidth="1"/>
    <col min="28" max="28" width="23.88671875" style="8" bestFit="1" customWidth="1"/>
    <col min="29" max="29" width="8.88671875" style="8"/>
    <col min="30" max="32" width="8.88671875" style="13"/>
    <col min="36" max="36" width="17.77734375" style="13" bestFit="1" customWidth="1"/>
    <col min="37" max="38" width="8.88671875" style="13"/>
    <col min="39" max="39" width="11.21875" style="13" bestFit="1" customWidth="1"/>
    <col min="40" max="40" width="16.6640625" bestFit="1" customWidth="1"/>
    <col min="41" max="41" width="8.88671875" customWidth="1"/>
    <col min="43" max="51" width="8.88671875" style="13"/>
  </cols>
  <sheetData>
    <row r="1" spans="1:51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AA1" s="17"/>
      <c r="AB1" s="17"/>
      <c r="AC1" s="17"/>
    </row>
    <row r="2" spans="1:51" s="13" customFormat="1" x14ac:dyDescent="0.3">
      <c r="A2" s="17"/>
      <c r="B2" s="17"/>
      <c r="C2" s="17"/>
      <c r="D2" s="17"/>
      <c r="E2" s="17"/>
      <c r="F2" s="17"/>
      <c r="G2" s="17"/>
      <c r="H2" s="17"/>
      <c r="I2" s="17" t="s">
        <v>58</v>
      </c>
      <c r="J2" s="17"/>
      <c r="K2" s="17"/>
      <c r="L2" s="17" t="s">
        <v>59</v>
      </c>
      <c r="M2" s="17"/>
      <c r="N2" s="17" t="s">
        <v>58</v>
      </c>
      <c r="O2" s="17" t="s">
        <v>57</v>
      </c>
      <c r="P2" s="17" t="s">
        <v>59</v>
      </c>
      <c r="Q2" s="17"/>
      <c r="R2" s="17"/>
      <c r="S2" s="25" t="s">
        <v>56</v>
      </c>
      <c r="T2" s="17"/>
      <c r="U2" s="17"/>
      <c r="AA2" s="17"/>
      <c r="AB2" s="17"/>
      <c r="AC2" s="17"/>
    </row>
    <row r="3" spans="1:51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H3" s="17" t="s">
        <v>62</v>
      </c>
      <c r="I3" s="17" t="s">
        <v>63</v>
      </c>
      <c r="J3" s="17" t="s">
        <v>64</v>
      </c>
      <c r="S3" s="25" t="s">
        <v>44</v>
      </c>
      <c r="T3" s="25" t="s">
        <v>45</v>
      </c>
      <c r="U3" s="25" t="s">
        <v>30</v>
      </c>
      <c r="V3" s="2" t="s">
        <v>5</v>
      </c>
      <c r="W3" s="2" t="s">
        <v>6</v>
      </c>
      <c r="X3" s="2" t="s">
        <v>7</v>
      </c>
      <c r="Y3" s="13" t="s">
        <v>8</v>
      </c>
      <c r="Z3" s="13" t="s">
        <v>28</v>
      </c>
      <c r="AA3" s="6" t="s">
        <v>31</v>
      </c>
      <c r="AB3" s="6" t="s">
        <v>29</v>
      </c>
      <c r="AC3" s="6" t="s">
        <v>30</v>
      </c>
      <c r="AD3" s="13" t="s">
        <v>27</v>
      </c>
      <c r="AE3" s="13" t="s">
        <v>9</v>
      </c>
      <c r="AF3" s="13" t="s">
        <v>10</v>
      </c>
      <c r="AG3" s="4" t="s">
        <v>11</v>
      </c>
      <c r="AH3" s="4" t="s">
        <v>12</v>
      </c>
      <c r="AI3" s="4" t="s">
        <v>13</v>
      </c>
      <c r="AJ3" s="13" t="s">
        <v>14</v>
      </c>
      <c r="AK3" s="13" t="s">
        <v>15</v>
      </c>
      <c r="AL3" s="19" t="s">
        <v>16</v>
      </c>
      <c r="AM3" s="19" t="s">
        <v>17</v>
      </c>
      <c r="AN3" s="9" t="s">
        <v>32</v>
      </c>
      <c r="AO3" s="9" t="s">
        <v>12</v>
      </c>
      <c r="AP3" s="9" t="s">
        <v>13</v>
      </c>
      <c r="AR3" s="13" t="s">
        <v>18</v>
      </c>
      <c r="AS3" s="13" t="s">
        <v>19</v>
      </c>
      <c r="AT3" s="13" t="s">
        <v>20</v>
      </c>
      <c r="AU3" s="13" t="s">
        <v>21</v>
      </c>
      <c r="AV3" s="13" t="s">
        <v>22</v>
      </c>
      <c r="AW3" s="13" t="s">
        <v>23</v>
      </c>
      <c r="AX3" s="13" t="s">
        <v>24</v>
      </c>
      <c r="AY3" s="13" t="s">
        <v>25</v>
      </c>
    </row>
    <row r="4" spans="1:51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X4-AC4</f>
        <v>-4.9512172169989821E-3</v>
      </c>
      <c r="G4" s="15">
        <f>X4-AI4</f>
        <v>-3.641508477960631E-4</v>
      </c>
      <c r="H4" s="27">
        <f>S4-V4</f>
        <v>6.0864696860396528E-4</v>
      </c>
      <c r="I4" s="28">
        <f>T4-W4</f>
        <v>9.028182989001543E-5</v>
      </c>
      <c r="J4" s="29">
        <f>AVERAGE(H4:I4)</f>
        <v>3.4946439924699035E-4</v>
      </c>
      <c r="K4" s="28">
        <f>S4-AG4</f>
        <v>2.958879462999775E-6</v>
      </c>
      <c r="L4" s="28">
        <f>T4-AH4</f>
        <v>-1.2710578400909611E-7</v>
      </c>
      <c r="M4" s="29">
        <f>AVERAGE(K4:L4)</f>
        <v>1.4158868394953394E-6</v>
      </c>
      <c r="N4" s="27">
        <f>U4-X4</f>
        <v>3.660475161579857E-4</v>
      </c>
      <c r="O4" s="28">
        <f>U4-AC4</f>
        <v>-4.5851697008409964E-3</v>
      </c>
      <c r="P4" s="29">
        <f t="shared" ref="P4:P21" si="0">S4-AG4</f>
        <v>2.958879462999775E-6</v>
      </c>
      <c r="Q4" s="36">
        <f>S4-V4</f>
        <v>6.0864696860396528E-4</v>
      </c>
      <c r="R4" s="36">
        <f>T4-W4</f>
        <v>9.028182989001543E-5</v>
      </c>
      <c r="S4" s="25">
        <v>0.41836699999999999</v>
      </c>
      <c r="T4" s="25">
        <v>-0.41836699999999999</v>
      </c>
      <c r="U4" s="26">
        <v>0.59165999999999996</v>
      </c>
      <c r="V4" s="3">
        <v>0.41775835303139602</v>
      </c>
      <c r="W4" s="3">
        <v>-0.41845728182989</v>
      </c>
      <c r="X4" s="3">
        <v>0.59129395248384198</v>
      </c>
      <c r="Y4" s="15">
        <v>3.7952230000000002E-9</v>
      </c>
      <c r="Z4" s="16">
        <v>0</v>
      </c>
      <c r="AA4" s="7">
        <v>0.43343554653224398</v>
      </c>
      <c r="AB4" s="7">
        <v>-0.40944099623007901</v>
      </c>
      <c r="AC4" s="7">
        <v>0.59624516970084096</v>
      </c>
      <c r="AD4" s="15">
        <v>-3.641508477960631E-4</v>
      </c>
      <c r="AE4" s="15">
        <v>4.0188039999999997E-12</v>
      </c>
      <c r="AF4" s="15">
        <v>1</v>
      </c>
      <c r="AG4" s="5">
        <v>0.41836404112053699</v>
      </c>
      <c r="AH4" s="5">
        <v>-0.41836687289421598</v>
      </c>
      <c r="AI4" s="5">
        <v>0.59165810333163804</v>
      </c>
      <c r="AJ4" s="15">
        <v>2.8853750000000001E-5</v>
      </c>
      <c r="AK4" s="15">
        <v>1.035055E-3</v>
      </c>
      <c r="AL4" s="20">
        <v>0.41836667621661899</v>
      </c>
      <c r="AM4" s="20">
        <v>-0.41836667621661899</v>
      </c>
      <c r="AN4" s="10">
        <v>0.41836404112053699</v>
      </c>
      <c r="AO4" s="10">
        <v>-0.41836687289421598</v>
      </c>
      <c r="AP4" s="10">
        <v>0.59165810333163804</v>
      </c>
      <c r="AQ4" s="15"/>
      <c r="AR4" s="13">
        <v>16</v>
      </c>
      <c r="AS4" s="13">
        <v>1</v>
      </c>
      <c r="AT4" s="13">
        <v>1</v>
      </c>
      <c r="AU4" s="13">
        <v>2</v>
      </c>
      <c r="AV4" s="13">
        <v>0.01</v>
      </c>
      <c r="AW4" s="13">
        <v>8</v>
      </c>
      <c r="AX4" s="13">
        <v>15000</v>
      </c>
      <c r="AY4" s="13">
        <v>385.8</v>
      </c>
    </row>
    <row r="5" spans="1:51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X5-AC5</f>
        <v>-0.77723825012090308</v>
      </c>
      <c r="G5" s="15">
        <f>X5-AI5</f>
        <v>-9.5953533987058748E-5</v>
      </c>
      <c r="H5" s="30">
        <f t="shared" ref="H5:H7" si="1">S5-V5</f>
        <v>-1.3481898939898818E-4</v>
      </c>
      <c r="I5" s="15">
        <f t="shared" ref="I5:I7" si="2">T5-W5</f>
        <v>-3.0889199352901464E-4</v>
      </c>
      <c r="J5" s="31">
        <f t="shared" ref="J5:J13" si="3">AVERAGE(H5:I5)</f>
        <v>-2.2185549146400141E-4</v>
      </c>
      <c r="K5" s="15">
        <f t="shared" ref="K5:K13" si="4">S5-AG5</f>
        <v>2.5973623233976895E-5</v>
      </c>
      <c r="L5" s="15">
        <f t="shared" ref="L5:L13" si="5">T5-AH5</f>
        <v>-1.1038026666965184E-5</v>
      </c>
      <c r="M5" s="31">
        <f>AVERAGE(K5:L5)</f>
        <v>7.4677982835058554E-6</v>
      </c>
      <c r="N5" s="30">
        <f t="shared" ref="N5:N8" si="6">U5-X5</f>
        <v>1.2169043410303892E-4</v>
      </c>
      <c r="O5" s="15">
        <f t="shared" ref="O5:O8" si="7">U5-AC5</f>
        <v>-0.77711655968680005</v>
      </c>
      <c r="P5" s="31">
        <f t="shared" si="0"/>
        <v>2.5973623233976895E-5</v>
      </c>
      <c r="Q5" s="36">
        <f t="shared" ref="Q5:Q8" si="8">S5-V5</f>
        <v>-1.3481898939898818E-4</v>
      </c>
      <c r="R5" s="36">
        <f t="shared" ref="R5:R8" si="9">T5-W5</f>
        <v>-3.0889199352901464E-4</v>
      </c>
      <c r="S5" s="25">
        <v>0.41950199999999999</v>
      </c>
      <c r="T5" s="25">
        <v>-0.41723199999999999</v>
      </c>
      <c r="U5" s="26">
        <v>0.59166200000000002</v>
      </c>
      <c r="V5" s="3">
        <v>0.41963681898939897</v>
      </c>
      <c r="W5" s="3">
        <v>-0.41692310800647098</v>
      </c>
      <c r="X5" s="3">
        <v>0.59154030956589698</v>
      </c>
      <c r="Y5" s="15">
        <v>6.5112070000000004E-6</v>
      </c>
      <c r="Z5" s="16">
        <v>0.05</v>
      </c>
      <c r="AA5" s="7">
        <v>-0.848777584461895</v>
      </c>
      <c r="AB5" s="7">
        <v>-1.07383953995618</v>
      </c>
      <c r="AC5" s="7">
        <v>1.3687785596868001</v>
      </c>
      <c r="AD5" s="15">
        <v>-9.5953533987058748E-5</v>
      </c>
      <c r="AE5" s="15">
        <v>1.272908E-5</v>
      </c>
      <c r="AF5" s="15">
        <v>0.99999000000000005</v>
      </c>
      <c r="AG5" s="5">
        <v>0.41947602637676601</v>
      </c>
      <c r="AH5" s="5">
        <v>-0.41722096197333303</v>
      </c>
      <c r="AI5" s="5">
        <v>0.59163626309988404</v>
      </c>
      <c r="AJ5" s="15">
        <v>2.8197820000000001E-5</v>
      </c>
      <c r="AK5" s="15">
        <v>5.7211459999999997E-4</v>
      </c>
      <c r="AL5" s="20">
        <v>0.41836667621661899</v>
      </c>
      <c r="AM5" s="20">
        <v>-0.41836667621661899</v>
      </c>
      <c r="AN5" s="10">
        <v>0.41947602637676601</v>
      </c>
      <c r="AO5" s="10">
        <v>-0.41722096197333303</v>
      </c>
      <c r="AP5" s="10">
        <v>0.59163626309988404</v>
      </c>
      <c r="AQ5" s="15"/>
      <c r="AR5" s="13">
        <v>16</v>
      </c>
      <c r="AS5" s="13">
        <v>1</v>
      </c>
      <c r="AT5" s="13">
        <v>1</v>
      </c>
      <c r="AU5" s="13">
        <v>2</v>
      </c>
      <c r="AV5" s="13">
        <v>0.01</v>
      </c>
      <c r="AW5" s="13">
        <v>8</v>
      </c>
      <c r="AX5" s="13">
        <v>15000</v>
      </c>
      <c r="AY5" s="13">
        <v>394</v>
      </c>
    </row>
    <row r="6" spans="1:51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10">X6-AC6</f>
        <v>-0.79577384758854808</v>
      </c>
      <c r="G6" s="15">
        <f>X6-AI6</f>
        <v>-2.6636799962320712E-3</v>
      </c>
      <c r="H6" s="30">
        <f t="shared" si="1"/>
        <v>-9.7036626889901445E-4</v>
      </c>
      <c r="I6" s="15">
        <f t="shared" si="2"/>
        <v>-9.3482502212319796E-3</v>
      </c>
      <c r="J6" s="31">
        <f t="shared" si="3"/>
        <v>-5.159308245065497E-3</v>
      </c>
      <c r="K6" s="15">
        <f t="shared" si="4"/>
        <v>6.9751145884490162E-3</v>
      </c>
      <c r="L6" s="15">
        <f t="shared" si="5"/>
        <v>2.4829403544470163E-3</v>
      </c>
      <c r="M6" s="31">
        <f t="shared" ref="M6:M13" si="11">AVERAGE(K6:L6)</f>
        <v>4.7290274714480163E-3</v>
      </c>
      <c r="N6" s="30">
        <f t="shared" si="6"/>
        <v>5.8392691693980314E-3</v>
      </c>
      <c r="O6" s="15">
        <f t="shared" si="7"/>
        <v>-0.78993457841915005</v>
      </c>
      <c r="P6" s="31">
        <f t="shared" si="0"/>
        <v>6.9751145884490162E-3</v>
      </c>
      <c r="Q6" s="36">
        <f t="shared" si="8"/>
        <v>-9.7036626889901445E-4</v>
      </c>
      <c r="R6" s="36">
        <f t="shared" si="9"/>
        <v>-9.3482502212319796E-3</v>
      </c>
      <c r="S6" s="25">
        <v>0.42063600000000001</v>
      </c>
      <c r="T6" s="25">
        <v>-0.41609699999999999</v>
      </c>
      <c r="U6" s="26">
        <v>0.591669</v>
      </c>
      <c r="V6" s="3">
        <v>0.42160636626889902</v>
      </c>
      <c r="W6" s="3">
        <v>-0.40674874977876802</v>
      </c>
      <c r="X6" s="3">
        <v>0.58582973083060197</v>
      </c>
      <c r="Y6" s="15">
        <v>5.1723609999999998E-6</v>
      </c>
      <c r="Z6" s="16">
        <v>0.1</v>
      </c>
      <c r="AA6" s="7">
        <v>-0.58776712993599001</v>
      </c>
      <c r="AB6" s="7">
        <v>-1.25034325241807</v>
      </c>
      <c r="AC6" s="7">
        <v>1.38160357841915</v>
      </c>
      <c r="AD6" s="15">
        <v>-2.6636799962320712E-3</v>
      </c>
      <c r="AE6" s="15">
        <v>1.063996E-5</v>
      </c>
      <c r="AF6" s="15">
        <v>0.99999199999999999</v>
      </c>
      <c r="AG6" s="5">
        <v>0.41366088541155099</v>
      </c>
      <c r="AH6" s="5">
        <v>-0.41857994035444701</v>
      </c>
      <c r="AI6" s="5">
        <v>0.58849341082683404</v>
      </c>
      <c r="AJ6" s="15">
        <v>3.416428E-3</v>
      </c>
      <c r="AK6" s="15">
        <v>2.421707E-2</v>
      </c>
      <c r="AL6" s="20">
        <v>0.41836667621661899</v>
      </c>
      <c r="AM6" s="20">
        <v>-0.41836667621661899</v>
      </c>
      <c r="AN6" s="10">
        <v>0.41366088541155099</v>
      </c>
      <c r="AO6" s="10">
        <v>-0.41857994035444701</v>
      </c>
      <c r="AP6" s="10">
        <v>0.58849341082683404</v>
      </c>
      <c r="AQ6" s="15"/>
      <c r="AR6" s="13">
        <v>16</v>
      </c>
      <c r="AS6" s="13">
        <v>1</v>
      </c>
      <c r="AT6" s="13">
        <v>1</v>
      </c>
      <c r="AU6" s="13">
        <v>2</v>
      </c>
      <c r="AV6" s="13">
        <v>0.01</v>
      </c>
      <c r="AW6" s="13">
        <v>8</v>
      </c>
      <c r="AX6" s="13">
        <v>15000</v>
      </c>
      <c r="AY6" s="13">
        <v>385.1</v>
      </c>
    </row>
    <row r="7" spans="1:51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10"/>
        <v>-0.798465666458817</v>
      </c>
      <c r="G7" s="15">
        <f t="shared" ref="G7:G21" si="12">X7-AI7</f>
        <v>-5.2652091043003946E-4</v>
      </c>
      <c r="H7" s="30">
        <f t="shared" si="1"/>
        <v>-6.9369144795219939E-3</v>
      </c>
      <c r="I7" s="15">
        <f t="shared" si="2"/>
        <v>-2.9717685689964024E-2</v>
      </c>
      <c r="J7" s="31">
        <f t="shared" si="3"/>
        <v>-1.8327300084743009E-2</v>
      </c>
      <c r="K7" s="15">
        <f t="shared" si="4"/>
        <v>5.4026693258464986E-2</v>
      </c>
      <c r="L7" s="15">
        <f t="shared" si="5"/>
        <v>2.9532097388607015E-2</v>
      </c>
      <c r="M7" s="31">
        <f t="shared" si="11"/>
        <v>4.1779395323536E-2</v>
      </c>
      <c r="N7" s="30">
        <f t="shared" si="6"/>
        <v>1.5307888956436977E-2</v>
      </c>
      <c r="O7" s="15">
        <f t="shared" si="7"/>
        <v>-0.78315777750238003</v>
      </c>
      <c r="P7" s="31">
        <f t="shared" si="0"/>
        <v>5.4026693258464986E-2</v>
      </c>
      <c r="Q7" s="36">
        <f t="shared" si="8"/>
        <v>-6.9369144795219939E-3</v>
      </c>
      <c r="R7" s="36">
        <f t="shared" si="9"/>
        <v>-2.9717685689964024E-2</v>
      </c>
      <c r="S7" s="25">
        <v>0.42177100000000001</v>
      </c>
      <c r="T7" s="25">
        <v>-0.414962</v>
      </c>
      <c r="U7" s="26">
        <v>0.59167899999999995</v>
      </c>
      <c r="V7" s="3">
        <v>0.428707914479522</v>
      </c>
      <c r="W7" s="3">
        <v>-0.38524431431003597</v>
      </c>
      <c r="X7" s="3">
        <v>0.57637111104356298</v>
      </c>
      <c r="Y7" s="15">
        <v>7.4347189999999996E-6</v>
      </c>
      <c r="Z7" s="16">
        <v>0.15</v>
      </c>
      <c r="AA7" s="7">
        <v>-0.57345809421691596</v>
      </c>
      <c r="AB7" s="7">
        <v>-1.24952870273165</v>
      </c>
      <c r="AC7" s="7">
        <v>1.37483677750238</v>
      </c>
      <c r="AD7" s="15">
        <v>-5.2652091043003946E-4</v>
      </c>
      <c r="AE7" s="15">
        <v>1.7411469999999999E-5</v>
      </c>
      <c r="AF7" s="15">
        <v>0.99997800000000003</v>
      </c>
      <c r="AG7" s="5">
        <v>0.36774430674153502</v>
      </c>
      <c r="AH7" s="5">
        <v>-0.44449409738860701</v>
      </c>
      <c r="AI7" s="5">
        <v>0.57689763195399302</v>
      </c>
      <c r="AJ7" s="15">
        <v>2.7174750000000001E-2</v>
      </c>
      <c r="AK7" s="15">
        <v>0.1473612</v>
      </c>
      <c r="AL7" s="20">
        <v>0.41836667621661899</v>
      </c>
      <c r="AM7" s="20">
        <v>-0.41836667621661899</v>
      </c>
      <c r="AN7" s="10">
        <v>0.36774430674153502</v>
      </c>
      <c r="AO7" s="10">
        <v>-0.44449409738860701</v>
      </c>
      <c r="AP7" s="10">
        <v>0.57689763195399302</v>
      </c>
      <c r="AQ7" s="15"/>
      <c r="AR7" s="13">
        <v>16</v>
      </c>
      <c r="AS7" s="13">
        <v>1</v>
      </c>
      <c r="AT7" s="13">
        <v>1</v>
      </c>
      <c r="AU7" s="13">
        <v>2</v>
      </c>
      <c r="AV7" s="13">
        <v>0.01</v>
      </c>
      <c r="AW7" s="13">
        <v>8</v>
      </c>
      <c r="AX7" s="13">
        <v>15000</v>
      </c>
      <c r="AY7" s="13">
        <v>384.8</v>
      </c>
    </row>
    <row r="8" spans="1:51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10"/>
        <v>-0.88494332936368403</v>
      </c>
      <c r="G8" s="15">
        <f t="shared" si="12"/>
        <v>-8.4027863569863914E-2</v>
      </c>
      <c r="H8" s="30">
        <f>S8+V8</f>
        <v>0.85387876610749602</v>
      </c>
      <c r="I8" s="15">
        <f>T8+W8</f>
        <v>-0.78154566454008101</v>
      </c>
      <c r="J8" s="31">
        <f t="shared" si="3"/>
        <v>3.6166550783707507E-2</v>
      </c>
      <c r="K8" s="15">
        <f t="shared" si="4"/>
        <v>-0.14482747902228199</v>
      </c>
      <c r="L8" s="15">
        <f t="shared" si="5"/>
        <v>-9.6175809142145019E-2</v>
      </c>
      <c r="M8" s="31">
        <f t="shared" si="11"/>
        <v>-0.1205016440822135</v>
      </c>
      <c r="N8" s="30">
        <f t="shared" si="6"/>
        <v>2.5166499942423926E-2</v>
      </c>
      <c r="O8" s="15">
        <f t="shared" si="7"/>
        <v>-0.8597768294212601</v>
      </c>
      <c r="P8" s="31">
        <f t="shared" si="0"/>
        <v>-0.14482747902228199</v>
      </c>
      <c r="Q8" s="36">
        <f t="shared" si="8"/>
        <v>-8.0667661074960151E-3</v>
      </c>
      <c r="R8" s="36">
        <f t="shared" si="9"/>
        <v>-4.6108335459918992E-2</v>
      </c>
      <c r="S8" s="25">
        <v>0.422906</v>
      </c>
      <c r="T8" s="25">
        <v>-0.413827</v>
      </c>
      <c r="U8" s="26">
        <v>0.59169499999999997</v>
      </c>
      <c r="V8" s="3">
        <v>0.43097276610749602</v>
      </c>
      <c r="W8" s="3">
        <v>-0.36771866454008101</v>
      </c>
      <c r="X8" s="3">
        <v>0.56652850005757605</v>
      </c>
      <c r="Y8" s="15">
        <v>9.2594210000000006E-6</v>
      </c>
      <c r="Z8" s="16">
        <v>0.2</v>
      </c>
      <c r="AA8" s="7">
        <v>1.3767820939667501</v>
      </c>
      <c r="AB8" s="7">
        <v>0.45961020151430398</v>
      </c>
      <c r="AC8" s="7">
        <v>1.4514718294212601</v>
      </c>
      <c r="AD8" s="15">
        <v>-8.4027863569863914E-2</v>
      </c>
      <c r="AE8" s="15">
        <v>2.6227680000000002E-5</v>
      </c>
      <c r="AF8" s="15">
        <v>0.99996600000000002</v>
      </c>
      <c r="AG8" s="5">
        <v>0.56773347902228199</v>
      </c>
      <c r="AH8" s="5">
        <v>-0.31765119085785498</v>
      </c>
      <c r="AI8" s="5">
        <v>0.65055636362743996</v>
      </c>
      <c r="AJ8" s="15">
        <v>7.1912489999999996E-2</v>
      </c>
      <c r="AK8" s="15">
        <v>1.86188</v>
      </c>
      <c r="AL8" s="20">
        <v>0.41836667621661899</v>
      </c>
      <c r="AM8" s="20">
        <v>-0.41836667621661899</v>
      </c>
      <c r="AN8" s="10">
        <v>0.56773347902228199</v>
      </c>
      <c r="AO8" s="10">
        <v>-0.31765119085785498</v>
      </c>
      <c r="AP8" s="10">
        <v>0.65055636362743996</v>
      </c>
      <c r="AQ8" s="15"/>
      <c r="AR8" s="13">
        <v>16</v>
      </c>
      <c r="AS8" s="13">
        <v>1</v>
      </c>
      <c r="AT8" s="13">
        <v>1</v>
      </c>
      <c r="AU8" s="13">
        <v>2</v>
      </c>
      <c r="AV8" s="13">
        <v>0.01</v>
      </c>
      <c r="AW8" s="13">
        <v>8</v>
      </c>
      <c r="AX8" s="13">
        <v>15000</v>
      </c>
      <c r="AY8" s="13">
        <v>444.4</v>
      </c>
    </row>
    <row r="9" spans="1:51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10"/>
        <v>-0.78908072051528999</v>
      </c>
      <c r="G9" s="15">
        <f t="shared" si="12"/>
        <v>-0.15643568404633801</v>
      </c>
      <c r="H9" s="30">
        <f>S9-V9</f>
        <v>-4.3133930512679886E-3</v>
      </c>
      <c r="I9" s="15">
        <f>T9-W9</f>
        <v>-6.9152274757150023E-2</v>
      </c>
      <c r="J9" s="31">
        <f t="shared" si="3"/>
        <v>-3.6732833904209006E-2</v>
      </c>
      <c r="K9" s="15">
        <f t="shared" si="4"/>
        <v>0.36277871944921547</v>
      </c>
      <c r="L9" s="15">
        <f t="shared" si="5"/>
        <v>0.29138891860893296</v>
      </c>
      <c r="M9" s="31">
        <f t="shared" si="11"/>
        <v>0.32708381902907424</v>
      </c>
      <c r="N9" s="30">
        <f t="shared" ref="N9:N21" si="13">U9-X9</f>
        <v>4.2463768102708022E-2</v>
      </c>
      <c r="O9" s="15">
        <f t="shared" ref="O9:O21" si="14">U9-AC9</f>
        <v>-0.74661695241258197</v>
      </c>
      <c r="P9" s="31">
        <f t="shared" si="0"/>
        <v>0.36277871944921547</v>
      </c>
      <c r="Q9" s="36">
        <f>S9-V9</f>
        <v>-4.3133930512679886E-3</v>
      </c>
      <c r="R9" s="36">
        <f>T9-W9</f>
        <v>-6.9152274757150023E-2</v>
      </c>
      <c r="S9">
        <v>0.42517609682218899</v>
      </c>
      <c r="T9">
        <v>-0.411557255611051</v>
      </c>
      <c r="U9">
        <v>0.59173819207065803</v>
      </c>
      <c r="V9" s="3">
        <v>0.42948948987345698</v>
      </c>
      <c r="W9" s="3">
        <v>-0.34240498085390098</v>
      </c>
      <c r="X9" s="3">
        <v>0.54927442396795001</v>
      </c>
      <c r="Y9" s="15">
        <v>1.260662E-5</v>
      </c>
      <c r="Z9" s="16">
        <v>0.3</v>
      </c>
      <c r="AA9" s="7">
        <v>-0.51319640661020205</v>
      </c>
      <c r="AB9" s="7">
        <v>-1.23605175498728</v>
      </c>
      <c r="AC9" s="7">
        <v>1.33835514448324</v>
      </c>
      <c r="AD9" s="15">
        <v>-0.15643568404633801</v>
      </c>
      <c r="AE9" s="15">
        <v>4.4370460000000002E-5</v>
      </c>
      <c r="AF9" s="15">
        <v>0.99992700000000001</v>
      </c>
      <c r="AG9" s="5">
        <v>6.2397377372973503E-2</v>
      </c>
      <c r="AH9" s="5">
        <v>-0.70294617421998395</v>
      </c>
      <c r="AI9" s="5">
        <v>0.70571010801428802</v>
      </c>
      <c r="AJ9" s="15">
        <v>0.1634166</v>
      </c>
      <c r="AK9" s="15">
        <v>0.7291029</v>
      </c>
      <c r="AL9" s="20">
        <v>0.41836667621661899</v>
      </c>
      <c r="AM9" s="20">
        <v>-0.41836667621661899</v>
      </c>
      <c r="AN9" s="10">
        <v>6.2397377372973503E-2</v>
      </c>
      <c r="AO9" s="10">
        <v>-0.70294617421998395</v>
      </c>
      <c r="AP9" s="10">
        <v>0.70571010801428802</v>
      </c>
      <c r="AQ9" s="15"/>
      <c r="AR9" s="13">
        <v>16</v>
      </c>
      <c r="AS9" s="13">
        <v>1</v>
      </c>
      <c r="AT9" s="13">
        <v>1</v>
      </c>
      <c r="AU9" s="13">
        <v>2</v>
      </c>
      <c r="AV9" s="13">
        <v>0.01</v>
      </c>
      <c r="AW9" s="13">
        <v>8</v>
      </c>
      <c r="AX9" s="13">
        <v>15000</v>
      </c>
      <c r="AY9" s="13">
        <v>506.8</v>
      </c>
    </row>
    <row r="10" spans="1:51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10"/>
        <v>-1.3594691812391981</v>
      </c>
      <c r="G10" s="15">
        <f t="shared" si="12"/>
        <v>-0.76886848988379797</v>
      </c>
      <c r="H10" s="30">
        <f t="shared" ref="H10:H13" si="15">S10-V10</f>
        <v>-5.2667206278559919E-3</v>
      </c>
      <c r="I10" s="15">
        <f t="shared" ref="I10:I13" si="16">T10-W10</f>
        <v>-8.6629649314890977E-2</v>
      </c>
      <c r="J10" s="31">
        <f t="shared" si="3"/>
        <v>-4.5948184971373485E-2</v>
      </c>
      <c r="K10" s="15">
        <f t="shared" si="4"/>
        <v>-0.47763406431617295</v>
      </c>
      <c r="L10" s="15">
        <f t="shared" si="5"/>
        <v>0.53588806350745</v>
      </c>
      <c r="M10" s="31">
        <f t="shared" si="11"/>
        <v>2.9126999595638525E-2</v>
      </c>
      <c r="N10" s="30">
        <f t="shared" si="13"/>
        <v>5.2032268018549988E-2</v>
      </c>
      <c r="O10" s="15">
        <f t="shared" si="14"/>
        <v>-1.307436913220648</v>
      </c>
      <c r="P10" s="31">
        <f t="shared" si="0"/>
        <v>-0.47763406431617295</v>
      </c>
      <c r="Q10" s="36">
        <f t="shared" ref="Q10" si="17">S10-V10</f>
        <v>-5.2667206278559919E-3</v>
      </c>
      <c r="R10" s="36">
        <f t="shared" ref="R10" si="18">T10-W10</f>
        <v>-8.6629649314890977E-2</v>
      </c>
      <c r="S10">
        <v>0.427445903690712</v>
      </c>
      <c r="T10">
        <v>-0.40928744874252798</v>
      </c>
      <c r="U10">
        <v>0.59179913507890203</v>
      </c>
      <c r="V10" s="3">
        <v>0.432712624318568</v>
      </c>
      <c r="W10" s="3">
        <v>-0.322657799427637</v>
      </c>
      <c r="X10" s="3">
        <v>0.53976686706035204</v>
      </c>
      <c r="Y10" s="15">
        <v>1.0709689999999999E-5</v>
      </c>
      <c r="Z10" s="16">
        <v>0.4</v>
      </c>
      <c r="AA10" s="7">
        <v>1.3477248477236099</v>
      </c>
      <c r="AB10" s="7">
        <v>-1.33818358306656</v>
      </c>
      <c r="AC10" s="7">
        <v>1.8992360482995501</v>
      </c>
      <c r="AD10" s="15">
        <v>-0.76886848988379797</v>
      </c>
      <c r="AE10" s="15">
        <v>5.9196040000000003E-5</v>
      </c>
      <c r="AF10" s="15">
        <v>0.99996499999999999</v>
      </c>
      <c r="AG10" s="5">
        <v>0.90507996800688495</v>
      </c>
      <c r="AH10" s="5">
        <v>-0.94517551224997798</v>
      </c>
      <c r="AI10" s="5">
        <v>1.30863535694415</v>
      </c>
      <c r="AJ10" s="15">
        <v>0.2090562</v>
      </c>
      <c r="AK10" s="15">
        <v>0.59714639999999997</v>
      </c>
      <c r="AL10" s="20">
        <v>0.41836667621661899</v>
      </c>
      <c r="AM10" s="20">
        <v>-0.41836667621661899</v>
      </c>
      <c r="AN10" s="10">
        <v>0.90507996800688495</v>
      </c>
      <c r="AO10" s="10">
        <v>-0.94517551224997798</v>
      </c>
      <c r="AP10" s="10">
        <v>1.30863535694415</v>
      </c>
      <c r="AQ10" s="15"/>
      <c r="AR10" s="13">
        <v>16</v>
      </c>
      <c r="AS10" s="13">
        <v>1</v>
      </c>
      <c r="AT10" s="13">
        <v>1</v>
      </c>
      <c r="AU10" s="13">
        <v>2</v>
      </c>
      <c r="AV10" s="13">
        <v>0.01</v>
      </c>
      <c r="AW10" s="13">
        <v>8</v>
      </c>
      <c r="AX10" s="13">
        <v>15000</v>
      </c>
      <c r="AY10" s="13">
        <v>538.4</v>
      </c>
    </row>
    <row r="11" spans="1:51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10"/>
        <v>-9.2164085226057013E-2</v>
      </c>
      <c r="G11" s="15">
        <f t="shared" si="12"/>
        <v>0.20171241190377698</v>
      </c>
      <c r="H11" s="30">
        <f>S11+V11</f>
        <v>0.87107448655430808</v>
      </c>
      <c r="I11" s="15">
        <f>T11+W11</f>
        <v>-0.75453065431637101</v>
      </c>
      <c r="J11" s="31">
        <f t="shared" si="3"/>
        <v>5.8271916118968536E-2</v>
      </c>
      <c r="K11" s="15">
        <f t="shared" si="4"/>
        <v>0.78890325657994609</v>
      </c>
      <c r="L11" s="15">
        <f t="shared" si="5"/>
        <v>-0.43174098588923021</v>
      </c>
      <c r="M11" s="31">
        <f t="shared" si="11"/>
        <v>0.17858113534535794</v>
      </c>
      <c r="N11" s="30">
        <f t="shared" si="13"/>
        <v>3.0127658756357034E-2</v>
      </c>
      <c r="O11" s="15">
        <f t="shared" si="14"/>
        <v>-6.2036426469699979E-2</v>
      </c>
      <c r="P11" s="31">
        <f t="shared" si="0"/>
        <v>0.78890325657994609</v>
      </c>
      <c r="Q11" s="36">
        <f>S11-V11</f>
        <v>-1.1643065435837985E-2</v>
      </c>
      <c r="R11" s="36">
        <f>T11-W11</f>
        <v>-5.9504629431639033E-2</v>
      </c>
      <c r="S11">
        <v>0.42971571055923502</v>
      </c>
      <c r="T11">
        <v>-0.40701764187400502</v>
      </c>
      <c r="U11">
        <v>0.59187748115476002</v>
      </c>
      <c r="V11" s="3">
        <v>0.441358775995073</v>
      </c>
      <c r="W11" s="3">
        <v>-0.34751301244236599</v>
      </c>
      <c r="X11" s="3">
        <v>0.56174982239840299</v>
      </c>
      <c r="Y11" s="15">
        <v>1.116719E-5</v>
      </c>
      <c r="Z11" s="16">
        <v>0.5</v>
      </c>
      <c r="AA11" s="7">
        <v>-0.63414752803858399</v>
      </c>
      <c r="AB11" s="7">
        <v>0.159562875592174</v>
      </c>
      <c r="AC11" s="7">
        <v>0.65391390762446</v>
      </c>
      <c r="AD11" s="15">
        <v>0.20171241190377698</v>
      </c>
      <c r="AE11" s="15">
        <v>5.5661439999999998E-5</v>
      </c>
      <c r="AF11" s="15">
        <v>0.99996399999999996</v>
      </c>
      <c r="AG11" s="5">
        <v>-0.35918754602071101</v>
      </c>
      <c r="AH11" s="5">
        <v>2.4723344015225201E-2</v>
      </c>
      <c r="AI11" s="5">
        <v>0.36003741049462601</v>
      </c>
      <c r="AJ11" s="15">
        <v>0.21294950000000001</v>
      </c>
      <c r="AK11" s="15">
        <v>0.92513860000000003</v>
      </c>
      <c r="AL11" s="20">
        <v>0.41836667621661899</v>
      </c>
      <c r="AM11" s="20">
        <v>-0.41836667621661899</v>
      </c>
      <c r="AN11" s="10">
        <v>-0.35918754602071101</v>
      </c>
      <c r="AO11" s="10">
        <v>2.4723344015225201E-2</v>
      </c>
      <c r="AP11" s="10">
        <v>0.36003741049462601</v>
      </c>
      <c r="AQ11" s="15"/>
      <c r="AR11" s="13">
        <v>16</v>
      </c>
      <c r="AS11" s="13">
        <v>1</v>
      </c>
      <c r="AT11" s="13">
        <v>1</v>
      </c>
      <c r="AU11" s="13">
        <v>2</v>
      </c>
      <c r="AV11" s="13">
        <v>0.01</v>
      </c>
      <c r="AW11" s="13">
        <v>8</v>
      </c>
      <c r="AX11" s="13">
        <v>15000</v>
      </c>
      <c r="AY11" s="13">
        <v>561.20000000000005</v>
      </c>
    </row>
    <row r="12" spans="1:51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10"/>
        <v>-0.84354539986524113</v>
      </c>
      <c r="G12" s="15">
        <f t="shared" si="12"/>
        <v>-0.68426980158545092</v>
      </c>
      <c r="H12" s="30">
        <f>S12+V12</f>
        <v>0.86504763238912996</v>
      </c>
      <c r="I12" s="15">
        <f>T12+W12</f>
        <v>-0.68273136885670693</v>
      </c>
      <c r="J12" s="31">
        <f t="shared" si="3"/>
        <v>9.1158131766211514E-2</v>
      </c>
      <c r="K12" s="15">
        <f t="shared" si="4"/>
        <v>-0.72763073535445111</v>
      </c>
      <c r="L12" s="15">
        <f t="shared" si="5"/>
        <v>-0.70903287522796798</v>
      </c>
      <c r="M12" s="31">
        <f t="shared" si="11"/>
        <v>-0.71833180529120955</v>
      </c>
      <c r="N12" s="30">
        <f t="shared" si="13"/>
        <v>7.736887001860604E-2</v>
      </c>
      <c r="O12" s="15">
        <f t="shared" si="14"/>
        <v>-0.76617652984663509</v>
      </c>
      <c r="P12" s="31">
        <f t="shared" si="0"/>
        <v>-0.72763073535445111</v>
      </c>
      <c r="Q12" s="36">
        <f t="shared" ref="Q12:Q13" si="19">S12-V12</f>
        <v>-1.0765975336120004E-3</v>
      </c>
      <c r="R12" s="36">
        <f t="shared" ref="R12:R13" si="20">T12-W12</f>
        <v>-0.12676430115425702</v>
      </c>
      <c r="S12">
        <v>0.43198551742775898</v>
      </c>
      <c r="T12">
        <v>-0.404747835005482</v>
      </c>
      <c r="U12">
        <v>0.59197322338848501</v>
      </c>
      <c r="V12" s="3">
        <v>0.43306211496137098</v>
      </c>
      <c r="W12" s="3">
        <v>-0.27798353385122498</v>
      </c>
      <c r="X12" s="3">
        <v>0.51460435336987898</v>
      </c>
      <c r="Y12" s="15">
        <v>1.134407E-5</v>
      </c>
      <c r="Z12" s="16">
        <v>0.6</v>
      </c>
      <c r="AA12" s="7">
        <v>1.29884440994618</v>
      </c>
      <c r="AB12" s="7">
        <v>0.39695585518314602</v>
      </c>
      <c r="AC12" s="7">
        <v>1.3581497532351201</v>
      </c>
      <c r="AD12" s="15">
        <v>-0.68426980158545092</v>
      </c>
      <c r="AE12" s="15">
        <v>4.9417360000000003E-5</v>
      </c>
      <c r="AF12" s="15">
        <v>0.99993200000000004</v>
      </c>
      <c r="AG12" s="5">
        <v>1.15961625278221</v>
      </c>
      <c r="AH12" s="5">
        <v>0.30428504022248598</v>
      </c>
      <c r="AI12" s="5">
        <v>1.1988741549553299</v>
      </c>
      <c r="AJ12" s="15">
        <v>0.19559570000000001</v>
      </c>
      <c r="AK12" s="15">
        <v>1.328659</v>
      </c>
      <c r="AL12" s="20">
        <v>0.41836667621661899</v>
      </c>
      <c r="AM12" s="20">
        <v>-0.41836667621661899</v>
      </c>
      <c r="AN12" s="10">
        <v>1.15961625278221</v>
      </c>
      <c r="AO12" s="10">
        <v>0.30428504022248598</v>
      </c>
      <c r="AP12" s="10">
        <v>1.1988741549553299</v>
      </c>
      <c r="AQ12" s="15"/>
      <c r="AR12" s="13">
        <v>16</v>
      </c>
      <c r="AS12" s="13">
        <v>1</v>
      </c>
      <c r="AT12" s="13">
        <v>1</v>
      </c>
      <c r="AU12" s="13">
        <v>2</v>
      </c>
      <c r="AV12" s="13">
        <v>0.01</v>
      </c>
      <c r="AW12" s="13">
        <v>8</v>
      </c>
      <c r="AX12" s="13">
        <v>15000</v>
      </c>
      <c r="AY12" s="13">
        <v>564.4</v>
      </c>
    </row>
    <row r="13" spans="1:51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10"/>
        <v>-1.4145697130045529</v>
      </c>
      <c r="G13" s="15">
        <f t="shared" si="12"/>
        <v>-1.1659008059386928</v>
      </c>
      <c r="H13" s="32">
        <f t="shared" si="15"/>
        <v>5.2653408476490138E-3</v>
      </c>
      <c r="I13" s="33">
        <f t="shared" si="16"/>
        <v>-0.12426644537632198</v>
      </c>
      <c r="J13" s="34">
        <f t="shared" si="3"/>
        <v>-5.9500552264336481E-2</v>
      </c>
      <c r="K13" s="33">
        <f t="shared" si="4"/>
        <v>-0.91896404012691801</v>
      </c>
      <c r="L13" s="33">
        <f t="shared" si="5"/>
        <v>0.58839072757685906</v>
      </c>
      <c r="M13" s="34">
        <f t="shared" si="11"/>
        <v>-0.16528665627502948</v>
      </c>
      <c r="N13" s="30">
        <f t="shared" si="13"/>
        <v>8.0780094156347015E-2</v>
      </c>
      <c r="O13" s="15">
        <f t="shared" si="14"/>
        <v>-1.3337896188482059</v>
      </c>
      <c r="P13" s="31">
        <f t="shared" si="0"/>
        <v>-0.91896404012691801</v>
      </c>
      <c r="Q13" s="36">
        <f t="shared" si="19"/>
        <v>5.2653408476490138E-3</v>
      </c>
      <c r="R13" s="36">
        <f t="shared" si="20"/>
        <v>-0.12426644537632198</v>
      </c>
      <c r="S13">
        <v>0.434255324296282</v>
      </c>
      <c r="T13">
        <v>-0.40247802813695999</v>
      </c>
      <c r="U13">
        <v>0.59208635334103399</v>
      </c>
      <c r="V13" s="3">
        <v>0.42898998344863298</v>
      </c>
      <c r="W13" s="3">
        <v>-0.27821158276063801</v>
      </c>
      <c r="X13" s="3">
        <v>0.51130625918468697</v>
      </c>
      <c r="Y13" s="15">
        <v>1.3134060000000001E-5</v>
      </c>
      <c r="Z13" s="16">
        <v>0.7</v>
      </c>
      <c r="AA13" s="7">
        <v>1.47819152095449</v>
      </c>
      <c r="AB13" s="7">
        <v>-1.2344829231844801</v>
      </c>
      <c r="AC13" s="7">
        <v>1.92587597218924</v>
      </c>
      <c r="AD13" s="15">
        <v>-1.1659008059386928</v>
      </c>
      <c r="AE13" s="15">
        <v>6.0528790000000002E-5</v>
      </c>
      <c r="AF13" s="15">
        <v>0.99991200000000002</v>
      </c>
      <c r="AG13" s="5">
        <v>1.3532193644232</v>
      </c>
      <c r="AH13" s="5">
        <v>-0.99086875571381905</v>
      </c>
      <c r="AI13" s="5">
        <v>1.6772070651233799</v>
      </c>
      <c r="AJ13" s="15">
        <v>0.17096130000000001</v>
      </c>
      <c r="AK13" s="15">
        <v>0.69584840000000003</v>
      </c>
      <c r="AL13" s="20">
        <v>0.41836667621661899</v>
      </c>
      <c r="AM13" s="20">
        <v>-0.41836667621661899</v>
      </c>
      <c r="AN13" s="10">
        <v>1.3532193644232</v>
      </c>
      <c r="AO13" s="10">
        <v>-0.99086875571381905</v>
      </c>
      <c r="AP13" s="10">
        <v>1.6772070651233799</v>
      </c>
      <c r="AQ13" s="15"/>
      <c r="AR13" s="13">
        <v>16</v>
      </c>
      <c r="AS13" s="13">
        <v>1</v>
      </c>
      <c r="AT13" s="13">
        <v>1</v>
      </c>
      <c r="AU13" s="13">
        <v>2</v>
      </c>
      <c r="AV13" s="13">
        <v>0.01</v>
      </c>
      <c r="AW13" s="13">
        <v>8</v>
      </c>
      <c r="AX13" s="13">
        <v>15000</v>
      </c>
      <c r="AY13" s="13">
        <v>588</v>
      </c>
    </row>
    <row r="14" spans="1:51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10"/>
        <v>-1.5429140289728069</v>
      </c>
      <c r="G14" s="15">
        <f t="shared" si="12"/>
        <v>-1.1908294650063769</v>
      </c>
      <c r="H14" s="15"/>
      <c r="I14" s="15"/>
      <c r="J14" s="15"/>
      <c r="K14" s="15"/>
      <c r="L14" s="15"/>
      <c r="M14" s="15"/>
      <c r="N14" s="30">
        <f t="shared" si="13"/>
        <v>0.18172808884532604</v>
      </c>
      <c r="O14" s="15">
        <f t="shared" si="14"/>
        <v>-1.3611859401274811</v>
      </c>
      <c r="P14" s="31">
        <f t="shared" si="0"/>
        <v>1.0560073451687024E-2</v>
      </c>
      <c r="Q14" s="15"/>
      <c r="R14" s="15"/>
      <c r="S14">
        <v>0.43652513116480501</v>
      </c>
      <c r="T14">
        <v>-0.40020822126843703</v>
      </c>
      <c r="U14">
        <v>0.59221686104778903</v>
      </c>
      <c r="V14" s="3">
        <v>0.40284725419550899</v>
      </c>
      <c r="W14" s="3">
        <v>-7.8836044366930799E-2</v>
      </c>
      <c r="X14" s="3">
        <v>0.41048877220246299</v>
      </c>
      <c r="Y14" s="15">
        <v>1.322406E-5</v>
      </c>
      <c r="Z14" s="16">
        <v>0.8</v>
      </c>
      <c r="AA14" s="7">
        <v>0.36500845508625501</v>
      </c>
      <c r="AB14" s="7">
        <v>-1.9189974808099499</v>
      </c>
      <c r="AC14" s="7">
        <v>1.95340280117527</v>
      </c>
      <c r="AD14" s="15">
        <v>-1.1908294650063769</v>
      </c>
      <c r="AE14" s="15">
        <v>1.054128E-4</v>
      </c>
      <c r="AF14" s="15">
        <v>0.99988500000000002</v>
      </c>
      <c r="AG14" s="5">
        <v>0.42596505771311799</v>
      </c>
      <c r="AH14" s="5">
        <v>-1.5436236155310299</v>
      </c>
      <c r="AI14" s="5">
        <v>1.6013182372088399</v>
      </c>
      <c r="AJ14" s="15">
        <v>0.14611350000000001</v>
      </c>
      <c r="AK14" s="15">
        <v>0.91485249999999996</v>
      </c>
      <c r="AL14" s="20">
        <v>0.41836667621661899</v>
      </c>
      <c r="AM14" s="20">
        <v>-0.41836667621661899</v>
      </c>
      <c r="AN14" s="10">
        <v>0.42596505771311799</v>
      </c>
      <c r="AO14" s="10">
        <v>-1.5436236155310299</v>
      </c>
      <c r="AP14" s="10">
        <v>1.6013182372088399</v>
      </c>
      <c r="AQ14" s="15"/>
      <c r="AR14" s="13">
        <v>16</v>
      </c>
      <c r="AS14" s="13">
        <v>1</v>
      </c>
      <c r="AT14" s="13">
        <v>1</v>
      </c>
      <c r="AU14" s="13">
        <v>2</v>
      </c>
      <c r="AV14" s="13">
        <v>0.01</v>
      </c>
      <c r="AW14" s="13">
        <v>8</v>
      </c>
      <c r="AX14" s="13">
        <v>15000</v>
      </c>
      <c r="AY14" s="13">
        <v>582.9</v>
      </c>
    </row>
    <row r="15" spans="1:51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10"/>
        <v>-1.166235658952806</v>
      </c>
      <c r="G15" s="15">
        <f t="shared" si="12"/>
        <v>-0.75154478443724593</v>
      </c>
      <c r="H15" s="15"/>
      <c r="I15" s="15"/>
      <c r="J15" s="15"/>
      <c r="K15" s="15"/>
      <c r="L15" s="15"/>
      <c r="M15" s="15"/>
      <c r="N15" s="30">
        <f t="shared" si="13"/>
        <v>5.451557479979896E-2</v>
      </c>
      <c r="O15" s="15">
        <f t="shared" si="14"/>
        <v>-1.1117200841530068</v>
      </c>
      <c r="P15" s="31">
        <f t="shared" si="0"/>
        <v>0.84393645245891991</v>
      </c>
      <c r="Q15" s="15"/>
      <c r="R15" s="15"/>
      <c r="S15">
        <v>0.43879493803332797</v>
      </c>
      <c r="T15">
        <v>-0.39793841439991401</v>
      </c>
      <c r="U15">
        <v>0.59236473502293296</v>
      </c>
      <c r="V15" s="3">
        <v>0.44753086447989698</v>
      </c>
      <c r="W15" s="3">
        <v>-0.29832506513969997</v>
      </c>
      <c r="X15" s="3">
        <v>0.537849160223134</v>
      </c>
      <c r="Y15" s="15">
        <v>2.0992099999999998E-5</v>
      </c>
      <c r="Z15" s="16">
        <v>0.9</v>
      </c>
      <c r="AA15" s="7">
        <v>-1.09647851053595</v>
      </c>
      <c r="AB15" s="7">
        <v>-1.30446922036466</v>
      </c>
      <c r="AC15" s="7">
        <v>1.7040848191759399</v>
      </c>
      <c r="AD15" s="15">
        <v>-0.75154478443724593</v>
      </c>
      <c r="AE15" s="15">
        <v>2.008685E-4</v>
      </c>
      <c r="AF15" s="15">
        <v>0.99987599999999999</v>
      </c>
      <c r="AG15" s="5">
        <v>-0.40514151442559199</v>
      </c>
      <c r="AH15" s="5">
        <v>-1.22409031440323</v>
      </c>
      <c r="AI15" s="5">
        <v>1.2893939446603799</v>
      </c>
      <c r="AJ15" s="15">
        <v>0.12389749999999999</v>
      </c>
      <c r="AK15" s="15">
        <v>1.181179</v>
      </c>
      <c r="AL15" s="20">
        <v>0.41836667621661899</v>
      </c>
      <c r="AM15" s="20">
        <v>-0.41836667621661899</v>
      </c>
      <c r="AN15" s="10">
        <v>-0.40514151442559199</v>
      </c>
      <c r="AO15" s="10">
        <v>-1.22409031440323</v>
      </c>
      <c r="AP15" s="10">
        <v>1.2893939446603799</v>
      </c>
      <c r="AQ15" s="15"/>
      <c r="AR15" s="13">
        <v>16</v>
      </c>
      <c r="AS15" s="13">
        <v>1</v>
      </c>
      <c r="AT15" s="13">
        <v>1</v>
      </c>
      <c r="AU15" s="13">
        <v>2</v>
      </c>
      <c r="AV15" s="13">
        <v>0.01</v>
      </c>
      <c r="AW15" s="13">
        <v>8</v>
      </c>
      <c r="AX15" s="13">
        <v>15000</v>
      </c>
      <c r="AY15" s="13">
        <v>587.9</v>
      </c>
    </row>
    <row r="16" spans="1:51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10"/>
        <v>-0.72293426116734394</v>
      </c>
      <c r="G16" s="15">
        <f t="shared" si="12"/>
        <v>-0.51616790447968208</v>
      </c>
      <c r="H16" s="15"/>
      <c r="I16" s="15"/>
      <c r="J16" s="15"/>
      <c r="K16" s="15"/>
      <c r="L16" s="15"/>
      <c r="M16" s="15"/>
      <c r="N16" s="30">
        <f t="shared" si="13"/>
        <v>0.16305248967747893</v>
      </c>
      <c r="O16" s="15">
        <f t="shared" si="14"/>
        <v>-0.55988177148986507</v>
      </c>
      <c r="P16" s="31">
        <f t="shared" si="0"/>
        <v>1.194906694961106</v>
      </c>
      <c r="Q16" s="15"/>
      <c r="R16" s="15"/>
      <c r="S16">
        <v>0.44106474490185099</v>
      </c>
      <c r="T16">
        <v>-0.39566860753139099</v>
      </c>
      <c r="U16">
        <v>0.59252996226449495</v>
      </c>
      <c r="V16" s="3">
        <v>0.38875603774941703</v>
      </c>
      <c r="W16" s="3">
        <v>-0.18253668829335301</v>
      </c>
      <c r="X16" s="3">
        <v>0.42947747258701602</v>
      </c>
      <c r="Y16" s="15">
        <v>1.370807E-5</v>
      </c>
      <c r="Z16" s="16">
        <v>1</v>
      </c>
      <c r="AA16" s="7">
        <v>0.23895537712982301</v>
      </c>
      <c r="AB16" s="7">
        <v>-1.1273655715141699</v>
      </c>
      <c r="AC16" s="7">
        <v>1.15241173375436</v>
      </c>
      <c r="AD16" s="15">
        <v>-0.51616790447968208</v>
      </c>
      <c r="AE16" s="15">
        <v>1.005259E-4</v>
      </c>
      <c r="AF16" s="15">
        <v>0.99990699999999999</v>
      </c>
      <c r="AG16" s="5">
        <v>-0.75384195005925503</v>
      </c>
      <c r="AH16" s="5">
        <v>-0.57093562990802804</v>
      </c>
      <c r="AI16" s="5">
        <v>0.94564537706669805</v>
      </c>
      <c r="AJ16" s="15">
        <v>0.1050461</v>
      </c>
      <c r="AK16" s="15">
        <v>1.276173</v>
      </c>
      <c r="AL16" s="20">
        <v>0.41836667621661899</v>
      </c>
      <c r="AM16" s="20">
        <v>-0.41836667621661899</v>
      </c>
      <c r="AN16" s="10">
        <v>-0.75384195005925503</v>
      </c>
      <c r="AO16" s="10">
        <v>-0.57093562990802804</v>
      </c>
      <c r="AP16" s="10">
        <v>0.94564537706669805</v>
      </c>
      <c r="AQ16" s="15"/>
      <c r="AR16" s="13">
        <v>16</v>
      </c>
      <c r="AS16" s="13">
        <v>1</v>
      </c>
      <c r="AT16" s="13">
        <v>1</v>
      </c>
      <c r="AU16" s="13">
        <v>2</v>
      </c>
      <c r="AV16" s="13">
        <v>0.01</v>
      </c>
      <c r="AW16" s="13">
        <v>8</v>
      </c>
      <c r="AX16" s="13">
        <v>15000</v>
      </c>
      <c r="AY16" s="13">
        <v>594.29999999999995</v>
      </c>
    </row>
    <row r="17" spans="1:51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10"/>
        <v>-0.19082299014612497</v>
      </c>
      <c r="G17" s="15">
        <f t="shared" si="12"/>
        <v>-0.20263556713091696</v>
      </c>
      <c r="H17" s="15"/>
      <c r="I17" s="15"/>
      <c r="J17" s="15"/>
      <c r="K17" s="15"/>
      <c r="L17" s="15"/>
      <c r="M17" s="15"/>
      <c r="N17" s="30">
        <f t="shared" si="13"/>
        <v>9.329743291963305E-2</v>
      </c>
      <c r="O17" s="15">
        <f t="shared" si="14"/>
        <v>-9.7525557226491921E-2</v>
      </c>
      <c r="P17" s="31">
        <f t="shared" si="0"/>
        <v>1.1437122908510671</v>
      </c>
      <c r="Q17" s="15"/>
      <c r="R17" s="15"/>
      <c r="S17">
        <v>0.44333455177037401</v>
      </c>
      <c r="T17">
        <v>-0.39339880066286798</v>
      </c>
      <c r="U17">
        <v>0.59271252826005005</v>
      </c>
      <c r="V17" s="3">
        <v>0.43364537005112902</v>
      </c>
      <c r="W17" s="3">
        <v>-0.24772389970912501</v>
      </c>
      <c r="X17" s="3">
        <v>0.499415095340417</v>
      </c>
      <c r="Y17" s="15">
        <v>1.947085E-5</v>
      </c>
      <c r="Z17" s="16">
        <v>1.1000000000000001</v>
      </c>
      <c r="AA17" s="7">
        <v>0.298975925923744</v>
      </c>
      <c r="AB17" s="7">
        <v>-0.62212700501920504</v>
      </c>
      <c r="AC17" s="7">
        <v>0.69023808548654197</v>
      </c>
      <c r="AD17" s="15">
        <v>-0.20263556713091696</v>
      </c>
      <c r="AE17" s="15">
        <v>1.9880749999999999E-4</v>
      </c>
      <c r="AF17" s="15">
        <v>0.99987099999999995</v>
      </c>
      <c r="AG17" s="5">
        <v>-0.70037773908069301</v>
      </c>
      <c r="AH17" s="5">
        <v>4.8437127047911602E-2</v>
      </c>
      <c r="AI17" s="5">
        <v>0.70205066247133396</v>
      </c>
      <c r="AJ17" s="15">
        <v>8.9406239999999998E-2</v>
      </c>
      <c r="AK17" s="15">
        <v>1.669478</v>
      </c>
      <c r="AL17" s="20">
        <v>0.41836667621661899</v>
      </c>
      <c r="AM17" s="20">
        <v>-0.41836667621661899</v>
      </c>
      <c r="AN17" s="10">
        <v>-0.70037773908069301</v>
      </c>
      <c r="AO17" s="10">
        <v>4.8437127047911602E-2</v>
      </c>
      <c r="AP17" s="10">
        <v>0.70205066247133396</v>
      </c>
      <c r="AQ17" s="15"/>
      <c r="AR17" s="13">
        <v>16</v>
      </c>
      <c r="AS17" s="13">
        <v>1</v>
      </c>
      <c r="AT17" s="13">
        <v>1</v>
      </c>
      <c r="AU17" s="13">
        <v>2</v>
      </c>
      <c r="AV17" s="13">
        <v>0.01</v>
      </c>
      <c r="AW17" s="13">
        <v>8</v>
      </c>
      <c r="AX17" s="13">
        <v>15000</v>
      </c>
      <c r="AY17" s="13">
        <v>567.6</v>
      </c>
    </row>
    <row r="18" spans="1:51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10"/>
        <v>-0.66740646093593603</v>
      </c>
      <c r="G18" s="15">
        <f t="shared" si="12"/>
        <v>-1.281747772931958</v>
      </c>
      <c r="H18" s="15"/>
      <c r="I18" s="15"/>
      <c r="J18" s="15"/>
      <c r="K18" s="15"/>
      <c r="L18" s="15"/>
      <c r="M18" s="15"/>
      <c r="N18" s="30">
        <f t="shared" si="13"/>
        <v>0.28826167677646702</v>
      </c>
      <c r="O18" s="15">
        <f t="shared" si="14"/>
        <v>-0.37914478415946895</v>
      </c>
      <c r="P18" s="31">
        <f t="shared" si="0"/>
        <v>-1.116417224803828</v>
      </c>
      <c r="Q18" s="15"/>
      <c r="R18" s="15"/>
      <c r="S18">
        <v>0.46376281358708199</v>
      </c>
      <c r="T18">
        <v>-0.37297053884615999</v>
      </c>
      <c r="U18">
        <v>0.59513273318932902</v>
      </c>
      <c r="V18" s="3">
        <v>0.27992729188315002</v>
      </c>
      <c r="W18" s="3">
        <v>-0.12574003548159199</v>
      </c>
      <c r="X18" s="3">
        <v>0.306871056412862</v>
      </c>
      <c r="Y18" s="15">
        <v>1.4754719999999999E-5</v>
      </c>
      <c r="Z18" s="16">
        <v>2</v>
      </c>
      <c r="AA18" s="7">
        <v>0.76259002379749896</v>
      </c>
      <c r="AB18" s="7">
        <v>-0.60636056634305102</v>
      </c>
      <c r="AC18" s="7">
        <v>0.97427751734879797</v>
      </c>
      <c r="AD18" s="15">
        <v>-1.281747772931958</v>
      </c>
      <c r="AE18" s="15">
        <v>2.605253E-4</v>
      </c>
      <c r="AF18" s="15">
        <v>0.99976299999999996</v>
      </c>
      <c r="AG18" s="5">
        <v>1.5801800383909099</v>
      </c>
      <c r="AH18" s="5">
        <v>0.16352624015679401</v>
      </c>
      <c r="AI18" s="5">
        <v>1.58861882934482</v>
      </c>
      <c r="AJ18" s="15">
        <v>2.6561689999999999E-2</v>
      </c>
      <c r="AK18" s="15">
        <v>1.171138</v>
      </c>
      <c r="AL18" s="20">
        <v>0.41836667621661899</v>
      </c>
      <c r="AM18" s="20">
        <v>-0.41836667621661899</v>
      </c>
      <c r="AN18" s="10">
        <v>1.5801800383909099</v>
      </c>
      <c r="AO18" s="10">
        <v>0.16352624015679401</v>
      </c>
      <c r="AP18" s="10">
        <v>1.58861882934482</v>
      </c>
      <c r="AQ18" s="15"/>
      <c r="AR18" s="13">
        <v>16</v>
      </c>
      <c r="AS18" s="13">
        <v>1</v>
      </c>
      <c r="AT18" s="13">
        <v>1</v>
      </c>
      <c r="AU18" s="13">
        <v>2</v>
      </c>
      <c r="AV18" s="13">
        <v>0.01</v>
      </c>
      <c r="AW18" s="13">
        <v>8</v>
      </c>
      <c r="AX18" s="13">
        <v>15000</v>
      </c>
      <c r="AY18" s="13">
        <v>571.70000000000005</v>
      </c>
    </row>
    <row r="19" spans="1:51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10"/>
        <v>-1.363905243264959</v>
      </c>
      <c r="G19" s="15">
        <f t="shared" si="12"/>
        <v>-1.2800812362153591</v>
      </c>
      <c r="H19" s="15"/>
      <c r="I19" s="15"/>
      <c r="J19" s="15"/>
      <c r="K19" s="15"/>
      <c r="L19" s="15"/>
      <c r="M19" s="15"/>
      <c r="N19" s="30">
        <f t="shared" si="13"/>
        <v>6.9619278707717003E-2</v>
      </c>
      <c r="O19" s="15">
        <f t="shared" si="14"/>
        <v>-1.294285964557242</v>
      </c>
      <c r="P19" s="31">
        <f t="shared" si="0"/>
        <v>-1.064998484757508</v>
      </c>
      <c r="Q19" s="15"/>
      <c r="R19" s="15"/>
      <c r="S19">
        <v>0.48646088227231199</v>
      </c>
      <c r="T19">
        <v>-0.35027247016092999</v>
      </c>
      <c r="U19">
        <v>0.59944557161913803</v>
      </c>
      <c r="V19" s="3">
        <v>0.44467422076545299</v>
      </c>
      <c r="W19" s="3">
        <v>-0.28806377427037899</v>
      </c>
      <c r="X19" s="3">
        <v>0.52982629291142103</v>
      </c>
      <c r="Y19" s="15">
        <v>4.128381E-5</v>
      </c>
      <c r="Z19" s="16">
        <v>3</v>
      </c>
      <c r="AA19" s="7">
        <v>1.88712470203465</v>
      </c>
      <c r="AB19" s="7">
        <v>0.15804901163740101</v>
      </c>
      <c r="AC19" s="7">
        <v>1.89373153617638</v>
      </c>
      <c r="AD19" s="15">
        <v>-1.2800812362153591</v>
      </c>
      <c r="AE19" s="15">
        <v>5.4041460000000001E-4</v>
      </c>
      <c r="AF19" s="15">
        <v>0.99931599999999998</v>
      </c>
      <c r="AG19" s="5">
        <v>1.55145936702982</v>
      </c>
      <c r="AH19" s="5">
        <v>-0.93206174497467897</v>
      </c>
      <c r="AI19" s="5">
        <v>1.8099075291267801</v>
      </c>
      <c r="AJ19" s="15">
        <v>9.7190530000000001E-3</v>
      </c>
      <c r="AK19" s="15">
        <v>0.70750040000000003</v>
      </c>
      <c r="AL19" s="20">
        <v>0.41836667621661899</v>
      </c>
      <c r="AM19" s="20">
        <v>-0.41836667621661899</v>
      </c>
      <c r="AN19" s="10">
        <v>1.55145936702982</v>
      </c>
      <c r="AO19" s="10">
        <v>-0.93206174497467897</v>
      </c>
      <c r="AP19" s="10">
        <v>1.8099075291267801</v>
      </c>
      <c r="AQ19" s="15"/>
      <c r="AR19" s="13">
        <v>16</v>
      </c>
      <c r="AS19" s="13">
        <v>1</v>
      </c>
      <c r="AT19" s="13">
        <v>1</v>
      </c>
      <c r="AU19" s="13">
        <v>2</v>
      </c>
      <c r="AV19" s="13">
        <v>0.01</v>
      </c>
      <c r="AW19" s="13">
        <v>8</v>
      </c>
      <c r="AX19" s="13">
        <v>15000</v>
      </c>
      <c r="AY19" s="13">
        <v>569</v>
      </c>
    </row>
    <row r="20" spans="1:51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10"/>
        <v>-1.3271502024764159</v>
      </c>
      <c r="G20" s="15">
        <f t="shared" si="12"/>
        <v>-1.537312238142396</v>
      </c>
      <c r="H20" s="15"/>
      <c r="I20" s="15"/>
      <c r="J20" s="15"/>
      <c r="K20" s="15"/>
      <c r="L20" s="15"/>
      <c r="M20" s="15"/>
      <c r="N20" s="30">
        <f t="shared" si="13"/>
        <v>0.45485082130591303</v>
      </c>
      <c r="O20" s="15">
        <f t="shared" si="14"/>
        <v>-0.87229938117050287</v>
      </c>
      <c r="P20" s="31">
        <f t="shared" si="0"/>
        <v>-0.49461237992392693</v>
      </c>
      <c r="Q20" s="15"/>
      <c r="R20" s="15"/>
      <c r="S20">
        <v>0.50915895095754304</v>
      </c>
      <c r="T20">
        <v>-0.327574401475699</v>
      </c>
      <c r="U20">
        <v>0.60543193328593703</v>
      </c>
      <c r="V20" s="3">
        <v>8.9165534081367695E-2</v>
      </c>
      <c r="W20" s="3">
        <v>-0.12134322732285099</v>
      </c>
      <c r="X20" s="3">
        <v>0.150581111980024</v>
      </c>
      <c r="Y20" s="35">
        <v>0.36657911413458599</v>
      </c>
      <c r="Z20" s="16">
        <v>4</v>
      </c>
      <c r="AA20" s="7">
        <v>0.13921922245985499</v>
      </c>
      <c r="AB20" s="7">
        <v>-1.4711586745904801</v>
      </c>
      <c r="AC20" s="7">
        <v>1.4777313144564399</v>
      </c>
      <c r="AD20" s="15">
        <v>-1.537312238142396</v>
      </c>
      <c r="AE20" s="15">
        <v>2.982808E-4</v>
      </c>
      <c r="AF20" s="15">
        <v>0.999668</v>
      </c>
      <c r="AG20" s="5">
        <v>1.00377133088147</v>
      </c>
      <c r="AH20" s="5">
        <v>-1.3569919221159401</v>
      </c>
      <c r="AI20" s="5">
        <v>1.68789335012242</v>
      </c>
      <c r="AJ20" s="15">
        <v>5.3214699999999997E-2</v>
      </c>
      <c r="AK20" s="15">
        <v>0.91078800000000004</v>
      </c>
      <c r="AL20" s="20">
        <v>0.41836667621661899</v>
      </c>
      <c r="AM20" s="20">
        <v>-0.41836667621661899</v>
      </c>
      <c r="AN20" s="10">
        <v>1.00377133088147</v>
      </c>
      <c r="AO20" s="10">
        <v>-1.3569919221159401</v>
      </c>
      <c r="AP20" s="10">
        <v>1.68789335012242</v>
      </c>
      <c r="AQ20" s="15"/>
      <c r="AR20" s="13">
        <v>16</v>
      </c>
      <c r="AS20" s="13">
        <v>1</v>
      </c>
      <c r="AT20" s="13">
        <v>1</v>
      </c>
      <c r="AU20" s="13">
        <v>2</v>
      </c>
      <c r="AV20" s="13">
        <v>0.01</v>
      </c>
      <c r="AW20" s="13">
        <v>8</v>
      </c>
      <c r="AX20" s="13">
        <v>15000</v>
      </c>
      <c r="AY20" s="13">
        <v>637.5</v>
      </c>
    </row>
    <row r="21" spans="1:51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10"/>
        <v>-0.99676046677572394</v>
      </c>
      <c r="G21" s="15">
        <f t="shared" si="12"/>
        <v>-0.95750232152093395</v>
      </c>
      <c r="H21" s="15"/>
      <c r="I21" s="15"/>
      <c r="J21" s="15"/>
      <c r="K21" s="15"/>
      <c r="L21" s="15"/>
      <c r="M21" s="15"/>
      <c r="N21" s="32">
        <f t="shared" si="13"/>
        <v>0.35337106037435506</v>
      </c>
      <c r="O21" s="33">
        <f t="shared" si="14"/>
        <v>-0.64338940640136888</v>
      </c>
      <c r="P21" s="34">
        <f t="shared" si="0"/>
        <v>0.87984731705269204</v>
      </c>
      <c r="Q21" s="15"/>
      <c r="R21" s="15"/>
      <c r="S21">
        <v>0.59995122569846604</v>
      </c>
      <c r="T21">
        <v>-0.236782126734776</v>
      </c>
      <c r="U21">
        <v>0.64498623920060105</v>
      </c>
      <c r="V21" s="3">
        <v>0.28774808947310299</v>
      </c>
      <c r="W21" s="3">
        <v>4.73333870163824E-2</v>
      </c>
      <c r="X21" s="3">
        <v>0.29161517882624599</v>
      </c>
      <c r="Y21" s="15">
        <v>2.2044449999999999E-5</v>
      </c>
      <c r="Z21" s="16">
        <v>8</v>
      </c>
      <c r="AA21" s="7">
        <v>-1.28663475804626</v>
      </c>
      <c r="AB21" s="7">
        <v>-6.6953741998137903E-2</v>
      </c>
      <c r="AC21" s="7">
        <v>1.2883756456019699</v>
      </c>
      <c r="AD21" s="15">
        <v>-0.95750232152093395</v>
      </c>
      <c r="AE21" s="15">
        <v>6.1093859999999999E-4</v>
      </c>
      <c r="AF21" s="15">
        <v>0.99940200000000001</v>
      </c>
      <c r="AG21" s="5">
        <v>-0.279896091354226</v>
      </c>
      <c r="AH21" s="5">
        <v>-1.21735479943943</v>
      </c>
      <c r="AI21" s="5">
        <v>1.2491175003471799</v>
      </c>
      <c r="AJ21" s="15">
        <v>0.18083740000000001</v>
      </c>
      <c r="AK21" s="15">
        <v>1.109774</v>
      </c>
      <c r="AL21" s="20">
        <v>0.41836667621661899</v>
      </c>
      <c r="AM21" s="20">
        <v>-0.41836667621661899</v>
      </c>
      <c r="AN21" s="10">
        <v>-0.279896091354226</v>
      </c>
      <c r="AO21" s="10">
        <v>-1.21735479943943</v>
      </c>
      <c r="AP21" s="10">
        <v>1.2491175003471799</v>
      </c>
      <c r="AQ21" s="15"/>
      <c r="AR21" s="13">
        <v>16</v>
      </c>
      <c r="AS21" s="13">
        <v>1</v>
      </c>
      <c r="AT21" s="13">
        <v>1</v>
      </c>
      <c r="AU21" s="13">
        <v>2</v>
      </c>
      <c r="AV21" s="13">
        <v>0.01</v>
      </c>
      <c r="AW21" s="13">
        <v>8</v>
      </c>
      <c r="AX21" s="13">
        <v>15000</v>
      </c>
      <c r="AY21" s="13">
        <v>562.9</v>
      </c>
    </row>
    <row r="22" spans="1:51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/>
      <c r="T22"/>
      <c r="U22" s="17"/>
      <c r="AA22" s="17"/>
      <c r="AB22" s="17"/>
      <c r="AC22" s="17"/>
    </row>
    <row r="23" spans="1:51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25" t="s">
        <v>56</v>
      </c>
      <c r="T23" s="17"/>
      <c r="U23" s="17"/>
      <c r="X23" s="22" t="s">
        <v>35</v>
      </c>
      <c r="AD23" s="17"/>
      <c r="AE23" s="17"/>
      <c r="AI23" s="17" t="s">
        <v>34</v>
      </c>
    </row>
    <row r="24" spans="1:51" x14ac:dyDescent="0.3">
      <c r="D24" s="17" t="s">
        <v>33</v>
      </c>
      <c r="R24" s="17" t="s">
        <v>60</v>
      </c>
      <c r="S24" s="25" t="s">
        <v>44</v>
      </c>
      <c r="T24" s="25" t="s">
        <v>45</v>
      </c>
      <c r="U24" s="25" t="s">
        <v>30</v>
      </c>
      <c r="V24" s="13"/>
      <c r="W24" s="13"/>
      <c r="X24" s="4" t="s">
        <v>11</v>
      </c>
      <c r="Y24" s="4" t="s">
        <v>12</v>
      </c>
      <c r="AA24" s="17"/>
      <c r="AB24" s="17"/>
      <c r="AD24" s="6" t="s">
        <v>31</v>
      </c>
      <c r="AE24" s="6" t="s">
        <v>29</v>
      </c>
      <c r="AF24" s="6" t="s">
        <v>30</v>
      </c>
      <c r="AG24" s="13"/>
      <c r="AH24" s="13"/>
      <c r="AI24" s="13"/>
      <c r="AJ24" s="4" t="s">
        <v>11</v>
      </c>
      <c r="AK24" s="4" t="s">
        <v>12</v>
      </c>
      <c r="AL24" s="4" t="s">
        <v>13</v>
      </c>
      <c r="AN24" s="19" t="s">
        <v>17</v>
      </c>
      <c r="AO24" s="13"/>
      <c r="AP24" s="13"/>
    </row>
    <row r="25" spans="1:51" x14ac:dyDescent="0.3">
      <c r="D25" s="17">
        <v>1</v>
      </c>
      <c r="E25" s="17">
        <v>0</v>
      </c>
      <c r="R25" s="17">
        <v>0</v>
      </c>
      <c r="S25" s="25">
        <v>0.30752200000000002</v>
      </c>
      <c r="T25" s="25">
        <v>-0.30752200000000002</v>
      </c>
      <c r="U25" s="25">
        <v>0.43490099999999998</v>
      </c>
      <c r="V25" s="24">
        <f>Z25-AL25</f>
        <v>-7.2164496600635175E-16</v>
      </c>
      <c r="W25" s="13"/>
      <c r="X25" s="17">
        <v>0.30751371411386302</v>
      </c>
      <c r="Y25" s="13">
        <v>-0.30753560602694202</v>
      </c>
      <c r="Z25" s="15">
        <f>SQRT(Y25^2+X25^2)</f>
        <v>0.43490554531123327</v>
      </c>
      <c r="AA25" s="15">
        <f t="shared" ref="AA25:AA42" si="21">Z25-AF25</f>
        <v>-3.7351285365692655E-3</v>
      </c>
      <c r="AB25" s="23">
        <f>AF25-AL25</f>
        <v>3.7351285365685438E-3</v>
      </c>
      <c r="AD25" s="11">
        <v>0.30090772494607898</v>
      </c>
      <c r="AE25" s="11">
        <v>-0.319155419539492</v>
      </c>
      <c r="AF25" s="15">
        <f>SQRT(AE25^2+AD25^2)</f>
        <v>0.43864067384780253</v>
      </c>
      <c r="AG25" s="18">
        <f>AF25-AL25</f>
        <v>3.7351285365685438E-3</v>
      </c>
      <c r="AH25" s="14"/>
      <c r="AI25" s="18">
        <f>AL25-AF25</f>
        <v>-3.7351285365685438E-3</v>
      </c>
      <c r="AJ25" s="12">
        <v>0.30751371411386302</v>
      </c>
      <c r="AK25" s="12">
        <v>-0.30753560602694202</v>
      </c>
      <c r="AL25" s="12">
        <v>0.43490554531123399</v>
      </c>
      <c r="AM25" s="15">
        <f>SQRT(AJ25^2+AK25^2)</f>
        <v>0.43490554531123327</v>
      </c>
      <c r="AN25" s="21">
        <v>-0.30752150772800002</v>
      </c>
      <c r="AO25" s="14" t="e">
        <f>SQRT(AN25^2+#REF!^2)</f>
        <v>#REF!</v>
      </c>
      <c r="AP25" s="13"/>
    </row>
    <row r="26" spans="1:51" x14ac:dyDescent="0.3">
      <c r="D26" s="17">
        <v>1</v>
      </c>
      <c r="E26" s="17">
        <v>0.05</v>
      </c>
      <c r="R26" s="17">
        <v>0.05</v>
      </c>
      <c r="S26" s="25">
        <v>0.30796899999999999</v>
      </c>
      <c r="T26" s="25">
        <v>-0.30707400000000001</v>
      </c>
      <c r="U26" s="25">
        <v>0.43490200000000001</v>
      </c>
      <c r="V26" s="24">
        <f t="shared" ref="V26:V42" si="22">Z26-AL26</f>
        <v>-8.3266726846886741E-16</v>
      </c>
      <c r="W26" s="13"/>
      <c r="X26" s="17">
        <v>0.30792449970265701</v>
      </c>
      <c r="Y26" s="13">
        <v>-0.30701084731864298</v>
      </c>
      <c r="Z26" s="15">
        <f t="shared" ref="Z26:Z42" si="23">SQRT(Y26^2+X26^2)</f>
        <v>0.43482543381044619</v>
      </c>
      <c r="AA26" s="15">
        <f t="shared" si="21"/>
        <v>5.817509501963386E-2</v>
      </c>
      <c r="AB26" s="23">
        <f t="shared" ref="AB26:AB42" si="24">AF26-AL26</f>
        <v>-5.8175095019634693E-2</v>
      </c>
      <c r="AD26" s="11">
        <v>0.26842235108495399</v>
      </c>
      <c r="AE26" s="11">
        <v>-0.26422512967024803</v>
      </c>
      <c r="AF26" s="15">
        <f t="shared" ref="AF26:AF42" si="25">SQRT(AE26^2+AD26^2)</f>
        <v>0.37665033879081233</v>
      </c>
      <c r="AG26" s="18">
        <f t="shared" ref="AG26:AG42" si="26">AF26-AL26</f>
        <v>-5.8175095019634693E-2</v>
      </c>
      <c r="AH26" s="13"/>
      <c r="AI26" s="13"/>
      <c r="AJ26" s="12">
        <v>0.30792449970265701</v>
      </c>
      <c r="AK26" s="12">
        <v>-0.30701084731864298</v>
      </c>
      <c r="AL26" s="12">
        <v>0.43482543381044703</v>
      </c>
      <c r="AN26" s="13"/>
      <c r="AO26" s="13"/>
      <c r="AP26" s="13"/>
    </row>
    <row r="27" spans="1:51" x14ac:dyDescent="0.3">
      <c r="D27" s="17">
        <v>1</v>
      </c>
      <c r="E27" s="17">
        <v>0.1</v>
      </c>
      <c r="R27" s="17">
        <v>0.1</v>
      </c>
      <c r="S27" s="25">
        <v>0.308417</v>
      </c>
      <c r="T27" s="25">
        <v>-0.30662600000000001</v>
      </c>
      <c r="U27" s="25">
        <v>0.43490299999999998</v>
      </c>
      <c r="V27" s="24">
        <f t="shared" si="22"/>
        <v>0</v>
      </c>
      <c r="W27" s="13"/>
      <c r="X27" s="17">
        <v>0.30827036180782402</v>
      </c>
      <c r="Y27" s="13">
        <v>-0.30712646009599198</v>
      </c>
      <c r="Z27" s="15">
        <f t="shared" si="23"/>
        <v>0.43515201764466366</v>
      </c>
      <c r="AA27" s="15">
        <f t="shared" si="21"/>
        <v>-0.29533191024897626</v>
      </c>
      <c r="AB27" s="23">
        <f t="shared" si="24"/>
        <v>0.29533191024897593</v>
      </c>
      <c r="AD27" s="11">
        <v>0.366782507997157</v>
      </c>
      <c r="AE27" s="11">
        <v>-0.63172570055225397</v>
      </c>
      <c r="AF27" s="15">
        <f t="shared" si="25"/>
        <v>0.73048392789363992</v>
      </c>
      <c r="AG27" s="18">
        <f t="shared" si="26"/>
        <v>0.29533191024897593</v>
      </c>
      <c r="AH27" s="13"/>
      <c r="AI27" s="13"/>
      <c r="AJ27" s="12">
        <v>0.30827036180782402</v>
      </c>
      <c r="AK27" s="12">
        <v>-0.30712646009599198</v>
      </c>
      <c r="AL27" s="12">
        <v>0.43515201764466399</v>
      </c>
      <c r="AN27" s="13"/>
      <c r="AO27" s="13"/>
      <c r="AP27" s="13"/>
    </row>
    <row r="28" spans="1:51" x14ac:dyDescent="0.3">
      <c r="D28" s="17">
        <v>1</v>
      </c>
      <c r="E28" s="17">
        <v>0.15</v>
      </c>
      <c r="R28" s="17">
        <v>0.15</v>
      </c>
      <c r="S28" s="25">
        <v>0.308865</v>
      </c>
      <c r="T28" s="25">
        <v>-0.30617800000000001</v>
      </c>
      <c r="U28" s="25">
        <v>0.43490499999999999</v>
      </c>
      <c r="V28" s="24">
        <f t="shared" si="22"/>
        <v>0</v>
      </c>
      <c r="W28" s="13"/>
      <c r="X28" s="17">
        <v>0.31689877136455002</v>
      </c>
      <c r="Y28" s="13">
        <v>-0.29740570589188903</v>
      </c>
      <c r="Z28" s="15">
        <f t="shared" si="23"/>
        <v>0.43459749790974883</v>
      </c>
      <c r="AA28" s="15">
        <f t="shared" si="21"/>
        <v>-0.79786988594604913</v>
      </c>
      <c r="AB28" s="23">
        <f t="shared" si="24"/>
        <v>0.79786988594604902</v>
      </c>
      <c r="AD28" s="11">
        <v>1.01946119786818</v>
      </c>
      <c r="AE28" s="11">
        <v>0.69258553140354495</v>
      </c>
      <c r="AF28" s="15">
        <f t="shared" si="25"/>
        <v>1.232467383855798</v>
      </c>
      <c r="AG28" s="18">
        <f t="shared" si="26"/>
        <v>0.79786988594604902</v>
      </c>
      <c r="AH28" s="13"/>
      <c r="AI28" s="13"/>
      <c r="AJ28" s="12">
        <v>0.31689877136455002</v>
      </c>
      <c r="AK28" s="12">
        <v>-0.29740570589188903</v>
      </c>
      <c r="AL28" s="12">
        <v>0.434597497909749</v>
      </c>
      <c r="AN28" s="13"/>
      <c r="AO28" s="13"/>
      <c r="AP28" s="13"/>
    </row>
    <row r="29" spans="1:51" x14ac:dyDescent="0.3">
      <c r="D29" s="17">
        <v>1</v>
      </c>
      <c r="E29" s="17">
        <v>0.2</v>
      </c>
      <c r="R29" s="17">
        <v>0.2</v>
      </c>
      <c r="S29" s="25">
        <v>0.30931199999999998</v>
      </c>
      <c r="T29" s="25">
        <v>-0.30573099999999998</v>
      </c>
      <c r="U29" s="25">
        <v>0.43490800000000002</v>
      </c>
      <c r="V29" s="24">
        <f t="shared" si="22"/>
        <v>-7.2164496600635175E-16</v>
      </c>
      <c r="W29" s="13"/>
      <c r="X29" s="17">
        <v>0.31162963488251999</v>
      </c>
      <c r="Y29" s="13">
        <v>-0.35540013675900101</v>
      </c>
      <c r="Z29" s="15">
        <f t="shared" si="23"/>
        <v>0.47267566739290628</v>
      </c>
      <c r="AA29" s="15">
        <f t="shared" si="21"/>
        <v>-0.97959487007113633</v>
      </c>
      <c r="AB29" s="23">
        <f t="shared" si="24"/>
        <v>0.97959487007113555</v>
      </c>
      <c r="AD29" s="11">
        <v>0.57007728970818705</v>
      </c>
      <c r="AE29" s="11">
        <v>-1.3357026606790401</v>
      </c>
      <c r="AF29" s="15">
        <f t="shared" si="25"/>
        <v>1.4522705374640426</v>
      </c>
      <c r="AG29" s="18">
        <f t="shared" si="26"/>
        <v>0.97959487007113555</v>
      </c>
      <c r="AH29" s="13"/>
      <c r="AI29" s="13"/>
      <c r="AJ29" s="12">
        <v>0.31162963488251999</v>
      </c>
      <c r="AK29" s="12">
        <v>-0.35540013675900101</v>
      </c>
      <c r="AL29" s="12">
        <v>0.47267566739290701</v>
      </c>
      <c r="AN29" s="13"/>
      <c r="AO29" s="13"/>
      <c r="AP29" s="13"/>
    </row>
    <row r="30" spans="1:51" x14ac:dyDescent="0.3">
      <c r="D30" s="17">
        <v>1</v>
      </c>
      <c r="E30" s="17">
        <v>0.3</v>
      </c>
      <c r="V30" s="24">
        <f t="shared" si="22"/>
        <v>5.2735593669694936E-16</v>
      </c>
      <c r="W30" s="13"/>
      <c r="X30" s="17">
        <v>0.158238165852533</v>
      </c>
      <c r="Y30" s="13">
        <v>-0.16667417251261499</v>
      </c>
      <c r="Z30" s="15">
        <f t="shared" si="23"/>
        <v>0.22982514421868352</v>
      </c>
      <c r="AA30" s="15">
        <f t="shared" si="21"/>
        <v>-0.43647319000971208</v>
      </c>
      <c r="AB30" s="23">
        <f t="shared" si="24"/>
        <v>0.43647319000971257</v>
      </c>
      <c r="AD30" s="11">
        <v>-0.54868454991467397</v>
      </c>
      <c r="AE30" s="11">
        <v>0.378019490080163</v>
      </c>
      <c r="AF30" s="15">
        <f t="shared" si="25"/>
        <v>0.66629833422839557</v>
      </c>
      <c r="AG30" s="18">
        <f t="shared" si="26"/>
        <v>0.43647319000971257</v>
      </c>
      <c r="AH30" s="13"/>
      <c r="AI30" s="13"/>
      <c r="AJ30" s="12">
        <v>0.158238165852533</v>
      </c>
      <c r="AK30" s="12">
        <v>-0.16667417251261499</v>
      </c>
      <c r="AL30" s="12">
        <v>0.229825144218683</v>
      </c>
      <c r="AN30" s="13"/>
      <c r="AO30" s="13"/>
      <c r="AP30" s="13"/>
    </row>
    <row r="31" spans="1:51" x14ac:dyDescent="0.3">
      <c r="D31" s="17">
        <v>1</v>
      </c>
      <c r="E31" s="17">
        <v>0.4</v>
      </c>
      <c r="V31" s="24">
        <f t="shared" si="22"/>
        <v>0</v>
      </c>
      <c r="W31" s="13"/>
      <c r="X31" s="17">
        <v>0.178161431444501</v>
      </c>
      <c r="Y31" s="13">
        <v>-0.68112296377902704</v>
      </c>
      <c r="Z31" s="15">
        <f t="shared" si="23"/>
        <v>0.70403834230919515</v>
      </c>
      <c r="AA31" s="15">
        <f t="shared" si="21"/>
        <v>-0.68890813594088929</v>
      </c>
      <c r="AB31" s="23">
        <f t="shared" si="24"/>
        <v>0.6889081359408894</v>
      </c>
      <c r="AD31" s="11">
        <v>5.7301930705959802E-3</v>
      </c>
      <c r="AE31" s="11">
        <v>-1.39293469199266</v>
      </c>
      <c r="AF31" s="15">
        <f t="shared" si="25"/>
        <v>1.3929464782500844</v>
      </c>
      <c r="AG31" s="18">
        <f t="shared" si="26"/>
        <v>0.6889081359408894</v>
      </c>
      <c r="AH31" s="13"/>
      <c r="AI31" s="13"/>
      <c r="AJ31" s="12">
        <v>0.178161431444501</v>
      </c>
      <c r="AK31" s="12">
        <v>-0.68112296377902704</v>
      </c>
      <c r="AL31" s="12">
        <v>0.70403834230919504</v>
      </c>
      <c r="AN31" s="13"/>
      <c r="AO31" s="13"/>
      <c r="AP31" s="13"/>
    </row>
    <row r="32" spans="1:51" x14ac:dyDescent="0.3">
      <c r="D32" s="17">
        <v>1</v>
      </c>
      <c r="E32" s="17">
        <v>0.5</v>
      </c>
      <c r="V32" s="24">
        <f t="shared" si="22"/>
        <v>0</v>
      </c>
      <c r="W32" s="13"/>
      <c r="X32" s="17">
        <v>8.1018078323665796E-2</v>
      </c>
      <c r="Y32" s="13">
        <v>-0.83197708377727997</v>
      </c>
      <c r="Z32" s="15">
        <f t="shared" si="23"/>
        <v>0.83591255340843329</v>
      </c>
      <c r="AA32" s="15">
        <f t="shared" si="21"/>
        <v>-0.57166209832239057</v>
      </c>
      <c r="AB32" s="23">
        <f t="shared" si="24"/>
        <v>0.5716620983223909</v>
      </c>
      <c r="AD32" s="11">
        <v>-8.7526255146810894E-2</v>
      </c>
      <c r="AE32" s="11">
        <v>-1.40485072333509</v>
      </c>
      <c r="AF32" s="15">
        <f t="shared" si="25"/>
        <v>1.4075746517308239</v>
      </c>
      <c r="AG32" s="18">
        <f t="shared" si="26"/>
        <v>0.5716620983223909</v>
      </c>
      <c r="AH32" s="13"/>
      <c r="AI32" s="13"/>
      <c r="AJ32" s="12">
        <v>8.1018078323665796E-2</v>
      </c>
      <c r="AK32" s="12">
        <v>-0.83197708377727997</v>
      </c>
      <c r="AL32" s="12">
        <v>0.83591255340843296</v>
      </c>
      <c r="AN32" s="13"/>
      <c r="AO32" s="13"/>
      <c r="AP32" s="13"/>
    </row>
    <row r="33" spans="1:42" x14ac:dyDescent="0.3">
      <c r="D33" s="17">
        <v>1</v>
      </c>
      <c r="E33" s="17">
        <v>0.6</v>
      </c>
      <c r="V33" s="24">
        <f t="shared" si="22"/>
        <v>0</v>
      </c>
      <c r="W33" s="13"/>
      <c r="X33" s="17">
        <v>1.03015285007262</v>
      </c>
      <c r="Y33" s="13">
        <v>-0.25665637333119901</v>
      </c>
      <c r="Z33" s="15">
        <f t="shared" si="23"/>
        <v>1.0616437201266091</v>
      </c>
      <c r="AA33" s="15">
        <f t="shared" si="21"/>
        <v>-0.45900963052278687</v>
      </c>
      <c r="AB33" s="23">
        <f t="shared" si="24"/>
        <v>0.45900963052278598</v>
      </c>
      <c r="AD33" s="11">
        <v>1.49989809412664</v>
      </c>
      <c r="AE33" s="11">
        <v>-0.250384344711301</v>
      </c>
      <c r="AF33" s="15">
        <f t="shared" si="25"/>
        <v>1.520653350649396</v>
      </c>
      <c r="AG33" s="18">
        <f t="shared" si="26"/>
        <v>0.45900963052278598</v>
      </c>
      <c r="AH33" s="13"/>
      <c r="AI33" s="13"/>
      <c r="AJ33" s="12">
        <v>1.03015285007262</v>
      </c>
      <c r="AK33" s="12">
        <v>-0.25665637333119901</v>
      </c>
      <c r="AL33" s="12">
        <v>1.06164372012661</v>
      </c>
      <c r="AN33" s="13"/>
      <c r="AO33" s="13"/>
      <c r="AP33" s="13"/>
    </row>
    <row r="34" spans="1:42" x14ac:dyDescent="0.3">
      <c r="D34" s="17">
        <v>1</v>
      </c>
      <c r="E34" s="17">
        <v>0.7</v>
      </c>
      <c r="V34" s="24">
        <f t="shared" si="22"/>
        <v>0</v>
      </c>
      <c r="W34" s="13"/>
      <c r="X34" s="17">
        <v>-0.49989492822739301</v>
      </c>
      <c r="Y34" s="13">
        <v>-0.44545698486931101</v>
      </c>
      <c r="Z34" s="15">
        <f t="shared" si="23"/>
        <v>0.66957215043363927</v>
      </c>
      <c r="AA34" s="15">
        <f t="shared" si="21"/>
        <v>-0.25675965893024089</v>
      </c>
      <c r="AB34" s="23">
        <f t="shared" si="24"/>
        <v>0.25675965893024111</v>
      </c>
      <c r="AD34" s="11">
        <v>-0.77237447931389402</v>
      </c>
      <c r="AE34" s="11">
        <v>-0.51139836208571399</v>
      </c>
      <c r="AF34" s="15">
        <f t="shared" si="25"/>
        <v>0.92633180936388015</v>
      </c>
      <c r="AG34" s="18">
        <f t="shared" si="26"/>
        <v>0.25675965893024111</v>
      </c>
      <c r="AH34" s="13"/>
      <c r="AI34" s="13"/>
      <c r="AJ34" s="12">
        <v>-0.49989492822739301</v>
      </c>
      <c r="AK34" s="12">
        <v>-0.44545698486931101</v>
      </c>
      <c r="AL34" s="12">
        <v>0.66957215043363905</v>
      </c>
      <c r="AN34" s="13"/>
      <c r="AO34" s="13"/>
      <c r="AP34" s="13"/>
    </row>
    <row r="35" spans="1:42" x14ac:dyDescent="0.3">
      <c r="D35" s="17">
        <v>1</v>
      </c>
      <c r="E35" s="17">
        <v>0.8</v>
      </c>
      <c r="V35" s="24">
        <f t="shared" si="22"/>
        <v>0</v>
      </c>
      <c r="W35" s="13"/>
      <c r="X35" s="17">
        <v>0.76934193755625901</v>
      </c>
      <c r="Y35" s="13">
        <v>0.48248284653412998</v>
      </c>
      <c r="Z35" s="15">
        <f t="shared" si="23"/>
        <v>0.90811712575113102</v>
      </c>
      <c r="AA35" s="15">
        <f t="shared" si="21"/>
        <v>-0.1795301904237373</v>
      </c>
      <c r="AB35" s="23">
        <f t="shared" si="24"/>
        <v>0.1795301904237373</v>
      </c>
      <c r="AD35" s="11">
        <v>0.871324703964382</v>
      </c>
      <c r="AE35" s="11">
        <v>0.65097614752291499</v>
      </c>
      <c r="AF35" s="15">
        <f t="shared" si="25"/>
        <v>1.0876473161748683</v>
      </c>
      <c r="AG35" s="18">
        <f t="shared" si="26"/>
        <v>0.1795301904237373</v>
      </c>
      <c r="AH35" s="13"/>
      <c r="AI35" s="13"/>
      <c r="AJ35" s="12">
        <v>0.76934193755625901</v>
      </c>
      <c r="AK35" s="12">
        <v>0.48248284653412998</v>
      </c>
      <c r="AL35" s="12">
        <v>0.90811712575113102</v>
      </c>
      <c r="AN35" s="13"/>
      <c r="AO35" s="13"/>
      <c r="AP35" s="13"/>
    </row>
    <row r="36" spans="1:42" x14ac:dyDescent="0.3">
      <c r="D36" s="17">
        <v>1</v>
      </c>
      <c r="E36" s="17">
        <v>0.9</v>
      </c>
      <c r="V36" s="24">
        <f t="shared" si="22"/>
        <v>0</v>
      </c>
      <c r="W36" s="13"/>
      <c r="X36" s="17">
        <v>1.0352627315682701</v>
      </c>
      <c r="Y36" s="13">
        <v>-0.93884585193734604</v>
      </c>
      <c r="Z36" s="15">
        <f t="shared" si="23"/>
        <v>1.3975694820201809</v>
      </c>
      <c r="AA36" s="15">
        <f t="shared" si="21"/>
        <v>-0.21656179816249677</v>
      </c>
      <c r="AB36" s="23">
        <f t="shared" si="24"/>
        <v>0.21656179816249765</v>
      </c>
      <c r="AD36" s="11">
        <v>1.13447902401245</v>
      </c>
      <c r="AE36" s="11">
        <v>-1.1482060502104701</v>
      </c>
      <c r="AF36" s="15">
        <f t="shared" si="25"/>
        <v>1.6141312801826777</v>
      </c>
      <c r="AG36" s="18">
        <f t="shared" si="26"/>
        <v>0.21656179816249765</v>
      </c>
      <c r="AH36" s="13"/>
      <c r="AI36" s="13"/>
      <c r="AJ36" s="12">
        <v>1.0352627315682701</v>
      </c>
      <c r="AK36" s="12">
        <v>-0.93884585193734604</v>
      </c>
      <c r="AL36" s="12">
        <v>1.3975694820201801</v>
      </c>
      <c r="AN36" s="13"/>
      <c r="AO36" s="13"/>
      <c r="AP36" s="13"/>
    </row>
    <row r="37" spans="1:42" x14ac:dyDescent="0.3">
      <c r="D37" s="17">
        <v>1</v>
      </c>
      <c r="E37" s="17">
        <v>1</v>
      </c>
      <c r="V37" s="24">
        <f t="shared" si="22"/>
        <v>1.7763568394002505E-15</v>
      </c>
      <c r="W37" s="13"/>
      <c r="X37" s="17">
        <v>-0.22992529647193599</v>
      </c>
      <c r="Y37" s="13">
        <v>-1.14351229870103</v>
      </c>
      <c r="Z37" s="15">
        <f t="shared" si="23"/>
        <v>1.1663987393847017</v>
      </c>
      <c r="AA37" s="15">
        <f t="shared" si="21"/>
        <v>-4.7935370049976944E-2</v>
      </c>
      <c r="AB37" s="23">
        <f t="shared" si="24"/>
        <v>4.7935370049978721E-2</v>
      </c>
      <c r="AD37" s="11">
        <v>-0.32873328891953002</v>
      </c>
      <c r="AE37" s="11">
        <v>-1.16899176818858</v>
      </c>
      <c r="AF37" s="15">
        <f t="shared" si="25"/>
        <v>1.2143341094346787</v>
      </c>
      <c r="AG37" s="18">
        <f t="shared" si="26"/>
        <v>4.7935370049978721E-2</v>
      </c>
      <c r="AH37" s="13"/>
      <c r="AI37" s="13"/>
      <c r="AJ37" s="12">
        <v>-0.22992529647193599</v>
      </c>
      <c r="AK37" s="12">
        <v>-1.14351229870103</v>
      </c>
      <c r="AL37" s="12">
        <v>1.1663987393847</v>
      </c>
      <c r="AN37" s="13"/>
      <c r="AO37" s="13"/>
      <c r="AP37" s="13"/>
    </row>
    <row r="38" spans="1:42" x14ac:dyDescent="0.3">
      <c r="D38" s="17">
        <v>1</v>
      </c>
      <c r="E38" s="17">
        <v>1.1000000000000001</v>
      </c>
      <c r="V38" s="24">
        <f t="shared" si="22"/>
        <v>0</v>
      </c>
      <c r="W38" s="13"/>
      <c r="X38" s="17">
        <v>-0.70798155275093599</v>
      </c>
      <c r="Y38" s="13">
        <v>-0.128362412243583</v>
      </c>
      <c r="Z38" s="15">
        <f t="shared" si="23"/>
        <v>0.71952400092882085</v>
      </c>
      <c r="AA38" s="15">
        <f t="shared" si="21"/>
        <v>7.3095095250550468E-3</v>
      </c>
      <c r="AB38" s="23">
        <f t="shared" si="24"/>
        <v>-7.3095095250551578E-3</v>
      </c>
      <c r="AD38" s="11">
        <v>-0.70793641888744996</v>
      </c>
      <c r="AE38" s="11">
        <v>-7.7945548803877704E-2</v>
      </c>
      <c r="AF38" s="15">
        <f t="shared" si="25"/>
        <v>0.7122144914037658</v>
      </c>
      <c r="AG38" s="18">
        <f t="shared" si="26"/>
        <v>-7.3095095250551578E-3</v>
      </c>
      <c r="AH38" s="13"/>
      <c r="AI38" s="13"/>
      <c r="AJ38" s="12">
        <v>-0.70798155275093599</v>
      </c>
      <c r="AK38" s="12">
        <v>-0.128362412243583</v>
      </c>
      <c r="AL38" s="12">
        <v>0.71952400092882096</v>
      </c>
      <c r="AN38" s="13"/>
      <c r="AO38" s="13"/>
      <c r="AP38" s="13"/>
    </row>
    <row r="39" spans="1:42" x14ac:dyDescent="0.3">
      <c r="D39" s="17">
        <v>1</v>
      </c>
      <c r="E39" s="17">
        <v>2</v>
      </c>
      <c r="V39" s="24">
        <f t="shared" si="22"/>
        <v>7.3274719625260332E-15</v>
      </c>
      <c r="W39" s="13"/>
      <c r="X39" s="17">
        <v>-0.399900989440299</v>
      </c>
      <c r="Y39" s="13">
        <v>-1.15921498375423</v>
      </c>
      <c r="Z39" s="15">
        <f t="shared" si="23"/>
        <v>1.2262545330866874</v>
      </c>
      <c r="AA39" s="15">
        <f t="shared" si="21"/>
        <v>-0.31053801398962677</v>
      </c>
      <c r="AB39" s="23">
        <f t="shared" si="24"/>
        <v>0.3105380139896341</v>
      </c>
      <c r="AD39" s="11">
        <v>-1.0870786505907299</v>
      </c>
      <c r="AE39" s="11">
        <v>-1.08627406310707</v>
      </c>
      <c r="AF39" s="15">
        <f t="shared" si="25"/>
        <v>1.5367925470763142</v>
      </c>
      <c r="AG39" s="18">
        <f t="shared" si="26"/>
        <v>0.3105380139896341</v>
      </c>
      <c r="AH39" s="13"/>
      <c r="AI39" s="13"/>
      <c r="AJ39" s="12">
        <v>-0.399900989440299</v>
      </c>
      <c r="AK39" s="12">
        <v>-1.15921498375423</v>
      </c>
      <c r="AL39" s="12">
        <v>1.2262545330866801</v>
      </c>
      <c r="AN39" s="13"/>
      <c r="AO39" s="13"/>
      <c r="AP39" s="13"/>
    </row>
    <row r="40" spans="1:42" x14ac:dyDescent="0.3">
      <c r="D40" s="17">
        <v>1</v>
      </c>
      <c r="E40" s="17">
        <v>3</v>
      </c>
      <c r="V40" s="24">
        <f t="shared" si="22"/>
        <v>0</v>
      </c>
      <c r="W40" s="13"/>
      <c r="X40" s="17">
        <v>4.7864493687262404E-3</v>
      </c>
      <c r="Y40" s="13">
        <v>0.82175618867133704</v>
      </c>
      <c r="Z40" s="15">
        <f t="shared" si="23"/>
        <v>0.82177012827018814</v>
      </c>
      <c r="AA40" s="15">
        <f t="shared" si="21"/>
        <v>-1.0214116298278069</v>
      </c>
      <c r="AB40" s="23">
        <f t="shared" si="24"/>
        <v>1.0214116298278069</v>
      </c>
      <c r="AD40" s="11">
        <v>0.92736744840374896</v>
      </c>
      <c r="AE40" s="11">
        <v>1.59289315681446</v>
      </c>
      <c r="AF40" s="15">
        <f t="shared" si="25"/>
        <v>1.843181758097995</v>
      </c>
      <c r="AG40" s="18">
        <f t="shared" si="26"/>
        <v>1.0214116298278069</v>
      </c>
      <c r="AH40" s="13"/>
      <c r="AI40" s="13"/>
      <c r="AJ40" s="12">
        <v>4.7864493687262404E-3</v>
      </c>
      <c r="AK40" s="12">
        <v>0.82175618867133704</v>
      </c>
      <c r="AL40" s="12">
        <v>0.82177012827018803</v>
      </c>
      <c r="AN40" s="13"/>
      <c r="AO40" s="13"/>
      <c r="AP40" s="13"/>
    </row>
    <row r="41" spans="1:42" x14ac:dyDescent="0.3">
      <c r="D41" s="17">
        <v>1</v>
      </c>
      <c r="E41" s="17">
        <v>4</v>
      </c>
      <c r="V41" s="24">
        <f t="shared" si="22"/>
        <v>-8.4376949871511897E-15</v>
      </c>
      <c r="W41" s="13"/>
      <c r="X41" s="17">
        <v>1.19360888306646</v>
      </c>
      <c r="Y41" s="13">
        <v>0.496629044835463</v>
      </c>
      <c r="Z41" s="15">
        <f t="shared" si="23"/>
        <v>1.2928041514124815</v>
      </c>
      <c r="AA41" s="15">
        <f t="shared" si="21"/>
        <v>-0.64131133535788676</v>
      </c>
      <c r="AB41" s="23">
        <f t="shared" si="24"/>
        <v>0.64131133535787832</v>
      </c>
      <c r="AD41" s="11">
        <v>1.9325228893370201</v>
      </c>
      <c r="AE41" s="11">
        <v>-7.8472914776207103E-2</v>
      </c>
      <c r="AF41" s="15">
        <f t="shared" si="25"/>
        <v>1.9341154867703683</v>
      </c>
      <c r="AG41" s="18">
        <f t="shared" si="26"/>
        <v>0.64131133535787832</v>
      </c>
      <c r="AH41" s="13"/>
      <c r="AI41" s="13"/>
      <c r="AJ41" s="12">
        <v>1.19360888306646</v>
      </c>
      <c r="AK41" s="12">
        <v>0.496629044835463</v>
      </c>
      <c r="AL41" s="12">
        <v>1.2928041514124899</v>
      </c>
      <c r="AN41" s="13"/>
      <c r="AO41" s="13"/>
      <c r="AP41" s="13"/>
    </row>
    <row r="42" spans="1:42" x14ac:dyDescent="0.3">
      <c r="D42" s="17">
        <v>1</v>
      </c>
      <c r="E42" s="17">
        <v>8</v>
      </c>
      <c r="V42" s="24">
        <f t="shared" si="22"/>
        <v>4.8849813083506888E-15</v>
      </c>
      <c r="W42" s="13"/>
      <c r="X42" s="17">
        <v>1.45090533050273</v>
      </c>
      <c r="Y42" s="13">
        <v>-0.65282312338162096</v>
      </c>
      <c r="Z42" s="15">
        <f t="shared" si="23"/>
        <v>1.5910073250940648</v>
      </c>
      <c r="AA42" s="15">
        <f t="shared" si="21"/>
        <v>-8.2268233429405369E-2</v>
      </c>
      <c r="AB42" s="23">
        <f t="shared" si="24"/>
        <v>8.2268233429410254E-2</v>
      </c>
      <c r="AD42" s="11">
        <v>1.6651192096282099</v>
      </c>
      <c r="AE42" s="11">
        <v>-0.16501246158747199</v>
      </c>
      <c r="AF42" s="15">
        <f t="shared" si="25"/>
        <v>1.6732755585234702</v>
      </c>
      <c r="AG42" s="18">
        <f t="shared" si="26"/>
        <v>8.2268233429410254E-2</v>
      </c>
      <c r="AH42" s="13"/>
      <c r="AI42" s="13"/>
      <c r="AJ42" s="12">
        <v>1.45090533050273</v>
      </c>
      <c r="AK42" s="12">
        <v>-0.65282312338162096</v>
      </c>
      <c r="AL42" s="12">
        <v>1.59100732509406</v>
      </c>
      <c r="AN42" s="13"/>
      <c r="AO42" s="13"/>
      <c r="AP42" s="13"/>
    </row>
    <row r="43" spans="1:42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AA43" s="17"/>
      <c r="AB43" s="17"/>
      <c r="AC43" s="8"/>
      <c r="AD43" s="17"/>
    </row>
    <row r="44" spans="1:42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AA44" s="17"/>
      <c r="AB44" s="17"/>
      <c r="AC44" s="17"/>
    </row>
    <row r="45" spans="1:42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AA45" s="13" t="s">
        <v>41</v>
      </c>
      <c r="AE45" s="17"/>
      <c r="AF45" s="17"/>
    </row>
    <row r="46" spans="1:42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AE46" s="17"/>
      <c r="AF46" s="17"/>
    </row>
    <row r="47" spans="1:42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AA47" s="13" t="s">
        <v>38</v>
      </c>
      <c r="AB47" s="13" t="s">
        <v>37</v>
      </c>
      <c r="AC47" s="3">
        <v>0.59154030956589698</v>
      </c>
      <c r="AE47" s="17"/>
      <c r="AF47" s="17"/>
    </row>
    <row r="48" spans="1:42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AA48" s="13" t="s">
        <v>39</v>
      </c>
      <c r="AC48" s="13">
        <v>0.59199999999999997</v>
      </c>
      <c r="AE48" s="17"/>
      <c r="AF48" s="17"/>
    </row>
    <row r="49" spans="1:32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AA49" s="13" t="s">
        <v>40</v>
      </c>
      <c r="AB49" s="13" t="s">
        <v>36</v>
      </c>
      <c r="AC49" s="13">
        <v>0.59242910402239002</v>
      </c>
      <c r="AE49" s="17"/>
      <c r="AF49" s="17"/>
    </row>
    <row r="50" spans="1:32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AC50" s="13">
        <v>-0.364877719018873</v>
      </c>
      <c r="AD50" s="13">
        <v>3.5277430225033601E-2</v>
      </c>
      <c r="AE50" s="13">
        <v>0.36657911413458599</v>
      </c>
      <c r="AF50" s="17"/>
    </row>
    <row r="51" spans="1:32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AA51" s="17"/>
      <c r="AB51" s="17"/>
      <c r="AC51" s="17"/>
    </row>
    <row r="52" spans="1:32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AA52" s="17"/>
      <c r="AB52" s="17"/>
      <c r="AC52" s="17"/>
    </row>
    <row r="53" spans="1:32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AA53" s="17"/>
      <c r="AB53" s="17"/>
      <c r="AC53" s="17"/>
    </row>
    <row r="54" spans="1:32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AA54" s="17"/>
      <c r="AB54" s="17"/>
      <c r="AC54" s="17"/>
    </row>
    <row r="55" spans="1:32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AA55" s="17"/>
      <c r="AB55" s="17"/>
      <c r="AC55" s="17"/>
    </row>
    <row r="56" spans="1:32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A56" s="17"/>
      <c r="AB56" s="17"/>
      <c r="AC56" s="17"/>
    </row>
    <row r="57" spans="1:32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AA57" s="17"/>
      <c r="AB57" s="17"/>
      <c r="AC57" s="17"/>
    </row>
    <row r="58" spans="1:32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AA58" s="17"/>
      <c r="AB58" s="17"/>
      <c r="AC58" s="17"/>
    </row>
    <row r="59" spans="1:32" s="13" customFormat="1" x14ac:dyDescent="0.3">
      <c r="A59" s="43" t="s">
        <v>21</v>
      </c>
      <c r="B59" s="43" t="s">
        <v>28</v>
      </c>
      <c r="C59" s="43" t="s">
        <v>44</v>
      </c>
      <c r="D59" s="43" t="s">
        <v>45</v>
      </c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AA59" s="17"/>
      <c r="AB59" s="17"/>
      <c r="AC59" s="17"/>
    </row>
    <row r="60" spans="1:32" s="13" customFormat="1" x14ac:dyDescent="0.3">
      <c r="A60" s="43">
        <v>1</v>
      </c>
      <c r="B60" s="43">
        <v>0</v>
      </c>
      <c r="C60" s="43">
        <v>0.30752200000000002</v>
      </c>
      <c r="D60" s="43">
        <v>-0.30752200000000002</v>
      </c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AA60" s="17"/>
      <c r="AB60" s="17"/>
      <c r="AC60" s="17"/>
    </row>
    <row r="61" spans="1:32" s="13" customFormat="1" x14ac:dyDescent="0.3">
      <c r="A61" s="43">
        <v>1</v>
      </c>
      <c r="B61" s="43">
        <v>0.05</v>
      </c>
      <c r="C61" s="43">
        <v>0.30796899999999999</v>
      </c>
      <c r="D61" s="43">
        <v>-0.30707400000000001</v>
      </c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AA61" s="17"/>
      <c r="AB61" s="17"/>
      <c r="AC61" s="17"/>
    </row>
    <row r="62" spans="1:32" s="13" customFormat="1" x14ac:dyDescent="0.3">
      <c r="A62" s="43">
        <v>1</v>
      </c>
      <c r="B62" s="43">
        <v>0.1</v>
      </c>
      <c r="C62" s="43">
        <v>0.308417</v>
      </c>
      <c r="D62" s="43">
        <v>-0.30662600000000001</v>
      </c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AA62" s="17"/>
      <c r="AB62" s="17"/>
      <c r="AC62" s="17"/>
    </row>
    <row r="63" spans="1:32" s="13" customFormat="1" x14ac:dyDescent="0.3">
      <c r="A63" s="43">
        <v>1</v>
      </c>
      <c r="B63" s="43">
        <v>0.15</v>
      </c>
      <c r="C63" s="43">
        <v>0.308865</v>
      </c>
      <c r="D63" s="43">
        <v>-0.30617800000000001</v>
      </c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AA63" s="17"/>
      <c r="AB63" s="17"/>
      <c r="AC63" s="17"/>
    </row>
    <row r="64" spans="1:32" s="13" customFormat="1" x14ac:dyDescent="0.3">
      <c r="A64" s="43">
        <v>1</v>
      </c>
      <c r="B64" s="43">
        <v>0.2</v>
      </c>
      <c r="C64" s="43">
        <v>0.30931199999999998</v>
      </c>
      <c r="D64" s="43">
        <v>-0.30573099999999998</v>
      </c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AA64" s="17"/>
      <c r="AB64" s="17"/>
      <c r="AC64" s="17"/>
    </row>
    <row r="65" spans="1:29" s="13" customFormat="1" x14ac:dyDescent="0.3">
      <c r="A65" s="43">
        <v>2</v>
      </c>
      <c r="B65" s="43">
        <v>0</v>
      </c>
      <c r="C65" s="43">
        <v>0.41836699999999999</v>
      </c>
      <c r="D65" s="43">
        <v>-0.41836699999999999</v>
      </c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AA65" s="17"/>
      <c r="AB65" s="17"/>
      <c r="AC65" s="17"/>
    </row>
    <row r="66" spans="1:29" s="13" customFormat="1" x14ac:dyDescent="0.3">
      <c r="A66" s="43">
        <v>2</v>
      </c>
      <c r="B66" s="43">
        <v>0.05</v>
      </c>
      <c r="C66" s="43">
        <v>0.41950199999999999</v>
      </c>
      <c r="D66" s="43">
        <v>-0.41723199999999999</v>
      </c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AA66" s="17"/>
      <c r="AB66" s="17"/>
      <c r="AC66" s="17"/>
    </row>
    <row r="67" spans="1:29" s="13" customFormat="1" x14ac:dyDescent="0.3">
      <c r="A67" s="43">
        <v>2</v>
      </c>
      <c r="B67" s="43">
        <v>0.1</v>
      </c>
      <c r="C67" s="43">
        <v>0.42063600000000001</v>
      </c>
      <c r="D67" s="43">
        <v>-0.41609699999999999</v>
      </c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AA67" s="17"/>
      <c r="AB67" s="17"/>
      <c r="AC67" s="17"/>
    </row>
    <row r="68" spans="1:29" s="13" customFormat="1" x14ac:dyDescent="0.3">
      <c r="A68" s="43">
        <v>2</v>
      </c>
      <c r="B68" s="43">
        <v>0.15</v>
      </c>
      <c r="C68" s="43">
        <v>0.42177100000000001</v>
      </c>
      <c r="D68" s="43">
        <v>-0.414962</v>
      </c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AA68" s="17"/>
      <c r="AB68" s="17"/>
      <c r="AC68" s="17"/>
    </row>
    <row r="69" spans="1:29" s="13" customFormat="1" x14ac:dyDescent="0.3">
      <c r="A69" s="43">
        <v>2</v>
      </c>
      <c r="B69" s="43">
        <v>0.2</v>
      </c>
      <c r="C69" s="43">
        <v>0.422906</v>
      </c>
      <c r="D69" s="43">
        <v>-0.413827</v>
      </c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AA69" s="17"/>
      <c r="AB69" s="17"/>
      <c r="AC69" s="17"/>
    </row>
    <row r="70" spans="1:29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AA70" s="17"/>
      <c r="AB70" s="17"/>
      <c r="AC70" s="17"/>
    </row>
    <row r="71" spans="1:29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17"/>
      <c r="AB71" s="17"/>
      <c r="AC71" s="17"/>
    </row>
    <row r="72" spans="1:29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AA72" s="17"/>
      <c r="AB72" s="17"/>
      <c r="AC72" s="17"/>
    </row>
    <row r="73" spans="1:29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AA73" s="17"/>
      <c r="AB73" s="17"/>
      <c r="AC73" s="17"/>
    </row>
    <row r="74" spans="1:29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AA74" s="17"/>
      <c r="AB74" s="17"/>
      <c r="AC74" s="17"/>
    </row>
    <row r="75" spans="1:29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AA75" s="17"/>
      <c r="AB75" s="17"/>
      <c r="AC75" s="17"/>
    </row>
    <row r="76" spans="1:29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AA76" s="17"/>
      <c r="AB76" s="17"/>
      <c r="AC76" s="17"/>
    </row>
    <row r="77" spans="1:29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AA77" s="17"/>
      <c r="AB77" s="17"/>
      <c r="AC77" s="17"/>
    </row>
    <row r="78" spans="1:29" x14ac:dyDescent="0.3">
      <c r="V78" s="13"/>
      <c r="W78" s="13"/>
      <c r="X78" s="13"/>
    </row>
    <row r="79" spans="1:29" x14ac:dyDescent="0.3">
      <c r="V79" s="13"/>
      <c r="W79" s="13"/>
      <c r="X79" s="13"/>
    </row>
    <row r="80" spans="1:29" x14ac:dyDescent="0.3">
      <c r="V80" s="13"/>
      <c r="W80" s="13"/>
      <c r="X80" s="13"/>
    </row>
    <row r="81" spans="22:24" x14ac:dyDescent="0.3">
      <c r="V81" s="13"/>
      <c r="W81" s="13"/>
      <c r="X81" s="13"/>
    </row>
    <row r="82" spans="22:24" x14ac:dyDescent="0.3">
      <c r="V82" s="13"/>
      <c r="W82" s="13"/>
      <c r="X82" s="13"/>
    </row>
    <row r="83" spans="22:24" x14ac:dyDescent="0.3">
      <c r="V83" s="13"/>
      <c r="W83" s="13"/>
      <c r="X83" s="13"/>
    </row>
    <row r="84" spans="22:24" x14ac:dyDescent="0.3">
      <c r="V84" s="13"/>
      <c r="W84" s="13"/>
      <c r="X84" s="13"/>
    </row>
    <row r="85" spans="22:24" x14ac:dyDescent="0.3">
      <c r="V85" s="13"/>
      <c r="W85" s="13"/>
      <c r="X85" s="13"/>
    </row>
    <row r="86" spans="22:24" x14ac:dyDescent="0.3">
      <c r="V86" s="13"/>
      <c r="W86" s="13"/>
      <c r="X86" s="13"/>
    </row>
    <row r="87" spans="22:24" x14ac:dyDescent="0.3">
      <c r="V87" s="13"/>
      <c r="W87" s="13"/>
      <c r="X87" s="13"/>
    </row>
    <row r="88" spans="22:24" x14ac:dyDescent="0.3">
      <c r="V88" s="13"/>
      <c r="W88" s="13"/>
      <c r="X88" s="13"/>
    </row>
    <row r="89" spans="22:24" x14ac:dyDescent="0.3">
      <c r="V89" s="13"/>
      <c r="W89" s="13"/>
      <c r="X89" s="13"/>
    </row>
  </sheetData>
  <phoneticPr fontId="18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C0595-75C8-4691-BEAE-78D2FB2062AC}">
  <dimension ref="B3:I10"/>
  <sheetViews>
    <sheetView zoomScale="130" zoomScaleNormal="130" workbookViewId="0">
      <selection activeCell="H12" sqref="H12"/>
    </sheetView>
  </sheetViews>
  <sheetFormatPr defaultRowHeight="14.4" x14ac:dyDescent="0.3"/>
  <cols>
    <col min="8" max="8" width="10.21875" customWidth="1"/>
  </cols>
  <sheetData>
    <row r="3" spans="2:9" x14ac:dyDescent="0.3">
      <c r="C3" t="s">
        <v>65</v>
      </c>
      <c r="D3" t="s">
        <v>66</v>
      </c>
      <c r="E3" t="s">
        <v>67</v>
      </c>
      <c r="F3" s="25" t="s">
        <v>68</v>
      </c>
      <c r="G3" s="25" t="s">
        <v>69</v>
      </c>
      <c r="H3" s="25" t="s">
        <v>70</v>
      </c>
      <c r="I3" s="46" t="s">
        <v>11</v>
      </c>
    </row>
    <row r="4" spans="2:9" x14ac:dyDescent="0.3">
      <c r="B4" s="17">
        <v>0</v>
      </c>
      <c r="C4" s="15">
        <v>0.41780845290741098</v>
      </c>
      <c r="D4" s="15">
        <v>-0.41836309733543903</v>
      </c>
      <c r="E4" s="44">
        <v>0.59126270348550403</v>
      </c>
      <c r="F4" s="25">
        <v>0.41836699999999999</v>
      </c>
      <c r="G4" s="25">
        <v>-0.41836699999999999</v>
      </c>
      <c r="H4" s="26">
        <v>0.59165999999999996</v>
      </c>
      <c r="I4" s="47">
        <v>0.41836404112053699</v>
      </c>
    </row>
    <row r="5" spans="2:9" x14ac:dyDescent="0.3">
      <c r="B5" s="17">
        <v>0.05</v>
      </c>
      <c r="C5" s="15">
        <v>0.41888723604943401</v>
      </c>
      <c r="D5" s="15">
        <v>-0.41713875947696</v>
      </c>
      <c r="E5" s="45">
        <v>0.59116094355353999</v>
      </c>
      <c r="F5" s="25">
        <v>0.41950199999999999</v>
      </c>
      <c r="G5" s="25">
        <v>-0.41723199999999999</v>
      </c>
      <c r="H5" s="26">
        <v>0.59166200000000002</v>
      </c>
      <c r="I5" s="47">
        <v>0.41947602637676601</v>
      </c>
    </row>
    <row r="6" spans="2:9" x14ac:dyDescent="0.3">
      <c r="B6" s="17">
        <v>0.1</v>
      </c>
      <c r="C6" s="15">
        <v>0.41985514395877999</v>
      </c>
      <c r="D6" s="15">
        <v>-0.41619351749012401</v>
      </c>
      <c r="E6" s="44">
        <v>0.59118134773472897</v>
      </c>
      <c r="F6" s="25">
        <v>0.42063600000000001</v>
      </c>
      <c r="G6" s="25">
        <v>-0.41609699999999999</v>
      </c>
      <c r="H6" s="26">
        <v>0.591669</v>
      </c>
      <c r="I6" s="47">
        <v>0.41366088541155099</v>
      </c>
    </row>
    <row r="7" spans="2:9" x14ac:dyDescent="0.3">
      <c r="B7" s="17">
        <v>0.2</v>
      </c>
      <c r="C7" s="15">
        <v>0.43903701064051498</v>
      </c>
      <c r="D7" s="15">
        <v>-0.40568558198158</v>
      </c>
      <c r="E7" s="45">
        <v>0.59777444587393702</v>
      </c>
      <c r="F7" s="25">
        <v>0.422906</v>
      </c>
      <c r="G7" s="25">
        <v>-0.413827</v>
      </c>
      <c r="H7" s="26">
        <v>0.59169499999999997</v>
      </c>
      <c r="I7" s="47">
        <v>0.56773347902228199</v>
      </c>
    </row>
    <row r="8" spans="2:9" x14ac:dyDescent="0.3">
      <c r="B8" s="17">
        <v>0.5</v>
      </c>
      <c r="C8" s="15">
        <v>0.43304269178049298</v>
      </c>
      <c r="D8" s="15">
        <v>-0.40562753767350901</v>
      </c>
      <c r="E8" s="45">
        <v>0.59334616559270803</v>
      </c>
      <c r="F8">
        <v>0.42971571055923502</v>
      </c>
      <c r="G8">
        <v>-0.40701764187400502</v>
      </c>
      <c r="H8">
        <v>0.59187748115476002</v>
      </c>
      <c r="I8" s="47">
        <v>-0.35918754602071101</v>
      </c>
    </row>
    <row r="9" spans="2:9" x14ac:dyDescent="0.3">
      <c r="B9" s="17">
        <v>0.7</v>
      </c>
      <c r="C9" s="15">
        <v>0.431500128778734</v>
      </c>
      <c r="D9" s="15">
        <v>-0.40116515446589002</v>
      </c>
      <c r="E9" s="44">
        <v>0.58917386423169305</v>
      </c>
      <c r="F9">
        <v>0.434255324296282</v>
      </c>
      <c r="G9">
        <v>-0.40247802813695999</v>
      </c>
      <c r="H9">
        <v>0.59208635334103399</v>
      </c>
      <c r="I9" s="47">
        <v>1.3532193644232</v>
      </c>
    </row>
    <row r="10" spans="2:9" x14ac:dyDescent="0.3">
      <c r="B10" s="17">
        <v>1</v>
      </c>
      <c r="C10" s="15">
        <v>0.43555484974580599</v>
      </c>
      <c r="D10" s="15">
        <v>-0.39331114032323899</v>
      </c>
      <c r="E10" s="45">
        <v>0.586857461603292</v>
      </c>
      <c r="F10">
        <v>0.44106474490185099</v>
      </c>
      <c r="G10">
        <v>-0.39566860753139099</v>
      </c>
      <c r="H10">
        <v>0.59252996226449495</v>
      </c>
      <c r="I10" s="5">
        <v>-0.75384195005925503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zoomScale="115" zoomScaleNormal="115" workbookViewId="0">
      <selection activeCell="G5" sqref="G5"/>
    </sheetView>
  </sheetViews>
  <sheetFormatPr defaultRowHeight="14.4" x14ac:dyDescent="0.3"/>
  <cols>
    <col min="6" max="6" width="13.6640625" style="2" customWidth="1"/>
    <col min="7" max="7" width="11.44140625" style="2" customWidth="1"/>
    <col min="8" max="8" width="19.88671875" style="2" customWidth="1"/>
    <col min="10" max="10" width="10" customWidth="1"/>
    <col min="11" max="11" width="10.5546875" customWidth="1"/>
    <col min="12" max="12" width="10.21875" customWidth="1"/>
    <col min="13" max="13" width="11.109375" customWidth="1"/>
    <col min="14" max="14" width="19.77734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J1" s="2" t="s">
        <v>61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41">
        <v>0.41775835303139602</v>
      </c>
      <c r="G2" s="41">
        <v>-0.41845728182989</v>
      </c>
      <c r="H2" s="40">
        <v>0.59129395248384198</v>
      </c>
      <c r="I2" s="1">
        <v>3.7952230000000002E-9</v>
      </c>
      <c r="J2" s="42">
        <v>0.41836667621661899</v>
      </c>
      <c r="K2" s="42">
        <v>-0.41836667621661899</v>
      </c>
      <c r="L2" s="10"/>
      <c r="M2" s="1">
        <f>H2-R2</f>
        <v>-3.641508477960631E-4</v>
      </c>
      <c r="N2" s="39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41">
        <v>-0.41785368229436198</v>
      </c>
      <c r="G3" s="41">
        <v>0.41861575752434799</v>
      </c>
      <c r="H3" s="40">
        <v>0.59147345862231404</v>
      </c>
      <c r="I3" s="1">
        <v>3.8840919999999998E-9</v>
      </c>
      <c r="J3" s="42">
        <v>0.41836667621661899</v>
      </c>
      <c r="K3" s="42">
        <v>-0.41836667621661899</v>
      </c>
      <c r="M3" s="1">
        <f t="shared" ref="M3:M55" si="0">H3-R3</f>
        <v>-1.8464470932400001E-4</v>
      </c>
      <c r="N3" s="39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41">
        <v>-0.41760494651178798</v>
      </c>
      <c r="G4" s="41">
        <v>0.41855326901747397</v>
      </c>
      <c r="H4" s="40">
        <v>0.59125352460372504</v>
      </c>
      <c r="I4" s="1">
        <v>3.6890510000000001E-9</v>
      </c>
      <c r="J4" s="42">
        <v>0.41836667621661899</v>
      </c>
      <c r="K4" s="42">
        <v>-0.41836667621661899</v>
      </c>
      <c r="L4" s="1"/>
      <c r="M4" s="1">
        <f t="shared" si="0"/>
        <v>-4.0457872791299643E-4</v>
      </c>
      <c r="N4" s="39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41">
        <v>-0.42117703484873398</v>
      </c>
      <c r="G5" s="41">
        <v>0.41615945003722599</v>
      </c>
      <c r="H5" s="3">
        <v>0.59209693677577702</v>
      </c>
      <c r="I5" s="1">
        <v>6.8381520000000004E-6</v>
      </c>
      <c r="J5" s="25">
        <v>0.41950199999999999</v>
      </c>
      <c r="K5" s="25">
        <v>-0.41723199999999999</v>
      </c>
      <c r="L5" s="26">
        <v>0.59166200000000002</v>
      </c>
      <c r="M5" s="1">
        <f t="shared" si="0"/>
        <v>4.6067367589297525E-4</v>
      </c>
      <c r="N5" s="39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41">
        <v>-0.41907586994882401</v>
      </c>
      <c r="G6" s="41">
        <v>0.417345859864308</v>
      </c>
      <c r="H6" s="3">
        <v>0.59144074218745102</v>
      </c>
      <c r="I6" s="1">
        <v>6.462594E-6</v>
      </c>
      <c r="J6" s="25">
        <v>0.41950199999999999</v>
      </c>
      <c r="K6" s="25">
        <v>-0.41723199999999999</v>
      </c>
      <c r="L6" s="26">
        <v>0.59166200000000002</v>
      </c>
      <c r="M6" s="1">
        <f t="shared" si="0"/>
        <v>-1.9552091243302261E-4</v>
      </c>
      <c r="N6" s="39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41">
        <v>0.41963681898939897</v>
      </c>
      <c r="G7" s="41">
        <v>-0.41692310800647098</v>
      </c>
      <c r="H7" s="3">
        <v>0.59154030956589698</v>
      </c>
      <c r="I7" s="1">
        <v>6.5112070000000004E-6</v>
      </c>
      <c r="J7" s="25">
        <v>0.41950199999999999</v>
      </c>
      <c r="K7" s="25">
        <v>-0.41723199999999999</v>
      </c>
      <c r="L7" s="26">
        <v>0.59166200000000002</v>
      </c>
      <c r="M7" s="1">
        <f t="shared" si="0"/>
        <v>-9.5953533987058748E-5</v>
      </c>
      <c r="N7" s="39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41">
        <v>0.42362609015358699</v>
      </c>
      <c r="G8" s="41">
        <v>-0.41425595728869902</v>
      </c>
      <c r="H8" s="37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39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41">
        <v>0.42160636626889902</v>
      </c>
      <c r="G9" s="41">
        <v>-0.40674874977876802</v>
      </c>
      <c r="H9" s="37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39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41">
        <v>0.42501052300576297</v>
      </c>
      <c r="G10" s="41">
        <v>-0.41415725722987701</v>
      </c>
      <c r="H10" s="37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39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41">
        <v>0.428707914479522</v>
      </c>
      <c r="G11" s="41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39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41">
        <v>0.42887176385735898</v>
      </c>
      <c r="G12" s="41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39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41">
        <v>-0.421554354531534</v>
      </c>
      <c r="G13" s="41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39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41">
        <v>-0.43097276610749602</v>
      </c>
      <c r="G14" s="41">
        <v>0.36771866454008101</v>
      </c>
      <c r="H14" s="37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39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41">
        <v>0.43316492739521101</v>
      </c>
      <c r="G15" s="41">
        <v>-0.41213577276419999</v>
      </c>
      <c r="H15" s="37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39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41">
        <v>0.422779652242463</v>
      </c>
      <c r="G16" s="41">
        <v>-0.41364440212949699</v>
      </c>
      <c r="H16" s="37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39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41">
        <v>0.42948948987345698</v>
      </c>
      <c r="G17" s="41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39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41">
        <v>0.44167671796432401</v>
      </c>
      <c r="G18" s="41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39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41">
        <v>-0.42904637874163098</v>
      </c>
      <c r="G19" s="41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39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41">
        <v>0.43447872656870301</v>
      </c>
      <c r="G20" s="41">
        <v>-0.28735576903575299</v>
      </c>
      <c r="H20" s="37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39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41">
        <v>0.432712624318568</v>
      </c>
      <c r="G21" s="41">
        <v>-0.322657799427637</v>
      </c>
      <c r="H21" s="37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39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41">
        <v>0.43513703968689699</v>
      </c>
      <c r="G22" s="41">
        <v>-0.35222644984106699</v>
      </c>
      <c r="H22" s="37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39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41">
        <v>1.10500221497013</v>
      </c>
      <c r="G23" s="41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39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41">
        <v>-0.441358775995073</v>
      </c>
      <c r="G24" s="41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39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41">
        <v>-0.43906727337715101</v>
      </c>
      <c r="G25" s="41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39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41">
        <v>-0.43306211496137098</v>
      </c>
      <c r="G26" s="41">
        <v>0.27798353385122498</v>
      </c>
      <c r="H26" s="37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39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41">
        <v>-0.632934496398049</v>
      </c>
      <c r="G27" s="41">
        <v>-0.20728309741505099</v>
      </c>
      <c r="H27" s="37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39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41">
        <v>0.439673905538146</v>
      </c>
      <c r="G28" s="41">
        <v>-0.252272658152836</v>
      </c>
      <c r="H28" s="37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39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41">
        <v>0.42898998344863298</v>
      </c>
      <c r="G29" s="41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39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41">
        <v>0.43013981718821498</v>
      </c>
      <c r="G30" s="41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39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41">
        <v>-0.441515997630191</v>
      </c>
      <c r="G31" s="41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39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41">
        <v>0.40284725419550899</v>
      </c>
      <c r="G32" s="41">
        <v>-7.8836044366930799E-2</v>
      </c>
      <c r="H32" s="37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39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41">
        <v>-0.43286965517553999</v>
      </c>
      <c r="G33" s="41">
        <v>0.53639272718551301</v>
      </c>
      <c r="H33" s="37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39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41">
        <v>-0.44345781507742998</v>
      </c>
      <c r="G34" s="41">
        <v>0.26844629637560202</v>
      </c>
      <c r="H34" s="37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39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41">
        <v>0.34111336882891702</v>
      </c>
      <c r="G35" s="41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39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41">
        <v>-0.49939487189447102</v>
      </c>
      <c r="G36" s="41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39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41">
        <v>-0.44753086447989698</v>
      </c>
      <c r="G37" s="41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39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41">
        <v>2.0533890624311102</v>
      </c>
      <c r="G38" s="41">
        <v>0.338717222635674</v>
      </c>
      <c r="H38" s="38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39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41">
        <v>0.38875603774941703</v>
      </c>
      <c r="G39" s="41">
        <v>-0.18253668829335301</v>
      </c>
      <c r="H39" s="38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39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41">
        <v>-0.39580043246682001</v>
      </c>
      <c r="G40" s="41">
        <v>0.16185105293874</v>
      </c>
      <c r="H40" s="38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39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41">
        <v>0.71890564638125098</v>
      </c>
      <c r="G41" s="41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39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41">
        <v>0.458220440771819</v>
      </c>
      <c r="G42" s="41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39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41">
        <v>0.43364537005112902</v>
      </c>
      <c r="G43" s="41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39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41">
        <v>-0.27992729188315002</v>
      </c>
      <c r="G44" s="41">
        <v>0.12574003548159199</v>
      </c>
      <c r="H44" s="38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39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41">
        <v>-0.33105506082549102</v>
      </c>
      <c r="G45" s="41">
        <v>5.0014672478682902E-2</v>
      </c>
      <c r="H45" s="38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39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41">
        <v>-0.41630155072723501</v>
      </c>
      <c r="G46" s="41">
        <v>0.13287502594477099</v>
      </c>
      <c r="H46" s="38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39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41">
        <v>0.44467422076545299</v>
      </c>
      <c r="G47" s="41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39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41">
        <v>0.29923569080071399</v>
      </c>
      <c r="G48" s="41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39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41">
        <v>0.97432581904182802</v>
      </c>
      <c r="G49" s="41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39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41">
        <v>8.9165534081367695E-2</v>
      </c>
      <c r="G50" s="41">
        <v>-0.12134322732285099</v>
      </c>
      <c r="H50" s="38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39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41">
        <v>0.190003751384313</v>
      </c>
      <c r="G51" s="41">
        <v>-7.5393716807126004E-2</v>
      </c>
      <c r="H51" s="38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39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41">
        <v>-0.114025896146698</v>
      </c>
      <c r="G52" s="41">
        <v>-0.132418384039168</v>
      </c>
      <c r="H52" s="38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39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41">
        <v>0.17679566077806</v>
      </c>
      <c r="G53" s="41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39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41">
        <v>0.28774808947310299</v>
      </c>
      <c r="G54" s="41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39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41">
        <v>-7.2729668710166298E-2</v>
      </c>
      <c r="G55" s="41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39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I54" sqref="I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Omega_1_WarmML_vs_Pet</vt:lpstr>
      <vt:lpstr>Warm_om1_lam_scan00</vt:lpstr>
      <vt:lpstr>Sheet4</vt:lpstr>
      <vt:lpstr>Peturbation Results</vt:lpstr>
      <vt:lpstr>Omega is 2warm</vt:lpstr>
      <vt:lpstr>warm</vt:lpstr>
      <vt:lpstr>Gemini</vt:lpstr>
      <vt:lpstr>Omega is 2</vt:lpstr>
      <vt:lpstr>Sheet1</vt:lpstr>
      <vt:lpstr>nn_loop_startfinish0</vt:lpstr>
      <vt:lpstr>nn_loop_startfinish0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2026-05-05T08:49:21Z</dcterms:modified>
</cp:coreProperties>
</file>