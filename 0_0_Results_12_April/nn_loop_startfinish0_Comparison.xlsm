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xampp1\Quantum\0_0_Results_12_April\"/>
    </mc:Choice>
  </mc:AlternateContent>
  <xr:revisionPtr revIDLastSave="0" documentId="13_ncr:1_{C43B9883-2B15-494D-B5E9-C33B0968793E}" xr6:coauthVersionLast="47" xr6:coauthVersionMax="47" xr10:uidLastSave="{00000000-0000-0000-0000-000000000000}"/>
  <bookViews>
    <workbookView xWindow="-2880" yWindow="-17388" windowWidth="30936" windowHeight="16896" activeTab="1" xr2:uid="{0214F829-416B-417F-A884-792D136A6FF9}"/>
  </bookViews>
  <sheets>
    <sheet name="Omega is 2" sheetId="3" r:id="rId1"/>
    <sheet name="nn_loop_startfinish0" sheetId="1" r:id="rId2"/>
    <sheet name="nn_loop_startfinish0 (2)" sheetId="2" r:id="rId3"/>
  </sheets>
  <definedNames>
    <definedName name="_xlnm._FilterDatabase" localSheetId="2" hidden="1">'nn_loop_startfinish0 (2)'!$A$1:$AD$55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3" l="1"/>
  <c r="M9" i="3"/>
  <c r="M10" i="3"/>
  <c r="M11" i="3"/>
  <c r="M12" i="3"/>
  <c r="M13" i="3"/>
  <c r="M6" i="3"/>
  <c r="M7" i="3"/>
  <c r="M5" i="3"/>
  <c r="M4" i="3"/>
  <c r="J5" i="3"/>
  <c r="J6" i="3"/>
  <c r="J7" i="3"/>
  <c r="J8" i="3"/>
  <c r="J9" i="3"/>
  <c r="J10" i="3"/>
  <c r="J11" i="3"/>
  <c r="J12" i="3"/>
  <c r="J13" i="3"/>
  <c r="I5" i="3"/>
  <c r="I6" i="3"/>
  <c r="I7" i="3"/>
  <c r="I8" i="3"/>
  <c r="I9" i="3"/>
  <c r="I10" i="3"/>
  <c r="I11" i="3"/>
  <c r="I12" i="3"/>
  <c r="I13" i="3"/>
  <c r="J4" i="3"/>
  <c r="H8" i="3"/>
  <c r="K5" i="3"/>
  <c r="L5" i="3"/>
  <c r="K6" i="3"/>
  <c r="L6" i="3"/>
  <c r="K7" i="3"/>
  <c r="L7" i="3"/>
  <c r="K8" i="3"/>
  <c r="L8" i="3"/>
  <c r="K9" i="3"/>
  <c r="L9" i="3"/>
  <c r="K10" i="3"/>
  <c r="L10" i="3"/>
  <c r="K11" i="3"/>
  <c r="L11" i="3"/>
  <c r="K12" i="3"/>
  <c r="L12" i="3"/>
  <c r="K13" i="3"/>
  <c r="L13" i="3"/>
  <c r="L4" i="3"/>
  <c r="K4" i="3"/>
  <c r="H9" i="3"/>
  <c r="H10" i="3"/>
  <c r="H11" i="3"/>
  <c r="H12" i="3"/>
  <c r="H13" i="3"/>
  <c r="H5" i="3"/>
  <c r="H6" i="3"/>
  <c r="H7" i="3"/>
  <c r="I4" i="3"/>
  <c r="H4" i="3"/>
  <c r="Q11" i="3"/>
  <c r="R11" i="3"/>
  <c r="Q12" i="3"/>
  <c r="R12" i="3"/>
  <c r="Q13" i="3"/>
  <c r="R13" i="3"/>
  <c r="Q9" i="3"/>
  <c r="R9" i="3"/>
  <c r="Q10" i="3"/>
  <c r="R10" i="3"/>
  <c r="Q5" i="3"/>
  <c r="R5" i="3"/>
  <c r="Q6" i="3"/>
  <c r="R6" i="3"/>
  <c r="Q7" i="3"/>
  <c r="R7" i="3"/>
  <c r="Q8" i="3"/>
  <c r="R8" i="3"/>
  <c r="R4" i="3"/>
  <c r="Q4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5" i="3"/>
  <c r="O5" i="3"/>
  <c r="P5" i="3"/>
  <c r="N6" i="3"/>
  <c r="O6" i="3"/>
  <c r="P6" i="3"/>
  <c r="N7" i="3"/>
  <c r="O7" i="3"/>
  <c r="P7" i="3"/>
  <c r="N8" i="3"/>
  <c r="O8" i="3"/>
  <c r="P8" i="3"/>
  <c r="P4" i="3"/>
  <c r="O4" i="3"/>
  <c r="N4" i="3"/>
  <c r="AF26" i="3"/>
  <c r="AB26" i="3" s="1"/>
  <c r="AF27" i="3"/>
  <c r="AG27" i="3" s="1"/>
  <c r="AF28" i="3"/>
  <c r="AG28" i="3" s="1"/>
  <c r="AF29" i="3"/>
  <c r="AF30" i="3"/>
  <c r="AG30" i="3" s="1"/>
  <c r="AF31" i="3"/>
  <c r="AB31" i="3" s="1"/>
  <c r="AF32" i="3"/>
  <c r="AF33" i="3"/>
  <c r="AG33" i="3" s="1"/>
  <c r="AF34" i="3"/>
  <c r="AB34" i="3" s="1"/>
  <c r="AF35" i="3"/>
  <c r="AG35" i="3" s="1"/>
  <c r="AF36" i="3"/>
  <c r="AG36" i="3" s="1"/>
  <c r="AF37" i="3"/>
  <c r="AB37" i="3" s="1"/>
  <c r="AF38" i="3"/>
  <c r="AB38" i="3" s="1"/>
  <c r="AF39" i="3"/>
  <c r="AG39" i="3" s="1"/>
  <c r="AF40" i="3"/>
  <c r="AF41" i="3"/>
  <c r="AG41" i="3" s="1"/>
  <c r="AF42" i="3"/>
  <c r="AB42" i="3" s="1"/>
  <c r="Z26" i="3"/>
  <c r="V26" i="3" s="1"/>
  <c r="Z27" i="3"/>
  <c r="V27" i="3" s="1"/>
  <c r="Z28" i="3"/>
  <c r="V28" i="3" s="1"/>
  <c r="Z29" i="3"/>
  <c r="V29" i="3" s="1"/>
  <c r="Z30" i="3"/>
  <c r="V30" i="3" s="1"/>
  <c r="Z31" i="3"/>
  <c r="Z32" i="3"/>
  <c r="V32" i="3" s="1"/>
  <c r="Z33" i="3"/>
  <c r="V33" i="3" s="1"/>
  <c r="Z34" i="3"/>
  <c r="V34" i="3" s="1"/>
  <c r="Z35" i="3"/>
  <c r="V35" i="3" s="1"/>
  <c r="Z36" i="3"/>
  <c r="V36" i="3" s="1"/>
  <c r="Z37" i="3"/>
  <c r="V37" i="3" s="1"/>
  <c r="Z38" i="3"/>
  <c r="V38" i="3" s="1"/>
  <c r="Z39" i="3"/>
  <c r="V39" i="3" s="1"/>
  <c r="Z40" i="3"/>
  <c r="V40" i="3" s="1"/>
  <c r="Z41" i="3"/>
  <c r="V41" i="3" s="1"/>
  <c r="Z42" i="3"/>
  <c r="V42" i="3" s="1"/>
  <c r="Z25" i="3"/>
  <c r="V25" i="3" s="1"/>
  <c r="AF25" i="3"/>
  <c r="AI25" i="3" s="1"/>
  <c r="AO25" i="3"/>
  <c r="AM25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G6" i="3"/>
  <c r="G5" i="3"/>
  <c r="G4" i="3"/>
  <c r="F5" i="3"/>
  <c r="F4" i="3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  <c r="M2" i="2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23" i="1"/>
  <c r="M24" i="1"/>
  <c r="M25" i="1"/>
  <c r="M26" i="1"/>
  <c r="M27" i="1"/>
  <c r="M28" i="1"/>
  <c r="M29" i="1"/>
  <c r="M30" i="1"/>
  <c r="M31" i="1"/>
  <c r="M32" i="1"/>
  <c r="M33" i="1"/>
  <c r="M14" i="1"/>
  <c r="M15" i="1"/>
  <c r="M16" i="1"/>
  <c r="M17" i="1"/>
  <c r="M18" i="1"/>
  <c r="M19" i="1"/>
  <c r="M20" i="1"/>
  <c r="M21" i="1"/>
  <c r="M22" i="1"/>
  <c r="M3" i="1"/>
  <c r="M4" i="1"/>
  <c r="M5" i="1"/>
  <c r="M6" i="1"/>
  <c r="M7" i="1"/>
  <c r="M8" i="1"/>
  <c r="M9" i="1"/>
  <c r="M10" i="1"/>
  <c r="M11" i="1"/>
  <c r="M12" i="1"/>
  <c r="M13" i="1"/>
  <c r="M2" i="1"/>
  <c r="AA31" i="3" l="1"/>
  <c r="AA32" i="3"/>
  <c r="AA27" i="3"/>
  <c r="AB36" i="3"/>
  <c r="AG34" i="3"/>
  <c r="AA37" i="3"/>
  <c r="AA29" i="3"/>
  <c r="AA40" i="3"/>
  <c r="AB29" i="3"/>
  <c r="AB28" i="3"/>
  <c r="AB40" i="3"/>
  <c r="AG31" i="3"/>
  <c r="AA42" i="3"/>
  <c r="AA34" i="3"/>
  <c r="AA26" i="3"/>
  <c r="AB39" i="3"/>
  <c r="AG32" i="3"/>
  <c r="AG29" i="3"/>
  <c r="AA39" i="3"/>
  <c r="AB30" i="3"/>
  <c r="AG40" i="3"/>
  <c r="AA38" i="3"/>
  <c r="AB25" i="3"/>
  <c r="AB35" i="3"/>
  <c r="AB27" i="3"/>
  <c r="V31" i="3"/>
  <c r="AG37" i="3"/>
  <c r="AB41" i="3"/>
  <c r="AB33" i="3"/>
  <c r="AB32" i="3"/>
  <c r="AG38" i="3"/>
  <c r="AA41" i="3"/>
  <c r="AA33" i="3"/>
  <c r="AG42" i="3"/>
  <c r="AG26" i="3"/>
  <c r="AA30" i="3"/>
  <c r="AA36" i="3"/>
  <c r="AA28" i="3"/>
  <c r="AA35" i="3"/>
  <c r="AG25" i="3"/>
  <c r="AA25" i="3"/>
</calcChain>
</file>

<file path=xl/sharedStrings.xml><?xml version="1.0" encoding="utf-8"?>
<sst xmlns="http://schemas.openxmlformats.org/spreadsheetml/2006/main" count="263" uniqueCount="61">
  <si>
    <t>lam</t>
  </si>
  <si>
    <t>x_i</t>
  </si>
  <si>
    <t>x_f</t>
  </si>
  <si>
    <t>seed</t>
  </si>
  <si>
    <t>best</t>
  </si>
  <si>
    <t>K_ml_re</t>
  </si>
  <si>
    <t>K_ml_im</t>
  </si>
  <si>
    <t>abs_K_ml</t>
  </si>
  <si>
    <t>std_err</t>
  </si>
  <si>
    <t>final_loss</t>
  </si>
  <si>
    <t>ess_n</t>
  </si>
  <si>
    <t>K_basis_re</t>
  </si>
  <si>
    <t>K_basis_im</t>
  </si>
  <si>
    <t>abs_K_basis</t>
  </si>
  <si>
    <t>K_basis_unc</t>
  </si>
  <si>
    <t>rel_diff_ml_basis</t>
  </si>
  <si>
    <t>K_mehler_re</t>
  </si>
  <si>
    <t>K_mehler_im</t>
  </si>
  <si>
    <t>N</t>
  </si>
  <si>
    <t>T</t>
  </si>
  <si>
    <t>m</t>
  </si>
  <si>
    <t>omega</t>
  </si>
  <si>
    <t>eps</t>
  </si>
  <si>
    <t>rank</t>
  </si>
  <si>
    <t>epochs</t>
  </si>
  <si>
    <t>time_s</t>
  </si>
  <si>
    <t>Y</t>
  </si>
  <si>
    <t>Basis Diff</t>
  </si>
  <si>
    <t>lambda</t>
  </si>
  <si>
    <t>Im_K</t>
  </si>
  <si>
    <t>abs_K</t>
  </si>
  <si>
    <t>Re_K_Ross</t>
  </si>
  <si>
    <t>K_basis_re check</t>
  </si>
  <si>
    <t>Omega</t>
  </si>
  <si>
    <t>epsilon 0.01</t>
  </si>
  <si>
    <t>epsilon 0.0001</t>
  </si>
  <si>
    <t>ep = 0</t>
  </si>
  <si>
    <t>ep = 0.01</t>
  </si>
  <si>
    <t>lam = 0.5</t>
  </si>
  <si>
    <t>lam = 0.6</t>
  </si>
  <si>
    <t>lam = 0.7</t>
  </si>
  <si>
    <t>Epsion check</t>
  </si>
  <si>
    <t>Carl Bender</t>
  </si>
  <si>
    <t>K_complex</t>
  </si>
  <si>
    <t>K_real</t>
  </si>
  <si>
    <t>K_imag</t>
  </si>
  <si>
    <t>0.307521507728162 - 0.307521507728162i</t>
  </si>
  <si>
    <t>0.307969197925209 - 0.307073817531114i</t>
  </si>
  <si>
    <t>0.308416888122257 - 0.306626127334067i</t>
  </si>
  <si>
    <t>0.308864578319305 - 0.306178437137019i</t>
  </si>
  <si>
    <t>0.309312268516352 - 0.305730746939972i</t>
  </si>
  <si>
    <t>0.418366676216620 - 0.418366676216620i</t>
  </si>
  <si>
    <t>0.419501579650881 - 0.417231772782358i</t>
  </si>
  <si>
    <t>0.420636483085143 - 0.416096869348097i</t>
  </si>
  <si>
    <t>0.421771386519404 - 0.414961965913835i</t>
  </si>
  <si>
    <t>0.422906289953666 - 0.413827062479573i</t>
  </si>
  <si>
    <t>Anna Okopińska</t>
  </si>
  <si>
    <t>ross</t>
  </si>
  <si>
    <t>ml</t>
  </si>
  <si>
    <t>tq basis</t>
  </si>
  <si>
    <t>Lamda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</si>
</sst>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"/>
    <numFmt numFmtId="167" formatCode="0.00000000"/>
    <numFmt numFmtId="168" formatCode="0.0000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9">
    <xf numFmtId="0" fontId="0" fillId="0" borderId="0" xfId="0"/>
    <xf numFmtId="164" fontId="0" fillId="0" borderId="0" xfId="0" applyNumberFormat="1" applyAlignment="1">
      <alignment horizontal="center"/>
    </xf>
    <xf numFmtId="0" fontId="0" fillId="33" borderId="0" xfId="0" applyFill="1"/>
    <xf numFmtId="164" fontId="0" fillId="33" borderId="0" xfId="0" applyNumberFormat="1" applyFill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0" fontId="0" fillId="35" borderId="0" xfId="0" applyFill="1" applyAlignment="1">
      <alignment horizontal="center"/>
    </xf>
    <xf numFmtId="2" fontId="0" fillId="35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36" borderId="0" xfId="0" applyFill="1"/>
    <xf numFmtId="164" fontId="0" fillId="36" borderId="0" xfId="0" applyNumberFormat="1" applyFill="1" applyAlignment="1">
      <alignment horizontal="center"/>
    </xf>
    <xf numFmtId="164" fontId="0" fillId="35" borderId="0" xfId="0" applyNumberFormat="1" applyFill="1" applyAlignment="1">
      <alignment horizontal="center"/>
    </xf>
    <xf numFmtId="165" fontId="0" fillId="34" borderId="0" xfId="0" applyNumberFormat="1" applyFill="1" applyAlignment="1">
      <alignment horizontal="center"/>
    </xf>
    <xf numFmtId="0" fontId="0" fillId="37" borderId="0" xfId="0" applyFill="1"/>
    <xf numFmtId="164" fontId="0" fillId="37" borderId="0" xfId="0" applyNumberFormat="1" applyFill="1"/>
    <xf numFmtId="164" fontId="0" fillId="37" borderId="0" xfId="0" applyNumberFormat="1" applyFill="1" applyAlignment="1">
      <alignment horizontal="center"/>
    </xf>
    <xf numFmtId="2" fontId="0" fillId="37" borderId="0" xfId="0" applyNumberFormat="1" applyFill="1"/>
    <xf numFmtId="0" fontId="0" fillId="37" borderId="0" xfId="0" applyFill="1" applyAlignment="1">
      <alignment horizontal="center"/>
    </xf>
    <xf numFmtId="165" fontId="0" fillId="37" borderId="0" xfId="0" applyNumberFormat="1" applyFill="1"/>
    <xf numFmtId="0" fontId="0" fillId="38" borderId="0" xfId="0" applyFill="1"/>
    <xf numFmtId="164" fontId="0" fillId="38" borderId="0" xfId="0" applyNumberFormat="1" applyFill="1" applyAlignment="1">
      <alignment horizontal="center"/>
    </xf>
    <xf numFmtId="165" fontId="0" fillId="38" borderId="0" xfId="0" applyNumberFormat="1" applyFill="1" applyAlignment="1">
      <alignment horizontal="center"/>
    </xf>
    <xf numFmtId="0" fontId="0" fillId="37" borderId="0" xfId="0" applyFill="1" applyAlignment="1">
      <alignment horizontal="left"/>
    </xf>
    <xf numFmtId="165" fontId="0" fillId="37" borderId="0" xfId="0" applyNumberFormat="1" applyFill="1" applyAlignment="1">
      <alignment horizontal="center"/>
    </xf>
    <xf numFmtId="167" fontId="0" fillId="37" borderId="0" xfId="0" applyNumberFormat="1" applyFill="1" applyAlignment="1">
      <alignment horizontal="center"/>
    </xf>
    <xf numFmtId="0" fontId="0" fillId="34" borderId="0" xfId="0" applyFill="1" applyAlignment="1">
      <alignment horizontal="center"/>
    </xf>
    <xf numFmtId="168" fontId="0" fillId="34" borderId="0" xfId="0" applyNumberFormat="1" applyFill="1" applyAlignment="1">
      <alignment horizontal="center"/>
    </xf>
    <xf numFmtId="164" fontId="0" fillId="37" borderId="10" xfId="0" applyNumberFormat="1" applyFill="1" applyBorder="1" applyAlignment="1">
      <alignment horizontal="center"/>
    </xf>
    <xf numFmtId="164" fontId="0" fillId="37" borderId="11" xfId="0" applyNumberFormat="1" applyFill="1" applyBorder="1" applyAlignment="1">
      <alignment horizontal="center"/>
    </xf>
    <xf numFmtId="164" fontId="0" fillId="37" borderId="12" xfId="0" applyNumberFormat="1" applyFill="1" applyBorder="1" applyAlignment="1">
      <alignment horizontal="center"/>
    </xf>
    <xf numFmtId="164" fontId="0" fillId="37" borderId="13" xfId="0" applyNumberFormat="1" applyFill="1" applyBorder="1" applyAlignment="1">
      <alignment horizontal="center"/>
    </xf>
    <xf numFmtId="164" fontId="0" fillId="37" borderId="14" xfId="0" applyNumberFormat="1" applyFill="1" applyBorder="1" applyAlignment="1">
      <alignment horizontal="center"/>
    </xf>
    <xf numFmtId="164" fontId="0" fillId="37" borderId="15" xfId="0" applyNumberFormat="1" applyFill="1" applyBorder="1" applyAlignment="1">
      <alignment horizontal="center"/>
    </xf>
    <xf numFmtId="164" fontId="0" fillId="37" borderId="16" xfId="0" applyNumberFormat="1" applyFill="1" applyBorder="1" applyAlignment="1">
      <alignment horizontal="center"/>
    </xf>
    <xf numFmtId="164" fontId="0" fillId="37" borderId="17" xfId="0" applyNumberFormat="1" applyFill="1" applyBorder="1" applyAlignment="1">
      <alignment horizontal="center"/>
    </xf>
    <xf numFmtId="0" fontId="0" fillId="39" borderId="0" xfId="0" applyFill="1"/>
    <xf numFmtId="166" fontId="0" fillId="37" borderId="0" xfId="0" applyNumberFormat="1" applyFill="1" applyAlignment="1">
      <alignment horizontal="center"/>
    </xf>
    <xf numFmtId="164" fontId="0" fillId="40" borderId="0" xfId="0" applyNumberFormat="1" applyFill="1" applyAlignment="1">
      <alignment horizontal="center"/>
    </xf>
    <xf numFmtId="164" fontId="0" fillId="41" borderId="0" xfId="0" applyNumberFormat="1" applyFill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9331166766371864E-2"/>
          <c:y val="0.17171296296296298"/>
          <c:w val="0.92842379558817978"/>
          <c:h val="0.615354695246427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2'!$AC$4:$AC$21</c:f>
              <c:numCache>
                <c:formatCode>0.00</c:formatCode>
                <c:ptCount val="18"/>
                <c:pt idx="0">
                  <c:v>0.59624516970084096</c:v>
                </c:pt>
                <c:pt idx="1">
                  <c:v>1.3687785596868001</c:v>
                </c:pt>
                <c:pt idx="2">
                  <c:v>1.38160357841915</c:v>
                </c:pt>
                <c:pt idx="3">
                  <c:v>1.37483677750238</c:v>
                </c:pt>
                <c:pt idx="4">
                  <c:v>1.4514718294212601</c:v>
                </c:pt>
                <c:pt idx="5">
                  <c:v>1.33835514448324</c:v>
                </c:pt>
                <c:pt idx="6">
                  <c:v>1.8992360482995501</c:v>
                </c:pt>
                <c:pt idx="7">
                  <c:v>0.65391390762446</c:v>
                </c:pt>
                <c:pt idx="8">
                  <c:v>1.3581497532351201</c:v>
                </c:pt>
                <c:pt idx="9">
                  <c:v>1.92587597218924</c:v>
                </c:pt>
                <c:pt idx="10">
                  <c:v>1.95340280117527</c:v>
                </c:pt>
                <c:pt idx="11">
                  <c:v>1.7040848191759399</c:v>
                </c:pt>
                <c:pt idx="12">
                  <c:v>1.15241173375436</c:v>
                </c:pt>
                <c:pt idx="13">
                  <c:v>0.69023808548654197</c:v>
                </c:pt>
                <c:pt idx="14">
                  <c:v>0.97427751734879797</c:v>
                </c:pt>
                <c:pt idx="15">
                  <c:v>1.89373153617638</c:v>
                </c:pt>
                <c:pt idx="16">
                  <c:v>1.4777313144564399</c:v>
                </c:pt>
                <c:pt idx="17">
                  <c:v>1.2883756456019699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7D-4847-887B-1C09F5788778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2'!$AI$4:$AI$21</c:f>
              <c:numCache>
                <c:formatCode>0.000</c:formatCode>
                <c:ptCount val="18"/>
                <c:pt idx="0">
                  <c:v>0.59165810333163804</c:v>
                </c:pt>
                <c:pt idx="1">
                  <c:v>0.59163626309988404</c:v>
                </c:pt>
                <c:pt idx="2">
                  <c:v>0.58849341082683404</c:v>
                </c:pt>
                <c:pt idx="3">
                  <c:v>0.57689763195399302</c:v>
                </c:pt>
                <c:pt idx="4">
                  <c:v>0.65055636362743996</c:v>
                </c:pt>
                <c:pt idx="5">
                  <c:v>0.70571010801428802</c:v>
                </c:pt>
                <c:pt idx="6">
                  <c:v>1.30863535694415</c:v>
                </c:pt>
                <c:pt idx="7">
                  <c:v>0.36003741049462601</c:v>
                </c:pt>
                <c:pt idx="8">
                  <c:v>1.1988741549553299</c:v>
                </c:pt>
                <c:pt idx="9">
                  <c:v>1.6772070651233799</c:v>
                </c:pt>
                <c:pt idx="10">
                  <c:v>1.6013182372088399</c:v>
                </c:pt>
                <c:pt idx="11">
                  <c:v>1.2893939446603799</c:v>
                </c:pt>
                <c:pt idx="12">
                  <c:v>0.94564537706669805</c:v>
                </c:pt>
                <c:pt idx="13">
                  <c:v>0.70205066247133396</c:v>
                </c:pt>
                <c:pt idx="14">
                  <c:v>1.58861882934482</c:v>
                </c:pt>
                <c:pt idx="15">
                  <c:v>1.8099075291267801</c:v>
                </c:pt>
                <c:pt idx="16">
                  <c:v>1.68789335012242</c:v>
                </c:pt>
                <c:pt idx="17">
                  <c:v>1.2491175003471799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7D-4847-887B-1C09F5788778}"/>
            </c:ext>
          </c:extLst>
        </c:ser>
        <c:ser>
          <c:idx val="2"/>
          <c:order val="2"/>
          <c:tx>
            <c:v>ML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7D-4847-887B-1C09F5788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50784"/>
        <c:axId val="1138251264"/>
      </c:lineChart>
      <c:catAx>
        <c:axId val="113825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1264"/>
        <c:crosses val="autoZero"/>
        <c:auto val="1"/>
        <c:lblAlgn val="ctr"/>
        <c:lblOffset val="100"/>
        <c:noMultiLvlLbl val="0"/>
      </c:catAx>
      <c:valAx>
        <c:axId val="113825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5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2'!$A$4:$A$21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2'!$X$4:$X$21</c:f>
              <c:numCache>
                <c:formatCode>0.000</c:formatCode>
                <c:ptCount val="18"/>
                <c:pt idx="0">
                  <c:v>0.59129395248384198</c:v>
                </c:pt>
                <c:pt idx="1">
                  <c:v>0.59154030956589698</c:v>
                </c:pt>
                <c:pt idx="2">
                  <c:v>0.58582973083060197</c:v>
                </c:pt>
                <c:pt idx="3">
                  <c:v>0.57637111104356298</c:v>
                </c:pt>
                <c:pt idx="4">
                  <c:v>0.56652850005757605</c:v>
                </c:pt>
                <c:pt idx="5">
                  <c:v>0.54927442396795001</c:v>
                </c:pt>
                <c:pt idx="6">
                  <c:v>0.53976686706035204</c:v>
                </c:pt>
                <c:pt idx="7">
                  <c:v>0.56174982239840299</c:v>
                </c:pt>
                <c:pt idx="8">
                  <c:v>0.51460435336987898</c:v>
                </c:pt>
                <c:pt idx="9">
                  <c:v>0.51130625918468697</c:v>
                </c:pt>
                <c:pt idx="10">
                  <c:v>0.41048877220246299</c:v>
                </c:pt>
                <c:pt idx="11">
                  <c:v>0.537849160223134</c:v>
                </c:pt>
                <c:pt idx="12">
                  <c:v>0.42947747258701602</c:v>
                </c:pt>
                <c:pt idx="13">
                  <c:v>0.499415095340417</c:v>
                </c:pt>
                <c:pt idx="14">
                  <c:v>0.306871056412862</c:v>
                </c:pt>
                <c:pt idx="15">
                  <c:v>0.52982629291142103</c:v>
                </c:pt>
                <c:pt idx="16">
                  <c:v>0.150581111980024</c:v>
                </c:pt>
                <c:pt idx="17">
                  <c:v>0.29161517882624599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7-4011-B07A-E70369F45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249824"/>
        <c:axId val="1032759072"/>
      </c:lineChart>
      <c:catAx>
        <c:axId val="113824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2759072"/>
        <c:crosses val="autoZero"/>
        <c:auto val="1"/>
        <c:lblAlgn val="ctr"/>
        <c:lblOffset val="100"/>
        <c:noMultiLvlLbl val="0"/>
      </c:catAx>
      <c:valAx>
        <c:axId val="103275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249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2'!$Z$25:$Z$42</c:f>
              <c:numCache>
                <c:formatCode>0.000</c:formatCode>
                <c:ptCount val="18"/>
                <c:pt idx="0">
                  <c:v>0.43490554531123327</c:v>
                </c:pt>
                <c:pt idx="1">
                  <c:v>0.43482543381044619</c:v>
                </c:pt>
                <c:pt idx="2">
                  <c:v>0.43515201764466366</c:v>
                </c:pt>
                <c:pt idx="3">
                  <c:v>0.43459749790974883</c:v>
                </c:pt>
                <c:pt idx="4">
                  <c:v>0.47267566739290628</c:v>
                </c:pt>
                <c:pt idx="5">
                  <c:v>0.22982514421868352</c:v>
                </c:pt>
                <c:pt idx="6">
                  <c:v>0.70403834230919515</c:v>
                </c:pt>
                <c:pt idx="7">
                  <c:v>0.83591255340843329</c:v>
                </c:pt>
                <c:pt idx="8">
                  <c:v>1.0616437201266091</c:v>
                </c:pt>
                <c:pt idx="9">
                  <c:v>0.66957215043363927</c:v>
                </c:pt>
                <c:pt idx="10">
                  <c:v>0.90811712575113102</c:v>
                </c:pt>
                <c:pt idx="11">
                  <c:v>1.3975694820201809</c:v>
                </c:pt>
                <c:pt idx="12">
                  <c:v>1.1663987393847017</c:v>
                </c:pt>
                <c:pt idx="13">
                  <c:v>0.71952400092882085</c:v>
                </c:pt>
                <c:pt idx="14">
                  <c:v>1.2262545330866874</c:v>
                </c:pt>
                <c:pt idx="15">
                  <c:v>0.82177012827018814</c:v>
                </c:pt>
                <c:pt idx="16">
                  <c:v>1.2928041514124815</c:v>
                </c:pt>
                <c:pt idx="17">
                  <c:v>1.5910073250940648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17-4023-AB7F-E3AE1B8389D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'Omega is 2'!$E$25:$E$42</c:f>
              <c:numCache>
                <c:formatCode>General</c:formatCode>
                <c:ptCount val="18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</c:v>
                </c:pt>
                <c:pt idx="12">
                  <c:v>1</c:v>
                </c:pt>
                <c:pt idx="13">
                  <c:v>1.1000000000000001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8</c:v>
                </c:pt>
              </c:numCache>
            </c:numRef>
          </c:cat>
          <c:val>
            <c:numRef>
              <c:f>'Omega is 2'!$AF$25:$AF$42</c:f>
              <c:numCache>
                <c:formatCode>0.000</c:formatCode>
                <c:ptCount val="18"/>
                <c:pt idx="0">
                  <c:v>0.43864067384780253</c:v>
                </c:pt>
                <c:pt idx="1">
                  <c:v>0.37665033879081233</c:v>
                </c:pt>
                <c:pt idx="2">
                  <c:v>0.73048392789363992</c:v>
                </c:pt>
                <c:pt idx="3">
                  <c:v>1.232467383855798</c:v>
                </c:pt>
                <c:pt idx="4">
                  <c:v>1.4522705374640426</c:v>
                </c:pt>
                <c:pt idx="5">
                  <c:v>0.66629833422839557</c:v>
                </c:pt>
                <c:pt idx="6">
                  <c:v>1.3929464782500844</c:v>
                </c:pt>
                <c:pt idx="7">
                  <c:v>1.4075746517308239</c:v>
                </c:pt>
                <c:pt idx="8">
                  <c:v>1.520653350649396</c:v>
                </c:pt>
                <c:pt idx="9">
                  <c:v>0.92633180936388015</c:v>
                </c:pt>
                <c:pt idx="10">
                  <c:v>1.0876473161748683</c:v>
                </c:pt>
                <c:pt idx="11">
                  <c:v>1.6141312801826777</c:v>
                </c:pt>
                <c:pt idx="12">
                  <c:v>1.2143341094346787</c:v>
                </c:pt>
                <c:pt idx="13">
                  <c:v>0.7122144914037658</c:v>
                </c:pt>
                <c:pt idx="14">
                  <c:v>1.5367925470763142</c:v>
                </c:pt>
                <c:pt idx="15">
                  <c:v>1.843181758097995</c:v>
                </c:pt>
                <c:pt idx="16">
                  <c:v>1.9341154867703683</c:v>
                </c:pt>
                <c:pt idx="17">
                  <c:v>1.6732755585234702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17-4023-AB7F-E3AE1B8389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4553199"/>
        <c:axId val="1404533519"/>
      </c:lineChart>
      <c:catAx>
        <c:axId val="140455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33519"/>
        <c:crosses val="autoZero"/>
        <c:auto val="1"/>
        <c:lblAlgn val="ctr"/>
        <c:lblOffset val="100"/>
        <c:noMultiLvlLbl val="0"/>
      </c:catAx>
      <c:valAx>
        <c:axId val="140453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455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179900</xdr:colOff>
      <xdr:row>7</xdr:row>
      <xdr:rowOff>120264</xdr:rowOff>
    </xdr:from>
    <xdr:to>
      <xdr:col>35</xdr:col>
      <xdr:colOff>886903</xdr:colOff>
      <xdr:row>21</xdr:row>
      <xdr:rowOff>131694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86C633-2B57-D724-1CA0-615842F8B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896840</xdr:colOff>
      <xdr:row>50</xdr:row>
      <xdr:rowOff>113802</xdr:rowOff>
    </xdr:from>
    <xdr:to>
      <xdr:col>34</xdr:col>
      <xdr:colOff>319377</xdr:colOff>
      <xdr:row>66</xdr:row>
      <xdr:rowOff>61622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4A3424B-59DE-11B7-94FA-1DD172676C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87464</xdr:colOff>
      <xdr:row>50</xdr:row>
      <xdr:rowOff>31970</xdr:rowOff>
    </xdr:from>
    <xdr:to>
      <xdr:col>38</xdr:col>
      <xdr:colOff>392264</xdr:colOff>
      <xdr:row>65</xdr:row>
      <xdr:rowOff>31970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84444-2261-634A-1D89-9C8B8F621F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B0B79-ECEB-4ED4-B865-F2A092ED25FC}">
  <dimension ref="A1:AY89"/>
  <sheetViews>
    <sheetView topLeftCell="E1" zoomScale="115" zoomScaleNormal="115" workbookViewId="0">
      <selection activeCell="V21" sqref="V21"/>
    </sheetView>
  </sheetViews>
  <sheetFormatPr defaultRowHeight="14.4" x14ac:dyDescent="0.3"/>
  <cols>
    <col min="1" max="3" width="8.88671875" style="17"/>
    <col min="4" max="4" width="8.88671875" style="17" customWidth="1"/>
    <col min="5" max="5" width="17.77734375" style="17" bestFit="1" customWidth="1"/>
    <col min="6" max="6" width="18.77734375" style="17" customWidth="1"/>
    <col min="7" max="18" width="8.88671875" style="17"/>
    <col min="19" max="19" width="11.6640625" style="17" customWidth="1"/>
    <col min="20" max="20" width="8.88671875" style="17"/>
    <col min="21" max="21" width="9.88671875" style="17" bestFit="1" customWidth="1"/>
    <col min="22" max="22" width="18.44140625" customWidth="1"/>
    <col min="25" max="25" width="11" style="13" customWidth="1"/>
    <col min="26" max="26" width="8.88671875" style="13"/>
    <col min="27" max="27" width="9.5546875" style="8" bestFit="1" customWidth="1"/>
    <col min="28" max="28" width="23.88671875" style="8" bestFit="1" customWidth="1"/>
    <col min="29" max="29" width="8.88671875" style="8"/>
    <col min="30" max="32" width="8.88671875" style="13"/>
    <col min="36" max="36" width="17.77734375" style="13" bestFit="1" customWidth="1"/>
    <col min="37" max="38" width="8.88671875" style="13"/>
    <col min="39" max="39" width="11.21875" style="13" bestFit="1" customWidth="1"/>
    <col min="40" max="40" width="16.6640625" bestFit="1" customWidth="1"/>
    <col min="41" max="41" width="8.88671875" customWidth="1"/>
    <col min="43" max="51" width="8.88671875" style="13"/>
  </cols>
  <sheetData>
    <row r="1" spans="1:51" s="13" customForma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AA1" s="17"/>
      <c r="AB1" s="17"/>
      <c r="AC1" s="17"/>
    </row>
    <row r="2" spans="1:51" s="13" customFormat="1" x14ac:dyDescent="0.3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25" t="s">
        <v>56</v>
      </c>
      <c r="T2" s="17"/>
      <c r="U2" s="17"/>
      <c r="AA2" s="17"/>
      <c r="AB2" s="17"/>
      <c r="AC2" s="17"/>
    </row>
    <row r="3" spans="1:51" ht="15" thickBot="1" x14ac:dyDescent="0.35">
      <c r="A3" s="17" t="s">
        <v>0</v>
      </c>
      <c r="B3" s="17" t="s">
        <v>1</v>
      </c>
      <c r="C3" s="17" t="s">
        <v>2</v>
      </c>
      <c r="D3" s="17" t="s">
        <v>3</v>
      </c>
      <c r="E3" s="17" t="s">
        <v>4</v>
      </c>
      <c r="I3" s="17" t="s">
        <v>58</v>
      </c>
      <c r="L3" s="17" t="s">
        <v>59</v>
      </c>
      <c r="N3" s="17" t="s">
        <v>58</v>
      </c>
      <c r="O3" s="17" t="s">
        <v>57</v>
      </c>
      <c r="P3" s="17" t="s">
        <v>59</v>
      </c>
      <c r="S3" s="25" t="s">
        <v>44</v>
      </c>
      <c r="T3" s="25" t="s">
        <v>45</v>
      </c>
      <c r="U3" s="25" t="s">
        <v>30</v>
      </c>
      <c r="V3" s="2" t="s">
        <v>5</v>
      </c>
      <c r="W3" s="2" t="s">
        <v>6</v>
      </c>
      <c r="X3" s="2" t="s">
        <v>7</v>
      </c>
      <c r="Y3" s="13" t="s">
        <v>8</v>
      </c>
      <c r="Z3" s="13" t="s">
        <v>28</v>
      </c>
      <c r="AA3" s="6" t="s">
        <v>31</v>
      </c>
      <c r="AB3" s="6" t="s">
        <v>29</v>
      </c>
      <c r="AC3" s="6" t="s">
        <v>30</v>
      </c>
      <c r="AD3" s="13" t="s">
        <v>27</v>
      </c>
      <c r="AE3" s="13" t="s">
        <v>9</v>
      </c>
      <c r="AF3" s="13" t="s">
        <v>10</v>
      </c>
      <c r="AG3" s="4" t="s">
        <v>11</v>
      </c>
      <c r="AH3" s="4" t="s">
        <v>12</v>
      </c>
      <c r="AI3" s="4" t="s">
        <v>13</v>
      </c>
      <c r="AJ3" s="13" t="s">
        <v>14</v>
      </c>
      <c r="AK3" s="13" t="s">
        <v>15</v>
      </c>
      <c r="AL3" s="19" t="s">
        <v>16</v>
      </c>
      <c r="AM3" s="19" t="s">
        <v>17</v>
      </c>
      <c r="AN3" s="9" t="s">
        <v>32</v>
      </c>
      <c r="AO3" s="9" t="s">
        <v>12</v>
      </c>
      <c r="AP3" s="9" t="s">
        <v>13</v>
      </c>
      <c r="AR3" s="13" t="s">
        <v>18</v>
      </c>
      <c r="AS3" s="13" t="s">
        <v>19</v>
      </c>
      <c r="AT3" s="13" t="s">
        <v>20</v>
      </c>
      <c r="AU3" s="13" t="s">
        <v>21</v>
      </c>
      <c r="AV3" s="13" t="s">
        <v>22</v>
      </c>
      <c r="AW3" s="13" t="s">
        <v>23</v>
      </c>
      <c r="AX3" s="13" t="s">
        <v>24</v>
      </c>
      <c r="AY3" s="13" t="s">
        <v>25</v>
      </c>
    </row>
    <row r="4" spans="1:51" x14ac:dyDescent="0.3">
      <c r="A4" s="17">
        <v>0</v>
      </c>
      <c r="B4" s="17">
        <v>0</v>
      </c>
      <c r="C4" s="17">
        <v>0</v>
      </c>
      <c r="D4" s="17">
        <v>42</v>
      </c>
      <c r="E4" s="17" t="s">
        <v>26</v>
      </c>
      <c r="F4" s="15">
        <f>X4-AC4</f>
        <v>-4.9512172169989821E-3</v>
      </c>
      <c r="G4" s="15">
        <f>X4-AI4</f>
        <v>-3.641508477960631E-4</v>
      </c>
      <c r="H4" s="27">
        <f>S4-V4</f>
        <v>6.0864696860396528E-4</v>
      </c>
      <c r="I4" s="28">
        <f>T4-W4</f>
        <v>9.028182989001543E-5</v>
      </c>
      <c r="J4" s="29">
        <f>AVERAGE(H4:I4)</f>
        <v>3.4946439924699035E-4</v>
      </c>
      <c r="K4" s="28">
        <f>S4-AG4</f>
        <v>2.958879462999775E-6</v>
      </c>
      <c r="L4" s="28">
        <f>T4-AH4</f>
        <v>-1.2710578400909611E-7</v>
      </c>
      <c r="M4" s="29">
        <f>AVERAGE(K4:L4)</f>
        <v>1.4158868394953394E-6</v>
      </c>
      <c r="N4" s="27">
        <f>U4-X4</f>
        <v>3.660475161579857E-4</v>
      </c>
      <c r="O4" s="28">
        <f>U4-AC4</f>
        <v>-4.5851697008409964E-3</v>
      </c>
      <c r="P4" s="29">
        <f t="shared" ref="P4:P21" si="0">S4-AG4</f>
        <v>2.958879462999775E-6</v>
      </c>
      <c r="Q4" s="36">
        <f>S4-V4</f>
        <v>6.0864696860396528E-4</v>
      </c>
      <c r="R4" s="36">
        <f>T4-W4</f>
        <v>9.028182989001543E-5</v>
      </c>
      <c r="S4" s="25">
        <v>0.41836699999999999</v>
      </c>
      <c r="T4" s="25">
        <v>-0.41836699999999999</v>
      </c>
      <c r="U4" s="26">
        <v>0.59165999999999996</v>
      </c>
      <c r="V4" s="3">
        <v>0.41775835303139602</v>
      </c>
      <c r="W4" s="3">
        <v>-0.41845728182989</v>
      </c>
      <c r="X4" s="3">
        <v>0.59129395248384198</v>
      </c>
      <c r="Y4" s="15">
        <v>3.7952230000000002E-9</v>
      </c>
      <c r="Z4" s="16">
        <v>0</v>
      </c>
      <c r="AA4" s="7">
        <v>0.43343554653224398</v>
      </c>
      <c r="AB4" s="7">
        <v>-0.40944099623007901</v>
      </c>
      <c r="AC4" s="7">
        <v>0.59624516970084096</v>
      </c>
      <c r="AD4" s="15">
        <v>-3.641508477960631E-4</v>
      </c>
      <c r="AE4" s="15">
        <v>4.0188039999999997E-12</v>
      </c>
      <c r="AF4" s="15">
        <v>1</v>
      </c>
      <c r="AG4" s="5">
        <v>0.41836404112053699</v>
      </c>
      <c r="AH4" s="5">
        <v>-0.41836687289421598</v>
      </c>
      <c r="AI4" s="5">
        <v>0.59165810333163804</v>
      </c>
      <c r="AJ4" s="15">
        <v>2.8853750000000001E-5</v>
      </c>
      <c r="AK4" s="15">
        <v>1.035055E-3</v>
      </c>
      <c r="AL4" s="20">
        <v>0.41836667621661899</v>
      </c>
      <c r="AM4" s="20">
        <v>-0.41836667621661899</v>
      </c>
      <c r="AN4" s="10">
        <v>0.41836404112053699</v>
      </c>
      <c r="AO4" s="10">
        <v>-0.41836687289421598</v>
      </c>
      <c r="AP4" s="10">
        <v>0.59165810333163804</v>
      </c>
      <c r="AQ4" s="15"/>
      <c r="AR4" s="13">
        <v>16</v>
      </c>
      <c r="AS4" s="13">
        <v>1</v>
      </c>
      <c r="AT4" s="13">
        <v>1</v>
      </c>
      <c r="AU4" s="13">
        <v>2</v>
      </c>
      <c r="AV4" s="13">
        <v>0.01</v>
      </c>
      <c r="AW4" s="13">
        <v>8</v>
      </c>
      <c r="AX4" s="13">
        <v>15000</v>
      </c>
      <c r="AY4" s="13">
        <v>385.8</v>
      </c>
    </row>
    <row r="5" spans="1:51" x14ac:dyDescent="0.3">
      <c r="A5" s="17">
        <v>0.05</v>
      </c>
      <c r="B5" s="17">
        <v>0</v>
      </c>
      <c r="C5" s="17">
        <v>0</v>
      </c>
      <c r="D5" s="17">
        <v>99</v>
      </c>
      <c r="E5" s="17" t="s">
        <v>26</v>
      </c>
      <c r="F5" s="15">
        <f>X5-AC5</f>
        <v>-0.77723825012090308</v>
      </c>
      <c r="G5" s="15">
        <f>X5-AI5</f>
        <v>-9.5953533987058748E-5</v>
      </c>
      <c r="H5" s="30">
        <f t="shared" ref="H5:H7" si="1">S5-V5</f>
        <v>-1.3481898939898818E-4</v>
      </c>
      <c r="I5" s="15">
        <f t="shared" ref="I5:I7" si="2">T5-W5</f>
        <v>-3.0889199352901464E-4</v>
      </c>
      <c r="J5" s="31">
        <f t="shared" ref="J5:J13" si="3">AVERAGE(H5:I5)</f>
        <v>-2.2185549146400141E-4</v>
      </c>
      <c r="K5" s="15">
        <f t="shared" ref="K5:K13" si="4">S5-AG5</f>
        <v>2.5973623233976895E-5</v>
      </c>
      <c r="L5" s="15">
        <f t="shared" ref="L5:L13" si="5">T5-AH5</f>
        <v>-1.1038026666965184E-5</v>
      </c>
      <c r="M5" s="31">
        <f>AVERAGE(K5:L5)</f>
        <v>7.4677982835058554E-6</v>
      </c>
      <c r="N5" s="30">
        <f t="shared" ref="N5:N8" si="6">U5-X5</f>
        <v>1.2169043410303892E-4</v>
      </c>
      <c r="O5" s="15">
        <f t="shared" ref="O5:O8" si="7">U5-AC5</f>
        <v>-0.77711655968680005</v>
      </c>
      <c r="P5" s="31">
        <f t="shared" si="0"/>
        <v>2.5973623233976895E-5</v>
      </c>
      <c r="Q5" s="36">
        <f t="shared" ref="Q5:Q8" si="8">S5-V5</f>
        <v>-1.3481898939898818E-4</v>
      </c>
      <c r="R5" s="36">
        <f t="shared" ref="R5:R8" si="9">T5-W5</f>
        <v>-3.0889199352901464E-4</v>
      </c>
      <c r="S5" s="25">
        <v>0.41950199999999999</v>
      </c>
      <c r="T5" s="25">
        <v>-0.41723199999999999</v>
      </c>
      <c r="U5" s="26">
        <v>0.59166200000000002</v>
      </c>
      <c r="V5" s="3">
        <v>0.41963681898939897</v>
      </c>
      <c r="W5" s="3">
        <v>-0.41692310800647098</v>
      </c>
      <c r="X5" s="3">
        <v>0.59154030956589698</v>
      </c>
      <c r="Y5" s="15">
        <v>6.5112070000000004E-6</v>
      </c>
      <c r="Z5" s="16">
        <v>0.05</v>
      </c>
      <c r="AA5" s="7">
        <v>-0.848777584461895</v>
      </c>
      <c r="AB5" s="7">
        <v>-1.07383953995618</v>
      </c>
      <c r="AC5" s="7">
        <v>1.3687785596868001</v>
      </c>
      <c r="AD5" s="15">
        <v>-9.5953533987058748E-5</v>
      </c>
      <c r="AE5" s="15">
        <v>1.272908E-5</v>
      </c>
      <c r="AF5" s="15">
        <v>0.99999000000000005</v>
      </c>
      <c r="AG5" s="5">
        <v>0.41947602637676601</v>
      </c>
      <c r="AH5" s="5">
        <v>-0.41722096197333303</v>
      </c>
      <c r="AI5" s="5">
        <v>0.59163626309988404</v>
      </c>
      <c r="AJ5" s="15">
        <v>2.8197820000000001E-5</v>
      </c>
      <c r="AK5" s="15">
        <v>5.7211459999999997E-4</v>
      </c>
      <c r="AL5" s="20">
        <v>0.41836667621661899</v>
      </c>
      <c r="AM5" s="20">
        <v>-0.41836667621661899</v>
      </c>
      <c r="AN5" s="10">
        <v>0.41947602637676601</v>
      </c>
      <c r="AO5" s="10">
        <v>-0.41722096197333303</v>
      </c>
      <c r="AP5" s="10">
        <v>0.59163626309988404</v>
      </c>
      <c r="AQ5" s="15"/>
      <c r="AR5" s="13">
        <v>16</v>
      </c>
      <c r="AS5" s="13">
        <v>1</v>
      </c>
      <c r="AT5" s="13">
        <v>1</v>
      </c>
      <c r="AU5" s="13">
        <v>2</v>
      </c>
      <c r="AV5" s="13">
        <v>0.01</v>
      </c>
      <c r="AW5" s="13">
        <v>8</v>
      </c>
      <c r="AX5" s="13">
        <v>15000</v>
      </c>
      <c r="AY5" s="13">
        <v>394</v>
      </c>
    </row>
    <row r="6" spans="1:51" x14ac:dyDescent="0.3">
      <c r="A6" s="17">
        <v>0.1</v>
      </c>
      <c r="B6" s="17">
        <v>0</v>
      </c>
      <c r="C6" s="17">
        <v>0</v>
      </c>
      <c r="D6" s="17">
        <v>45</v>
      </c>
      <c r="E6" s="17" t="s">
        <v>26</v>
      </c>
      <c r="F6" s="15">
        <f t="shared" ref="F6:F21" si="10">X6-AC6</f>
        <v>-0.79577384758854808</v>
      </c>
      <c r="G6" s="15">
        <f>X6-AI6</f>
        <v>-2.6636799962320712E-3</v>
      </c>
      <c r="H6" s="30">
        <f t="shared" si="1"/>
        <v>-9.7036626889901445E-4</v>
      </c>
      <c r="I6" s="15">
        <f t="shared" si="2"/>
        <v>-9.3482502212319796E-3</v>
      </c>
      <c r="J6" s="31">
        <f t="shared" si="3"/>
        <v>-5.159308245065497E-3</v>
      </c>
      <c r="K6" s="15">
        <f t="shared" si="4"/>
        <v>6.9751145884490162E-3</v>
      </c>
      <c r="L6" s="15">
        <f t="shared" si="5"/>
        <v>2.4829403544470163E-3</v>
      </c>
      <c r="M6" s="31">
        <f t="shared" ref="M6:M13" si="11">AVERAGE(K6:L6)</f>
        <v>4.7290274714480163E-3</v>
      </c>
      <c r="N6" s="30">
        <f t="shared" si="6"/>
        <v>5.8392691693980314E-3</v>
      </c>
      <c r="O6" s="15">
        <f t="shared" si="7"/>
        <v>-0.78993457841915005</v>
      </c>
      <c r="P6" s="31">
        <f t="shared" si="0"/>
        <v>6.9751145884490162E-3</v>
      </c>
      <c r="Q6" s="36">
        <f t="shared" si="8"/>
        <v>-9.7036626889901445E-4</v>
      </c>
      <c r="R6" s="36">
        <f t="shared" si="9"/>
        <v>-9.3482502212319796E-3</v>
      </c>
      <c r="S6" s="25">
        <v>0.42063600000000001</v>
      </c>
      <c r="T6" s="25">
        <v>-0.41609699999999999</v>
      </c>
      <c r="U6" s="26">
        <v>0.591669</v>
      </c>
      <c r="V6" s="3">
        <v>0.42160636626889902</v>
      </c>
      <c r="W6" s="3">
        <v>-0.40674874977876802</v>
      </c>
      <c r="X6" s="3">
        <v>0.58582973083060197</v>
      </c>
      <c r="Y6" s="15">
        <v>5.1723609999999998E-6</v>
      </c>
      <c r="Z6" s="16">
        <v>0.1</v>
      </c>
      <c r="AA6" s="7">
        <v>-0.58776712993599001</v>
      </c>
      <c r="AB6" s="7">
        <v>-1.25034325241807</v>
      </c>
      <c r="AC6" s="7">
        <v>1.38160357841915</v>
      </c>
      <c r="AD6" s="15">
        <v>-2.6636799962320712E-3</v>
      </c>
      <c r="AE6" s="15">
        <v>1.063996E-5</v>
      </c>
      <c r="AF6" s="15">
        <v>0.99999199999999999</v>
      </c>
      <c r="AG6" s="5">
        <v>0.41366088541155099</v>
      </c>
      <c r="AH6" s="5">
        <v>-0.41857994035444701</v>
      </c>
      <c r="AI6" s="5">
        <v>0.58849341082683404</v>
      </c>
      <c r="AJ6" s="15">
        <v>3.416428E-3</v>
      </c>
      <c r="AK6" s="15">
        <v>2.421707E-2</v>
      </c>
      <c r="AL6" s="20">
        <v>0.41836667621661899</v>
      </c>
      <c r="AM6" s="20">
        <v>-0.41836667621661899</v>
      </c>
      <c r="AN6" s="10">
        <v>0.41366088541155099</v>
      </c>
      <c r="AO6" s="10">
        <v>-0.41857994035444701</v>
      </c>
      <c r="AP6" s="10">
        <v>0.58849341082683404</v>
      </c>
      <c r="AQ6" s="15"/>
      <c r="AR6" s="13">
        <v>16</v>
      </c>
      <c r="AS6" s="13">
        <v>1</v>
      </c>
      <c r="AT6" s="13">
        <v>1</v>
      </c>
      <c r="AU6" s="13">
        <v>2</v>
      </c>
      <c r="AV6" s="13">
        <v>0.01</v>
      </c>
      <c r="AW6" s="13">
        <v>8</v>
      </c>
      <c r="AX6" s="13">
        <v>15000</v>
      </c>
      <c r="AY6" s="13">
        <v>385.1</v>
      </c>
    </row>
    <row r="7" spans="1:51" x14ac:dyDescent="0.3">
      <c r="A7" s="17">
        <v>0.15</v>
      </c>
      <c r="B7" s="17">
        <v>0</v>
      </c>
      <c r="C7" s="17">
        <v>0</v>
      </c>
      <c r="D7" s="17">
        <v>42</v>
      </c>
      <c r="E7" s="17" t="s">
        <v>26</v>
      </c>
      <c r="F7" s="15">
        <f t="shared" si="10"/>
        <v>-0.798465666458817</v>
      </c>
      <c r="G7" s="15">
        <f t="shared" ref="G7:G21" si="12">X7-AI7</f>
        <v>-5.2652091043003946E-4</v>
      </c>
      <c r="H7" s="30">
        <f t="shared" si="1"/>
        <v>-6.9369144795219939E-3</v>
      </c>
      <c r="I7" s="15">
        <f t="shared" si="2"/>
        <v>-2.9717685689964024E-2</v>
      </c>
      <c r="J7" s="31">
        <f t="shared" si="3"/>
        <v>-1.8327300084743009E-2</v>
      </c>
      <c r="K7" s="15">
        <f t="shared" si="4"/>
        <v>5.4026693258464986E-2</v>
      </c>
      <c r="L7" s="15">
        <f t="shared" si="5"/>
        <v>2.9532097388607015E-2</v>
      </c>
      <c r="M7" s="31">
        <f t="shared" si="11"/>
        <v>4.1779395323536E-2</v>
      </c>
      <c r="N7" s="30">
        <f t="shared" si="6"/>
        <v>1.5307888956436977E-2</v>
      </c>
      <c r="O7" s="15">
        <f t="shared" si="7"/>
        <v>-0.78315777750238003</v>
      </c>
      <c r="P7" s="31">
        <f t="shared" si="0"/>
        <v>5.4026693258464986E-2</v>
      </c>
      <c r="Q7" s="36">
        <f t="shared" si="8"/>
        <v>-6.9369144795219939E-3</v>
      </c>
      <c r="R7" s="36">
        <f t="shared" si="9"/>
        <v>-2.9717685689964024E-2</v>
      </c>
      <c r="S7" s="25">
        <v>0.42177100000000001</v>
      </c>
      <c r="T7" s="25">
        <v>-0.414962</v>
      </c>
      <c r="U7" s="26">
        <v>0.59167899999999995</v>
      </c>
      <c r="V7" s="3">
        <v>0.428707914479522</v>
      </c>
      <c r="W7" s="3">
        <v>-0.38524431431003597</v>
      </c>
      <c r="X7" s="3">
        <v>0.57637111104356298</v>
      </c>
      <c r="Y7" s="15">
        <v>7.4347189999999996E-6</v>
      </c>
      <c r="Z7" s="16">
        <v>0.15</v>
      </c>
      <c r="AA7" s="7">
        <v>-0.57345809421691596</v>
      </c>
      <c r="AB7" s="7">
        <v>-1.24952870273165</v>
      </c>
      <c r="AC7" s="7">
        <v>1.37483677750238</v>
      </c>
      <c r="AD7" s="15">
        <v>-5.2652091043003946E-4</v>
      </c>
      <c r="AE7" s="15">
        <v>1.7411469999999999E-5</v>
      </c>
      <c r="AF7" s="15">
        <v>0.99997800000000003</v>
      </c>
      <c r="AG7" s="5">
        <v>0.36774430674153502</v>
      </c>
      <c r="AH7" s="5">
        <v>-0.44449409738860701</v>
      </c>
      <c r="AI7" s="5">
        <v>0.57689763195399302</v>
      </c>
      <c r="AJ7" s="15">
        <v>2.7174750000000001E-2</v>
      </c>
      <c r="AK7" s="15">
        <v>0.1473612</v>
      </c>
      <c r="AL7" s="20">
        <v>0.41836667621661899</v>
      </c>
      <c r="AM7" s="20">
        <v>-0.41836667621661899</v>
      </c>
      <c r="AN7" s="10">
        <v>0.36774430674153502</v>
      </c>
      <c r="AO7" s="10">
        <v>-0.44449409738860701</v>
      </c>
      <c r="AP7" s="10">
        <v>0.57689763195399302</v>
      </c>
      <c r="AQ7" s="15"/>
      <c r="AR7" s="13">
        <v>16</v>
      </c>
      <c r="AS7" s="13">
        <v>1</v>
      </c>
      <c r="AT7" s="13">
        <v>1</v>
      </c>
      <c r="AU7" s="13">
        <v>2</v>
      </c>
      <c r="AV7" s="13">
        <v>0.01</v>
      </c>
      <c r="AW7" s="13">
        <v>8</v>
      </c>
      <c r="AX7" s="13">
        <v>15000</v>
      </c>
      <c r="AY7" s="13">
        <v>384.8</v>
      </c>
    </row>
    <row r="8" spans="1:51" x14ac:dyDescent="0.3">
      <c r="A8" s="17">
        <v>0.2</v>
      </c>
      <c r="B8" s="17">
        <v>0</v>
      </c>
      <c r="C8" s="17">
        <v>0</v>
      </c>
      <c r="D8" s="17">
        <v>42</v>
      </c>
      <c r="E8" s="17" t="s">
        <v>26</v>
      </c>
      <c r="F8" s="15">
        <f t="shared" si="10"/>
        <v>-0.88494332936368403</v>
      </c>
      <c r="G8" s="15">
        <f t="shared" si="12"/>
        <v>-8.4027863569863914E-2</v>
      </c>
      <c r="H8" s="30">
        <f>S8+V8</f>
        <v>-8.0667661074960151E-3</v>
      </c>
      <c r="I8" s="15">
        <f>T8+W8</f>
        <v>-4.6108335459918992E-2</v>
      </c>
      <c r="J8" s="31">
        <f t="shared" si="3"/>
        <v>-2.7087550783707504E-2</v>
      </c>
      <c r="K8" s="15">
        <f t="shared" si="4"/>
        <v>-0.14482747902228199</v>
      </c>
      <c r="L8" s="15">
        <f t="shared" si="5"/>
        <v>-9.6175809142145019E-2</v>
      </c>
      <c r="M8" s="31">
        <f t="shared" si="11"/>
        <v>-0.1205016440822135</v>
      </c>
      <c r="N8" s="30">
        <f t="shared" si="6"/>
        <v>2.5166499942423926E-2</v>
      </c>
      <c r="O8" s="15">
        <f t="shared" si="7"/>
        <v>-0.8597768294212601</v>
      </c>
      <c r="P8" s="31">
        <f t="shared" si="0"/>
        <v>-0.14482747902228199</v>
      </c>
      <c r="Q8" s="36">
        <f t="shared" si="8"/>
        <v>0.85387876610749602</v>
      </c>
      <c r="R8" s="36">
        <f t="shared" si="9"/>
        <v>-0.78154566454008101</v>
      </c>
      <c r="S8" s="25">
        <v>0.422906</v>
      </c>
      <c r="T8" s="25">
        <v>-0.413827</v>
      </c>
      <c r="U8" s="26">
        <v>0.59169499999999997</v>
      </c>
      <c r="V8" s="3">
        <v>-0.43097276610749602</v>
      </c>
      <c r="W8" s="3">
        <v>0.36771866454008101</v>
      </c>
      <c r="X8" s="3">
        <v>0.56652850005757605</v>
      </c>
      <c r="Y8" s="15">
        <v>9.2594210000000006E-6</v>
      </c>
      <c r="Z8" s="16">
        <v>0.2</v>
      </c>
      <c r="AA8" s="7">
        <v>1.3767820939667501</v>
      </c>
      <c r="AB8" s="7">
        <v>0.45961020151430398</v>
      </c>
      <c r="AC8" s="7">
        <v>1.4514718294212601</v>
      </c>
      <c r="AD8" s="15">
        <v>-8.4027863569863914E-2</v>
      </c>
      <c r="AE8" s="15">
        <v>2.6227680000000002E-5</v>
      </c>
      <c r="AF8" s="15">
        <v>0.99996600000000002</v>
      </c>
      <c r="AG8" s="5">
        <v>0.56773347902228199</v>
      </c>
      <c r="AH8" s="5">
        <v>-0.31765119085785498</v>
      </c>
      <c r="AI8" s="5">
        <v>0.65055636362743996</v>
      </c>
      <c r="AJ8" s="15">
        <v>7.1912489999999996E-2</v>
      </c>
      <c r="AK8" s="15">
        <v>1.86188</v>
      </c>
      <c r="AL8" s="20">
        <v>0.41836667621661899</v>
      </c>
      <c r="AM8" s="20">
        <v>-0.41836667621661899</v>
      </c>
      <c r="AN8" s="10">
        <v>0.56773347902228199</v>
      </c>
      <c r="AO8" s="10">
        <v>-0.31765119085785498</v>
      </c>
      <c r="AP8" s="10">
        <v>0.65055636362743996</v>
      </c>
      <c r="AQ8" s="15"/>
      <c r="AR8" s="13">
        <v>16</v>
      </c>
      <c r="AS8" s="13">
        <v>1</v>
      </c>
      <c r="AT8" s="13">
        <v>1</v>
      </c>
      <c r="AU8" s="13">
        <v>2</v>
      </c>
      <c r="AV8" s="13">
        <v>0.01</v>
      </c>
      <c r="AW8" s="13">
        <v>8</v>
      </c>
      <c r="AX8" s="13">
        <v>15000</v>
      </c>
      <c r="AY8" s="13">
        <v>444.4</v>
      </c>
    </row>
    <row r="9" spans="1:51" x14ac:dyDescent="0.3">
      <c r="A9" s="17">
        <v>0.3</v>
      </c>
      <c r="B9" s="17">
        <v>0</v>
      </c>
      <c r="C9" s="17">
        <v>0</v>
      </c>
      <c r="D9" s="17">
        <v>42</v>
      </c>
      <c r="E9" s="17" t="s">
        <v>26</v>
      </c>
      <c r="F9" s="15">
        <f t="shared" si="10"/>
        <v>-0.78908072051528999</v>
      </c>
      <c r="G9" s="15">
        <f t="shared" si="12"/>
        <v>-0.15643568404633801</v>
      </c>
      <c r="H9" s="30">
        <f>S9-V9</f>
        <v>-4.3133930512679886E-3</v>
      </c>
      <c r="I9" s="15">
        <f>T9-W9</f>
        <v>-6.9152274757150023E-2</v>
      </c>
      <c r="J9" s="31">
        <f t="shared" si="3"/>
        <v>-3.6732833904209006E-2</v>
      </c>
      <c r="K9" s="15">
        <f t="shared" si="4"/>
        <v>0.36277871944921547</v>
      </c>
      <c r="L9" s="15">
        <f t="shared" si="5"/>
        <v>0.29138891860893296</v>
      </c>
      <c r="M9" s="31">
        <f t="shared" si="11"/>
        <v>0.32708381902907424</v>
      </c>
      <c r="N9" s="30">
        <f t="shared" ref="N9:N21" si="13">U9-X9</f>
        <v>4.2463768102708022E-2</v>
      </c>
      <c r="O9" s="15">
        <f t="shared" ref="O9:O21" si="14">U9-AC9</f>
        <v>-0.74661695241258197</v>
      </c>
      <c r="P9" s="31">
        <f t="shared" si="0"/>
        <v>0.36277871944921547</v>
      </c>
      <c r="Q9" s="36">
        <f>S9-V9</f>
        <v>-4.3133930512679886E-3</v>
      </c>
      <c r="R9" s="36">
        <f>T9-W9</f>
        <v>-6.9152274757150023E-2</v>
      </c>
      <c r="S9">
        <v>0.42517609682218899</v>
      </c>
      <c r="T9">
        <v>-0.411557255611051</v>
      </c>
      <c r="U9">
        <v>0.59173819207065803</v>
      </c>
      <c r="V9" s="3">
        <v>0.42948948987345698</v>
      </c>
      <c r="W9" s="3">
        <v>-0.34240498085390098</v>
      </c>
      <c r="X9" s="3">
        <v>0.54927442396795001</v>
      </c>
      <c r="Y9" s="15">
        <v>1.260662E-5</v>
      </c>
      <c r="Z9" s="16">
        <v>0.3</v>
      </c>
      <c r="AA9" s="7">
        <v>-0.51319640661020205</v>
      </c>
      <c r="AB9" s="7">
        <v>-1.23605175498728</v>
      </c>
      <c r="AC9" s="7">
        <v>1.33835514448324</v>
      </c>
      <c r="AD9" s="15">
        <v>-0.15643568404633801</v>
      </c>
      <c r="AE9" s="15">
        <v>4.4370460000000002E-5</v>
      </c>
      <c r="AF9" s="15">
        <v>0.99992700000000001</v>
      </c>
      <c r="AG9" s="5">
        <v>6.2397377372973503E-2</v>
      </c>
      <c r="AH9" s="5">
        <v>-0.70294617421998395</v>
      </c>
      <c r="AI9" s="5">
        <v>0.70571010801428802</v>
      </c>
      <c r="AJ9" s="15">
        <v>0.1634166</v>
      </c>
      <c r="AK9" s="15">
        <v>0.7291029</v>
      </c>
      <c r="AL9" s="20">
        <v>0.41836667621661899</v>
      </c>
      <c r="AM9" s="20">
        <v>-0.41836667621661899</v>
      </c>
      <c r="AN9" s="10">
        <v>6.2397377372973503E-2</v>
      </c>
      <c r="AO9" s="10">
        <v>-0.70294617421998395</v>
      </c>
      <c r="AP9" s="10">
        <v>0.70571010801428802</v>
      </c>
      <c r="AQ9" s="15"/>
      <c r="AR9" s="13">
        <v>16</v>
      </c>
      <c r="AS9" s="13">
        <v>1</v>
      </c>
      <c r="AT9" s="13">
        <v>1</v>
      </c>
      <c r="AU9" s="13">
        <v>2</v>
      </c>
      <c r="AV9" s="13">
        <v>0.01</v>
      </c>
      <c r="AW9" s="13">
        <v>8</v>
      </c>
      <c r="AX9" s="13">
        <v>15000</v>
      </c>
      <c r="AY9" s="13">
        <v>506.8</v>
      </c>
    </row>
    <row r="10" spans="1:51" x14ac:dyDescent="0.3">
      <c r="A10" s="17">
        <v>0.4</v>
      </c>
      <c r="B10" s="17">
        <v>0</v>
      </c>
      <c r="C10" s="17">
        <v>0</v>
      </c>
      <c r="D10" s="17">
        <v>45</v>
      </c>
      <c r="E10" s="17" t="s">
        <v>26</v>
      </c>
      <c r="F10" s="15">
        <f t="shared" si="10"/>
        <v>-1.3594691812391981</v>
      </c>
      <c r="G10" s="15">
        <f t="shared" si="12"/>
        <v>-0.76886848988379797</v>
      </c>
      <c r="H10" s="30">
        <f t="shared" ref="H10:H13" si="15">S10-V10</f>
        <v>-5.2667206278559919E-3</v>
      </c>
      <c r="I10" s="15">
        <f t="shared" ref="I10:I13" si="16">T10-W10</f>
        <v>-8.6629649314890977E-2</v>
      </c>
      <c r="J10" s="31">
        <f t="shared" si="3"/>
        <v>-4.5948184971373485E-2</v>
      </c>
      <c r="K10" s="15">
        <f t="shared" si="4"/>
        <v>-0.47763406431617295</v>
      </c>
      <c r="L10" s="15">
        <f t="shared" si="5"/>
        <v>0.53588806350745</v>
      </c>
      <c r="M10" s="31">
        <f t="shared" si="11"/>
        <v>2.9126999595638525E-2</v>
      </c>
      <c r="N10" s="30">
        <f t="shared" si="13"/>
        <v>5.2032268018549988E-2</v>
      </c>
      <c r="O10" s="15">
        <f t="shared" si="14"/>
        <v>-1.307436913220648</v>
      </c>
      <c r="P10" s="31">
        <f t="shared" si="0"/>
        <v>-0.47763406431617295</v>
      </c>
      <c r="Q10" s="36">
        <f t="shared" ref="Q10" si="17">S10-V10</f>
        <v>-5.2667206278559919E-3</v>
      </c>
      <c r="R10" s="36">
        <f t="shared" ref="R10" si="18">T10-W10</f>
        <v>-8.6629649314890977E-2</v>
      </c>
      <c r="S10">
        <v>0.427445903690712</v>
      </c>
      <c r="T10">
        <v>-0.40928744874252798</v>
      </c>
      <c r="U10">
        <v>0.59179913507890203</v>
      </c>
      <c r="V10" s="3">
        <v>0.432712624318568</v>
      </c>
      <c r="W10" s="3">
        <v>-0.322657799427637</v>
      </c>
      <c r="X10" s="3">
        <v>0.53976686706035204</v>
      </c>
      <c r="Y10" s="15">
        <v>1.0709689999999999E-5</v>
      </c>
      <c r="Z10" s="16">
        <v>0.4</v>
      </c>
      <c r="AA10" s="7">
        <v>1.3477248477236099</v>
      </c>
      <c r="AB10" s="7">
        <v>-1.33818358306656</v>
      </c>
      <c r="AC10" s="7">
        <v>1.8992360482995501</v>
      </c>
      <c r="AD10" s="15">
        <v>-0.76886848988379797</v>
      </c>
      <c r="AE10" s="15">
        <v>5.9196040000000003E-5</v>
      </c>
      <c r="AF10" s="15">
        <v>0.99996499999999999</v>
      </c>
      <c r="AG10" s="5">
        <v>0.90507996800688495</v>
      </c>
      <c r="AH10" s="5">
        <v>-0.94517551224997798</v>
      </c>
      <c r="AI10" s="5">
        <v>1.30863535694415</v>
      </c>
      <c r="AJ10" s="15">
        <v>0.2090562</v>
      </c>
      <c r="AK10" s="15">
        <v>0.59714639999999997</v>
      </c>
      <c r="AL10" s="20">
        <v>0.41836667621661899</v>
      </c>
      <c r="AM10" s="20">
        <v>-0.41836667621661899</v>
      </c>
      <c r="AN10" s="10">
        <v>0.90507996800688495</v>
      </c>
      <c r="AO10" s="10">
        <v>-0.94517551224997798</v>
      </c>
      <c r="AP10" s="10">
        <v>1.30863535694415</v>
      </c>
      <c r="AQ10" s="15"/>
      <c r="AR10" s="13">
        <v>16</v>
      </c>
      <c r="AS10" s="13">
        <v>1</v>
      </c>
      <c r="AT10" s="13">
        <v>1</v>
      </c>
      <c r="AU10" s="13">
        <v>2</v>
      </c>
      <c r="AV10" s="13">
        <v>0.01</v>
      </c>
      <c r="AW10" s="13">
        <v>8</v>
      </c>
      <c r="AX10" s="13">
        <v>15000</v>
      </c>
      <c r="AY10" s="13">
        <v>538.4</v>
      </c>
    </row>
    <row r="11" spans="1:51" x14ac:dyDescent="0.3">
      <c r="A11" s="17">
        <v>0.5</v>
      </c>
      <c r="B11" s="17">
        <v>0</v>
      </c>
      <c r="C11" s="17">
        <v>0</v>
      </c>
      <c r="D11" s="17">
        <v>45</v>
      </c>
      <c r="E11" s="17" t="s">
        <v>26</v>
      </c>
      <c r="F11" s="15">
        <f t="shared" si="10"/>
        <v>-9.2164085226057013E-2</v>
      </c>
      <c r="G11" s="15">
        <f t="shared" si="12"/>
        <v>0.20171241190377698</v>
      </c>
      <c r="H11" s="30">
        <f t="shared" si="15"/>
        <v>0.87107448655430808</v>
      </c>
      <c r="I11" s="15">
        <f t="shared" si="16"/>
        <v>-0.75453065431637101</v>
      </c>
      <c r="J11" s="31">
        <f t="shared" si="3"/>
        <v>5.8271916118968536E-2</v>
      </c>
      <c r="K11" s="15">
        <f t="shared" si="4"/>
        <v>0.78890325657994609</v>
      </c>
      <c r="L11" s="15">
        <f t="shared" si="5"/>
        <v>-0.43174098588923021</v>
      </c>
      <c r="M11" s="31">
        <f t="shared" si="11"/>
        <v>0.17858113534535794</v>
      </c>
      <c r="N11" s="30">
        <f t="shared" si="13"/>
        <v>3.0127658756357034E-2</v>
      </c>
      <c r="O11" s="15">
        <f t="shared" si="14"/>
        <v>-6.2036426469699979E-2</v>
      </c>
      <c r="P11" s="31">
        <f t="shared" si="0"/>
        <v>0.78890325657994609</v>
      </c>
      <c r="Q11" s="36">
        <f>S11-V11</f>
        <v>0.87107448655430808</v>
      </c>
      <c r="R11" s="36">
        <f>T11-W11</f>
        <v>-0.75453065431637101</v>
      </c>
      <c r="S11">
        <v>0.42971571055923502</v>
      </c>
      <c r="T11">
        <v>-0.40701764187400502</v>
      </c>
      <c r="U11">
        <v>0.59187748115476002</v>
      </c>
      <c r="V11" s="3">
        <v>-0.441358775995073</v>
      </c>
      <c r="W11" s="3">
        <v>0.34751301244236599</v>
      </c>
      <c r="X11" s="3">
        <v>0.56174982239840299</v>
      </c>
      <c r="Y11" s="15">
        <v>1.116719E-5</v>
      </c>
      <c r="Z11" s="16">
        <v>0.5</v>
      </c>
      <c r="AA11" s="7">
        <v>-0.63414752803858399</v>
      </c>
      <c r="AB11" s="7">
        <v>0.159562875592174</v>
      </c>
      <c r="AC11" s="7">
        <v>0.65391390762446</v>
      </c>
      <c r="AD11" s="15">
        <v>0.20171241190377698</v>
      </c>
      <c r="AE11" s="15">
        <v>5.5661439999999998E-5</v>
      </c>
      <c r="AF11" s="15">
        <v>0.99996399999999996</v>
      </c>
      <c r="AG11" s="5">
        <v>-0.35918754602071101</v>
      </c>
      <c r="AH11" s="5">
        <v>2.4723344015225201E-2</v>
      </c>
      <c r="AI11" s="5">
        <v>0.36003741049462601</v>
      </c>
      <c r="AJ11" s="15">
        <v>0.21294950000000001</v>
      </c>
      <c r="AK11" s="15">
        <v>0.92513860000000003</v>
      </c>
      <c r="AL11" s="20">
        <v>0.41836667621661899</v>
      </c>
      <c r="AM11" s="20">
        <v>-0.41836667621661899</v>
      </c>
      <c r="AN11" s="10">
        <v>-0.35918754602071101</v>
      </c>
      <c r="AO11" s="10">
        <v>2.4723344015225201E-2</v>
      </c>
      <c r="AP11" s="10">
        <v>0.36003741049462601</v>
      </c>
      <c r="AQ11" s="15"/>
      <c r="AR11" s="13">
        <v>16</v>
      </c>
      <c r="AS11" s="13">
        <v>1</v>
      </c>
      <c r="AT11" s="13">
        <v>1</v>
      </c>
      <c r="AU11" s="13">
        <v>2</v>
      </c>
      <c r="AV11" s="13">
        <v>0.01</v>
      </c>
      <c r="AW11" s="13">
        <v>8</v>
      </c>
      <c r="AX11" s="13">
        <v>15000</v>
      </c>
      <c r="AY11" s="13">
        <v>561.20000000000005</v>
      </c>
    </row>
    <row r="12" spans="1:51" x14ac:dyDescent="0.3">
      <c r="A12" s="17">
        <v>0.6</v>
      </c>
      <c r="B12" s="17">
        <v>0</v>
      </c>
      <c r="C12" s="17">
        <v>0</v>
      </c>
      <c r="D12" s="17">
        <v>42</v>
      </c>
      <c r="E12" s="17" t="s">
        <v>26</v>
      </c>
      <c r="F12" s="15">
        <f t="shared" si="10"/>
        <v>-0.84354539986524113</v>
      </c>
      <c r="G12" s="15">
        <f t="shared" si="12"/>
        <v>-0.68426980158545092</v>
      </c>
      <c r="H12" s="30">
        <f t="shared" si="15"/>
        <v>0.86504763238912996</v>
      </c>
      <c r="I12" s="15">
        <f t="shared" si="16"/>
        <v>-0.68273136885670693</v>
      </c>
      <c r="J12" s="31">
        <f t="shared" si="3"/>
        <v>9.1158131766211514E-2</v>
      </c>
      <c r="K12" s="15">
        <f t="shared" si="4"/>
        <v>-0.72763073535445111</v>
      </c>
      <c r="L12" s="15">
        <f t="shared" si="5"/>
        <v>-0.70903287522796798</v>
      </c>
      <c r="M12" s="31">
        <f t="shared" si="11"/>
        <v>-0.71833180529120955</v>
      </c>
      <c r="N12" s="30">
        <f t="shared" si="13"/>
        <v>7.736887001860604E-2</v>
      </c>
      <c r="O12" s="15">
        <f t="shared" si="14"/>
        <v>-0.76617652984663509</v>
      </c>
      <c r="P12" s="31">
        <f t="shared" si="0"/>
        <v>-0.72763073535445111</v>
      </c>
      <c r="Q12" s="36">
        <f t="shared" ref="Q12:Q13" si="19">S12-V12</f>
        <v>0.86504763238912996</v>
      </c>
      <c r="R12" s="36">
        <f t="shared" ref="R12:R13" si="20">T12-W12</f>
        <v>-0.68273136885670693</v>
      </c>
      <c r="S12">
        <v>0.43198551742775898</v>
      </c>
      <c r="T12">
        <v>-0.404747835005482</v>
      </c>
      <c r="U12">
        <v>0.59197322338848501</v>
      </c>
      <c r="V12" s="3">
        <v>-0.43306211496137098</v>
      </c>
      <c r="W12" s="3">
        <v>0.27798353385122498</v>
      </c>
      <c r="X12" s="3">
        <v>0.51460435336987898</v>
      </c>
      <c r="Y12" s="15">
        <v>1.134407E-5</v>
      </c>
      <c r="Z12" s="16">
        <v>0.6</v>
      </c>
      <c r="AA12" s="7">
        <v>1.29884440994618</v>
      </c>
      <c r="AB12" s="7">
        <v>0.39695585518314602</v>
      </c>
      <c r="AC12" s="7">
        <v>1.3581497532351201</v>
      </c>
      <c r="AD12" s="15">
        <v>-0.68426980158545092</v>
      </c>
      <c r="AE12" s="15">
        <v>4.9417360000000003E-5</v>
      </c>
      <c r="AF12" s="15">
        <v>0.99993200000000004</v>
      </c>
      <c r="AG12" s="5">
        <v>1.15961625278221</v>
      </c>
      <c r="AH12" s="5">
        <v>0.30428504022248598</v>
      </c>
      <c r="AI12" s="5">
        <v>1.1988741549553299</v>
      </c>
      <c r="AJ12" s="15">
        <v>0.19559570000000001</v>
      </c>
      <c r="AK12" s="15">
        <v>1.328659</v>
      </c>
      <c r="AL12" s="20">
        <v>0.41836667621661899</v>
      </c>
      <c r="AM12" s="20">
        <v>-0.41836667621661899</v>
      </c>
      <c r="AN12" s="10">
        <v>1.15961625278221</v>
      </c>
      <c r="AO12" s="10">
        <v>0.30428504022248598</v>
      </c>
      <c r="AP12" s="10">
        <v>1.1988741549553299</v>
      </c>
      <c r="AQ12" s="15"/>
      <c r="AR12" s="13">
        <v>16</v>
      </c>
      <c r="AS12" s="13">
        <v>1</v>
      </c>
      <c r="AT12" s="13">
        <v>1</v>
      </c>
      <c r="AU12" s="13">
        <v>2</v>
      </c>
      <c r="AV12" s="13">
        <v>0.01</v>
      </c>
      <c r="AW12" s="13">
        <v>8</v>
      </c>
      <c r="AX12" s="13">
        <v>15000</v>
      </c>
      <c r="AY12" s="13">
        <v>564.4</v>
      </c>
    </row>
    <row r="13" spans="1:51" ht="15" thickBot="1" x14ac:dyDescent="0.35">
      <c r="A13" s="17">
        <v>0.7</v>
      </c>
      <c r="B13" s="17">
        <v>0</v>
      </c>
      <c r="C13" s="17">
        <v>0</v>
      </c>
      <c r="D13" s="17">
        <v>42</v>
      </c>
      <c r="E13" s="17" t="s">
        <v>26</v>
      </c>
      <c r="F13" s="15">
        <f t="shared" si="10"/>
        <v>-1.4145697130045529</v>
      </c>
      <c r="G13" s="15">
        <f t="shared" si="12"/>
        <v>-1.1659008059386928</v>
      </c>
      <c r="H13" s="32">
        <f t="shared" si="15"/>
        <v>5.2653408476490138E-3</v>
      </c>
      <c r="I13" s="33">
        <f t="shared" si="16"/>
        <v>-0.12426644537632198</v>
      </c>
      <c r="J13" s="34">
        <f t="shared" si="3"/>
        <v>-5.9500552264336481E-2</v>
      </c>
      <c r="K13" s="33">
        <f t="shared" si="4"/>
        <v>-0.91896404012691801</v>
      </c>
      <c r="L13" s="33">
        <f t="shared" si="5"/>
        <v>0.58839072757685906</v>
      </c>
      <c r="M13" s="34">
        <f t="shared" si="11"/>
        <v>-0.16528665627502948</v>
      </c>
      <c r="N13" s="30">
        <f t="shared" si="13"/>
        <v>8.0780094156347015E-2</v>
      </c>
      <c r="O13" s="15">
        <f t="shared" si="14"/>
        <v>-1.3337896188482059</v>
      </c>
      <c r="P13" s="31">
        <f t="shared" si="0"/>
        <v>-0.91896404012691801</v>
      </c>
      <c r="Q13" s="36">
        <f t="shared" si="19"/>
        <v>5.2653408476490138E-3</v>
      </c>
      <c r="R13" s="36">
        <f t="shared" si="20"/>
        <v>-0.12426644537632198</v>
      </c>
      <c r="S13">
        <v>0.434255324296282</v>
      </c>
      <c r="T13">
        <v>-0.40247802813695999</v>
      </c>
      <c r="U13">
        <v>0.59208635334103399</v>
      </c>
      <c r="V13" s="3">
        <v>0.42898998344863298</v>
      </c>
      <c r="W13" s="3">
        <v>-0.27821158276063801</v>
      </c>
      <c r="X13" s="3">
        <v>0.51130625918468697</v>
      </c>
      <c r="Y13" s="15">
        <v>1.3134060000000001E-5</v>
      </c>
      <c r="Z13" s="16">
        <v>0.7</v>
      </c>
      <c r="AA13" s="7">
        <v>1.47819152095449</v>
      </c>
      <c r="AB13" s="7">
        <v>-1.2344829231844801</v>
      </c>
      <c r="AC13" s="7">
        <v>1.92587597218924</v>
      </c>
      <c r="AD13" s="15">
        <v>-1.1659008059386928</v>
      </c>
      <c r="AE13" s="15">
        <v>6.0528790000000002E-5</v>
      </c>
      <c r="AF13" s="15">
        <v>0.99991200000000002</v>
      </c>
      <c r="AG13" s="5">
        <v>1.3532193644232</v>
      </c>
      <c r="AH13" s="5">
        <v>-0.99086875571381905</v>
      </c>
      <c r="AI13" s="5">
        <v>1.6772070651233799</v>
      </c>
      <c r="AJ13" s="15">
        <v>0.17096130000000001</v>
      </c>
      <c r="AK13" s="15">
        <v>0.69584840000000003</v>
      </c>
      <c r="AL13" s="20">
        <v>0.41836667621661899</v>
      </c>
      <c r="AM13" s="20">
        <v>-0.41836667621661899</v>
      </c>
      <c r="AN13" s="10">
        <v>1.3532193644232</v>
      </c>
      <c r="AO13" s="10">
        <v>-0.99086875571381905</v>
      </c>
      <c r="AP13" s="10">
        <v>1.6772070651233799</v>
      </c>
      <c r="AQ13" s="15"/>
      <c r="AR13" s="13">
        <v>16</v>
      </c>
      <c r="AS13" s="13">
        <v>1</v>
      </c>
      <c r="AT13" s="13">
        <v>1</v>
      </c>
      <c r="AU13" s="13">
        <v>2</v>
      </c>
      <c r="AV13" s="13">
        <v>0.01</v>
      </c>
      <c r="AW13" s="13">
        <v>8</v>
      </c>
      <c r="AX13" s="13">
        <v>15000</v>
      </c>
      <c r="AY13" s="13">
        <v>588</v>
      </c>
    </row>
    <row r="14" spans="1:51" x14ac:dyDescent="0.3">
      <c r="A14" s="17">
        <v>0.8</v>
      </c>
      <c r="B14" s="17">
        <v>0</v>
      </c>
      <c r="C14" s="17">
        <v>0</v>
      </c>
      <c r="D14" s="17">
        <v>42</v>
      </c>
      <c r="E14" s="17" t="s">
        <v>26</v>
      </c>
      <c r="F14" s="15">
        <f t="shared" si="10"/>
        <v>-1.5429140289728069</v>
      </c>
      <c r="G14" s="15">
        <f t="shared" si="12"/>
        <v>-1.1908294650063769</v>
      </c>
      <c r="H14" s="15"/>
      <c r="I14" s="15"/>
      <c r="J14" s="15"/>
      <c r="K14" s="15"/>
      <c r="L14" s="15"/>
      <c r="M14" s="15"/>
      <c r="N14" s="30">
        <f t="shared" si="13"/>
        <v>0.18172808884532604</v>
      </c>
      <c r="O14" s="15">
        <f t="shared" si="14"/>
        <v>-1.3611859401274811</v>
      </c>
      <c r="P14" s="31">
        <f t="shared" si="0"/>
        <v>1.0560073451687024E-2</v>
      </c>
      <c r="Q14" s="15"/>
      <c r="R14" s="15"/>
      <c r="S14">
        <v>0.43652513116480501</v>
      </c>
      <c r="T14">
        <v>-0.40020822126843703</v>
      </c>
      <c r="U14">
        <v>0.59221686104778903</v>
      </c>
      <c r="V14" s="3">
        <v>0.40284725419550899</v>
      </c>
      <c r="W14" s="3">
        <v>-7.8836044366930799E-2</v>
      </c>
      <c r="X14" s="3">
        <v>0.41048877220246299</v>
      </c>
      <c r="Y14" s="15">
        <v>1.322406E-5</v>
      </c>
      <c r="Z14" s="16">
        <v>0.8</v>
      </c>
      <c r="AA14" s="7">
        <v>0.36500845508625501</v>
      </c>
      <c r="AB14" s="7">
        <v>-1.9189974808099499</v>
      </c>
      <c r="AC14" s="7">
        <v>1.95340280117527</v>
      </c>
      <c r="AD14" s="15">
        <v>-1.1908294650063769</v>
      </c>
      <c r="AE14" s="15">
        <v>1.054128E-4</v>
      </c>
      <c r="AF14" s="15">
        <v>0.99988500000000002</v>
      </c>
      <c r="AG14" s="5">
        <v>0.42596505771311799</v>
      </c>
      <c r="AH14" s="5">
        <v>-1.5436236155310299</v>
      </c>
      <c r="AI14" s="5">
        <v>1.6013182372088399</v>
      </c>
      <c r="AJ14" s="15">
        <v>0.14611350000000001</v>
      </c>
      <c r="AK14" s="15">
        <v>0.91485249999999996</v>
      </c>
      <c r="AL14" s="20">
        <v>0.41836667621661899</v>
      </c>
      <c r="AM14" s="20">
        <v>-0.41836667621661899</v>
      </c>
      <c r="AN14" s="10">
        <v>0.42596505771311799</v>
      </c>
      <c r="AO14" s="10">
        <v>-1.5436236155310299</v>
      </c>
      <c r="AP14" s="10">
        <v>1.6013182372088399</v>
      </c>
      <c r="AQ14" s="15"/>
      <c r="AR14" s="13">
        <v>16</v>
      </c>
      <c r="AS14" s="13">
        <v>1</v>
      </c>
      <c r="AT14" s="13">
        <v>1</v>
      </c>
      <c r="AU14" s="13">
        <v>2</v>
      </c>
      <c r="AV14" s="13">
        <v>0.01</v>
      </c>
      <c r="AW14" s="13">
        <v>8</v>
      </c>
      <c r="AX14" s="13">
        <v>15000</v>
      </c>
      <c r="AY14" s="13">
        <v>582.9</v>
      </c>
    </row>
    <row r="15" spans="1:51" x14ac:dyDescent="0.3">
      <c r="A15" s="17">
        <v>0.9</v>
      </c>
      <c r="B15" s="17">
        <v>0</v>
      </c>
      <c r="C15" s="17">
        <v>0</v>
      </c>
      <c r="D15" s="17">
        <v>99</v>
      </c>
      <c r="E15" s="17" t="s">
        <v>26</v>
      </c>
      <c r="F15" s="15">
        <f t="shared" si="10"/>
        <v>-1.166235658952806</v>
      </c>
      <c r="G15" s="15">
        <f t="shared" si="12"/>
        <v>-0.75154478443724593</v>
      </c>
      <c r="H15" s="15"/>
      <c r="I15" s="15"/>
      <c r="J15" s="15"/>
      <c r="K15" s="15"/>
      <c r="L15" s="15"/>
      <c r="M15" s="15"/>
      <c r="N15" s="30">
        <f t="shared" si="13"/>
        <v>5.451557479979896E-2</v>
      </c>
      <c r="O15" s="15">
        <f t="shared" si="14"/>
        <v>-1.1117200841530068</v>
      </c>
      <c r="P15" s="31">
        <f t="shared" si="0"/>
        <v>0.84393645245891991</v>
      </c>
      <c r="Q15" s="15"/>
      <c r="R15" s="15"/>
      <c r="S15">
        <v>0.43879493803332797</v>
      </c>
      <c r="T15">
        <v>-0.39793841439991401</v>
      </c>
      <c r="U15">
        <v>0.59236473502293296</v>
      </c>
      <c r="V15" s="3">
        <v>-0.44753086447989698</v>
      </c>
      <c r="W15" s="3">
        <v>0.29832506513969997</v>
      </c>
      <c r="X15" s="3">
        <v>0.537849160223134</v>
      </c>
      <c r="Y15" s="15">
        <v>2.0992099999999998E-5</v>
      </c>
      <c r="Z15" s="16">
        <v>0.9</v>
      </c>
      <c r="AA15" s="7">
        <v>-1.09647851053595</v>
      </c>
      <c r="AB15" s="7">
        <v>-1.30446922036466</v>
      </c>
      <c r="AC15" s="7">
        <v>1.7040848191759399</v>
      </c>
      <c r="AD15" s="15">
        <v>-0.75154478443724593</v>
      </c>
      <c r="AE15" s="15">
        <v>2.008685E-4</v>
      </c>
      <c r="AF15" s="15">
        <v>0.99987599999999999</v>
      </c>
      <c r="AG15" s="5">
        <v>-0.40514151442559199</v>
      </c>
      <c r="AH15" s="5">
        <v>-1.22409031440323</v>
      </c>
      <c r="AI15" s="5">
        <v>1.2893939446603799</v>
      </c>
      <c r="AJ15" s="15">
        <v>0.12389749999999999</v>
      </c>
      <c r="AK15" s="15">
        <v>1.181179</v>
      </c>
      <c r="AL15" s="20">
        <v>0.41836667621661899</v>
      </c>
      <c r="AM15" s="20">
        <v>-0.41836667621661899</v>
      </c>
      <c r="AN15" s="10">
        <v>-0.40514151442559199</v>
      </c>
      <c r="AO15" s="10">
        <v>-1.22409031440323</v>
      </c>
      <c r="AP15" s="10">
        <v>1.2893939446603799</v>
      </c>
      <c r="AQ15" s="15"/>
      <c r="AR15" s="13">
        <v>16</v>
      </c>
      <c r="AS15" s="13">
        <v>1</v>
      </c>
      <c r="AT15" s="13">
        <v>1</v>
      </c>
      <c r="AU15" s="13">
        <v>2</v>
      </c>
      <c r="AV15" s="13">
        <v>0.01</v>
      </c>
      <c r="AW15" s="13">
        <v>8</v>
      </c>
      <c r="AX15" s="13">
        <v>15000</v>
      </c>
      <c r="AY15" s="13">
        <v>587.9</v>
      </c>
    </row>
    <row r="16" spans="1:51" x14ac:dyDescent="0.3">
      <c r="A16" s="17">
        <v>1</v>
      </c>
      <c r="B16" s="17">
        <v>0</v>
      </c>
      <c r="C16" s="17">
        <v>0</v>
      </c>
      <c r="D16" s="17">
        <v>45</v>
      </c>
      <c r="E16" s="17" t="s">
        <v>26</v>
      </c>
      <c r="F16" s="15">
        <f t="shared" si="10"/>
        <v>-0.72293426116734394</v>
      </c>
      <c r="G16" s="15">
        <f t="shared" si="12"/>
        <v>-0.51616790447968208</v>
      </c>
      <c r="H16" s="15"/>
      <c r="I16" s="15"/>
      <c r="J16" s="15"/>
      <c r="K16" s="15"/>
      <c r="L16" s="15"/>
      <c r="M16" s="15"/>
      <c r="N16" s="30">
        <f t="shared" si="13"/>
        <v>0.16305248967747893</v>
      </c>
      <c r="O16" s="15">
        <f t="shared" si="14"/>
        <v>-0.55988177148986507</v>
      </c>
      <c r="P16" s="31">
        <f t="shared" si="0"/>
        <v>1.194906694961106</v>
      </c>
      <c r="Q16" s="15"/>
      <c r="R16" s="15"/>
      <c r="S16">
        <v>0.44106474490185099</v>
      </c>
      <c r="T16">
        <v>-0.39566860753139099</v>
      </c>
      <c r="U16">
        <v>0.59252996226449495</v>
      </c>
      <c r="V16" s="3">
        <v>0.38875603774941703</v>
      </c>
      <c r="W16" s="3">
        <v>-0.18253668829335301</v>
      </c>
      <c r="X16" s="3">
        <v>0.42947747258701602</v>
      </c>
      <c r="Y16" s="15">
        <v>1.370807E-5</v>
      </c>
      <c r="Z16" s="16">
        <v>1</v>
      </c>
      <c r="AA16" s="7">
        <v>0.23895537712982301</v>
      </c>
      <c r="AB16" s="7">
        <v>-1.1273655715141699</v>
      </c>
      <c r="AC16" s="7">
        <v>1.15241173375436</v>
      </c>
      <c r="AD16" s="15">
        <v>-0.51616790447968208</v>
      </c>
      <c r="AE16" s="15">
        <v>1.005259E-4</v>
      </c>
      <c r="AF16" s="15">
        <v>0.99990699999999999</v>
      </c>
      <c r="AG16" s="5">
        <v>-0.75384195005925503</v>
      </c>
      <c r="AH16" s="5">
        <v>-0.57093562990802804</v>
      </c>
      <c r="AI16" s="5">
        <v>0.94564537706669805</v>
      </c>
      <c r="AJ16" s="15">
        <v>0.1050461</v>
      </c>
      <c r="AK16" s="15">
        <v>1.276173</v>
      </c>
      <c r="AL16" s="20">
        <v>0.41836667621661899</v>
      </c>
      <c r="AM16" s="20">
        <v>-0.41836667621661899</v>
      </c>
      <c r="AN16" s="10">
        <v>-0.75384195005925503</v>
      </c>
      <c r="AO16" s="10">
        <v>-0.57093562990802804</v>
      </c>
      <c r="AP16" s="10">
        <v>0.94564537706669805</v>
      </c>
      <c r="AQ16" s="15"/>
      <c r="AR16" s="13">
        <v>16</v>
      </c>
      <c r="AS16" s="13">
        <v>1</v>
      </c>
      <c r="AT16" s="13">
        <v>1</v>
      </c>
      <c r="AU16" s="13">
        <v>2</v>
      </c>
      <c r="AV16" s="13">
        <v>0.01</v>
      </c>
      <c r="AW16" s="13">
        <v>8</v>
      </c>
      <c r="AX16" s="13">
        <v>15000</v>
      </c>
      <c r="AY16" s="13">
        <v>594.29999999999995</v>
      </c>
    </row>
    <row r="17" spans="1:51" x14ac:dyDescent="0.3">
      <c r="A17" s="17">
        <v>1.1000000000000001</v>
      </c>
      <c r="B17" s="17">
        <v>0</v>
      </c>
      <c r="C17" s="17">
        <v>0</v>
      </c>
      <c r="D17" s="17">
        <v>99</v>
      </c>
      <c r="E17" s="17" t="s">
        <v>26</v>
      </c>
      <c r="F17" s="15">
        <f t="shared" si="10"/>
        <v>-0.19082299014612497</v>
      </c>
      <c r="G17" s="15">
        <f t="shared" si="12"/>
        <v>-0.20263556713091696</v>
      </c>
      <c r="H17" s="15"/>
      <c r="I17" s="15"/>
      <c r="J17" s="15"/>
      <c r="K17" s="15"/>
      <c r="L17" s="15"/>
      <c r="M17" s="15"/>
      <c r="N17" s="30">
        <f t="shared" si="13"/>
        <v>9.329743291963305E-2</v>
      </c>
      <c r="O17" s="15">
        <f t="shared" si="14"/>
        <v>-9.7525557226491921E-2</v>
      </c>
      <c r="P17" s="31">
        <f t="shared" si="0"/>
        <v>1.1437122908510671</v>
      </c>
      <c r="Q17" s="15"/>
      <c r="R17" s="15"/>
      <c r="S17">
        <v>0.44333455177037401</v>
      </c>
      <c r="T17">
        <v>-0.39339880066286798</v>
      </c>
      <c r="U17">
        <v>0.59271252826005005</v>
      </c>
      <c r="V17" s="3">
        <v>0.43364537005112902</v>
      </c>
      <c r="W17" s="3">
        <v>-0.24772389970912501</v>
      </c>
      <c r="X17" s="3">
        <v>0.499415095340417</v>
      </c>
      <c r="Y17" s="15">
        <v>1.947085E-5</v>
      </c>
      <c r="Z17" s="16">
        <v>1.1000000000000001</v>
      </c>
      <c r="AA17" s="7">
        <v>0.298975925923744</v>
      </c>
      <c r="AB17" s="7">
        <v>-0.62212700501920504</v>
      </c>
      <c r="AC17" s="7">
        <v>0.69023808548654197</v>
      </c>
      <c r="AD17" s="15">
        <v>-0.20263556713091696</v>
      </c>
      <c r="AE17" s="15">
        <v>1.9880749999999999E-4</v>
      </c>
      <c r="AF17" s="15">
        <v>0.99987099999999995</v>
      </c>
      <c r="AG17" s="5">
        <v>-0.70037773908069301</v>
      </c>
      <c r="AH17" s="5">
        <v>4.8437127047911602E-2</v>
      </c>
      <c r="AI17" s="5">
        <v>0.70205066247133396</v>
      </c>
      <c r="AJ17" s="15">
        <v>8.9406239999999998E-2</v>
      </c>
      <c r="AK17" s="15">
        <v>1.669478</v>
      </c>
      <c r="AL17" s="20">
        <v>0.41836667621661899</v>
      </c>
      <c r="AM17" s="20">
        <v>-0.41836667621661899</v>
      </c>
      <c r="AN17" s="10">
        <v>-0.70037773908069301</v>
      </c>
      <c r="AO17" s="10">
        <v>4.8437127047911602E-2</v>
      </c>
      <c r="AP17" s="10">
        <v>0.70205066247133396</v>
      </c>
      <c r="AQ17" s="15"/>
      <c r="AR17" s="13">
        <v>16</v>
      </c>
      <c r="AS17" s="13">
        <v>1</v>
      </c>
      <c r="AT17" s="13">
        <v>1</v>
      </c>
      <c r="AU17" s="13">
        <v>2</v>
      </c>
      <c r="AV17" s="13">
        <v>0.01</v>
      </c>
      <c r="AW17" s="13">
        <v>8</v>
      </c>
      <c r="AX17" s="13">
        <v>15000</v>
      </c>
      <c r="AY17" s="13">
        <v>567.6</v>
      </c>
    </row>
    <row r="18" spans="1:51" x14ac:dyDescent="0.3">
      <c r="A18" s="17">
        <v>2</v>
      </c>
      <c r="B18" s="17">
        <v>0</v>
      </c>
      <c r="C18" s="17">
        <v>0</v>
      </c>
      <c r="D18" s="17">
        <v>42</v>
      </c>
      <c r="E18" s="17" t="s">
        <v>26</v>
      </c>
      <c r="F18" s="15">
        <f t="shared" si="10"/>
        <v>-0.66740646093593603</v>
      </c>
      <c r="G18" s="15">
        <f t="shared" si="12"/>
        <v>-1.281747772931958</v>
      </c>
      <c r="H18" s="15"/>
      <c r="I18" s="15"/>
      <c r="J18" s="15"/>
      <c r="K18" s="15"/>
      <c r="L18" s="15"/>
      <c r="M18" s="15"/>
      <c r="N18" s="30">
        <f t="shared" si="13"/>
        <v>0.28826167677646702</v>
      </c>
      <c r="O18" s="15">
        <f t="shared" si="14"/>
        <v>-0.37914478415946895</v>
      </c>
      <c r="P18" s="31">
        <f t="shared" si="0"/>
        <v>-1.116417224803828</v>
      </c>
      <c r="Q18" s="15"/>
      <c r="R18" s="15"/>
      <c r="S18">
        <v>0.46376281358708199</v>
      </c>
      <c r="T18">
        <v>-0.37297053884615999</v>
      </c>
      <c r="U18">
        <v>0.59513273318932902</v>
      </c>
      <c r="V18" s="3">
        <v>-0.27992729188315002</v>
      </c>
      <c r="W18" s="3">
        <v>0.12574003548159199</v>
      </c>
      <c r="X18" s="3">
        <v>0.306871056412862</v>
      </c>
      <c r="Y18" s="15">
        <v>1.4754719999999999E-5</v>
      </c>
      <c r="Z18" s="16">
        <v>2</v>
      </c>
      <c r="AA18" s="7">
        <v>0.76259002379749896</v>
      </c>
      <c r="AB18" s="7">
        <v>-0.60636056634305102</v>
      </c>
      <c r="AC18" s="7">
        <v>0.97427751734879797</v>
      </c>
      <c r="AD18" s="15">
        <v>-1.281747772931958</v>
      </c>
      <c r="AE18" s="15">
        <v>2.605253E-4</v>
      </c>
      <c r="AF18" s="15">
        <v>0.99976299999999996</v>
      </c>
      <c r="AG18" s="5">
        <v>1.5801800383909099</v>
      </c>
      <c r="AH18" s="5">
        <v>0.16352624015679401</v>
      </c>
      <c r="AI18" s="5">
        <v>1.58861882934482</v>
      </c>
      <c r="AJ18" s="15">
        <v>2.6561689999999999E-2</v>
      </c>
      <c r="AK18" s="15">
        <v>1.171138</v>
      </c>
      <c r="AL18" s="20">
        <v>0.41836667621661899</v>
      </c>
      <c r="AM18" s="20">
        <v>-0.41836667621661899</v>
      </c>
      <c r="AN18" s="10">
        <v>1.5801800383909099</v>
      </c>
      <c r="AO18" s="10">
        <v>0.16352624015679401</v>
      </c>
      <c r="AP18" s="10">
        <v>1.58861882934482</v>
      </c>
      <c r="AQ18" s="15"/>
      <c r="AR18" s="13">
        <v>16</v>
      </c>
      <c r="AS18" s="13">
        <v>1</v>
      </c>
      <c r="AT18" s="13">
        <v>1</v>
      </c>
      <c r="AU18" s="13">
        <v>2</v>
      </c>
      <c r="AV18" s="13">
        <v>0.01</v>
      </c>
      <c r="AW18" s="13">
        <v>8</v>
      </c>
      <c r="AX18" s="13">
        <v>15000</v>
      </c>
      <c r="AY18" s="13">
        <v>571.70000000000005</v>
      </c>
    </row>
    <row r="19" spans="1:51" x14ac:dyDescent="0.3">
      <c r="A19" s="17">
        <v>3</v>
      </c>
      <c r="B19" s="17">
        <v>0</v>
      </c>
      <c r="C19" s="17">
        <v>0</v>
      </c>
      <c r="D19" s="17">
        <v>42</v>
      </c>
      <c r="E19" s="17" t="s">
        <v>26</v>
      </c>
      <c r="F19" s="15">
        <f t="shared" si="10"/>
        <v>-1.363905243264959</v>
      </c>
      <c r="G19" s="15">
        <f t="shared" si="12"/>
        <v>-1.2800812362153591</v>
      </c>
      <c r="H19" s="15"/>
      <c r="I19" s="15"/>
      <c r="J19" s="15"/>
      <c r="K19" s="15"/>
      <c r="L19" s="15"/>
      <c r="M19" s="15"/>
      <c r="N19" s="30">
        <f t="shared" si="13"/>
        <v>6.9619278707717003E-2</v>
      </c>
      <c r="O19" s="15">
        <f t="shared" si="14"/>
        <v>-1.294285964557242</v>
      </c>
      <c r="P19" s="31">
        <f t="shared" si="0"/>
        <v>-1.064998484757508</v>
      </c>
      <c r="Q19" s="15"/>
      <c r="R19" s="15"/>
      <c r="S19">
        <v>0.48646088227231199</v>
      </c>
      <c r="T19">
        <v>-0.35027247016092999</v>
      </c>
      <c r="U19">
        <v>0.59944557161913803</v>
      </c>
      <c r="V19" s="3">
        <v>0.44467422076545299</v>
      </c>
      <c r="W19" s="3">
        <v>-0.28806377427037899</v>
      </c>
      <c r="X19" s="3">
        <v>0.52982629291142103</v>
      </c>
      <c r="Y19" s="15">
        <v>4.128381E-5</v>
      </c>
      <c r="Z19" s="16">
        <v>3</v>
      </c>
      <c r="AA19" s="7">
        <v>1.88712470203465</v>
      </c>
      <c r="AB19" s="7">
        <v>0.15804901163740101</v>
      </c>
      <c r="AC19" s="7">
        <v>1.89373153617638</v>
      </c>
      <c r="AD19" s="15">
        <v>-1.2800812362153591</v>
      </c>
      <c r="AE19" s="15">
        <v>5.4041460000000001E-4</v>
      </c>
      <c r="AF19" s="15">
        <v>0.99931599999999998</v>
      </c>
      <c r="AG19" s="5">
        <v>1.55145936702982</v>
      </c>
      <c r="AH19" s="5">
        <v>-0.93206174497467897</v>
      </c>
      <c r="AI19" s="5">
        <v>1.8099075291267801</v>
      </c>
      <c r="AJ19" s="15">
        <v>9.7190530000000001E-3</v>
      </c>
      <c r="AK19" s="15">
        <v>0.70750040000000003</v>
      </c>
      <c r="AL19" s="20">
        <v>0.41836667621661899</v>
      </c>
      <c r="AM19" s="20">
        <v>-0.41836667621661899</v>
      </c>
      <c r="AN19" s="10">
        <v>1.55145936702982</v>
      </c>
      <c r="AO19" s="10">
        <v>-0.93206174497467897</v>
      </c>
      <c r="AP19" s="10">
        <v>1.8099075291267801</v>
      </c>
      <c r="AQ19" s="15"/>
      <c r="AR19" s="13">
        <v>16</v>
      </c>
      <c r="AS19" s="13">
        <v>1</v>
      </c>
      <c r="AT19" s="13">
        <v>1</v>
      </c>
      <c r="AU19" s="13">
        <v>2</v>
      </c>
      <c r="AV19" s="13">
        <v>0.01</v>
      </c>
      <c r="AW19" s="13">
        <v>8</v>
      </c>
      <c r="AX19" s="13">
        <v>15000</v>
      </c>
      <c r="AY19" s="13">
        <v>569</v>
      </c>
    </row>
    <row r="20" spans="1:51" x14ac:dyDescent="0.3">
      <c r="A20" s="17">
        <v>4</v>
      </c>
      <c r="B20" s="17">
        <v>0</v>
      </c>
      <c r="C20" s="17">
        <v>0</v>
      </c>
      <c r="D20" s="17">
        <v>42</v>
      </c>
      <c r="E20" s="17" t="s">
        <v>26</v>
      </c>
      <c r="F20" s="15">
        <f t="shared" si="10"/>
        <v>-1.3271502024764159</v>
      </c>
      <c r="G20" s="15">
        <f t="shared" si="12"/>
        <v>-1.537312238142396</v>
      </c>
      <c r="H20" s="15"/>
      <c r="I20" s="15"/>
      <c r="J20" s="15"/>
      <c r="K20" s="15"/>
      <c r="L20" s="15"/>
      <c r="M20" s="15"/>
      <c r="N20" s="30">
        <f t="shared" si="13"/>
        <v>0.45485082130591303</v>
      </c>
      <c r="O20" s="15">
        <f t="shared" si="14"/>
        <v>-0.87229938117050287</v>
      </c>
      <c r="P20" s="31">
        <f t="shared" si="0"/>
        <v>-0.49461237992392693</v>
      </c>
      <c r="Q20" s="15"/>
      <c r="R20" s="15"/>
      <c r="S20">
        <v>0.50915895095754304</v>
      </c>
      <c r="T20">
        <v>-0.327574401475699</v>
      </c>
      <c r="U20">
        <v>0.60543193328593703</v>
      </c>
      <c r="V20" s="3">
        <v>8.9165534081367695E-2</v>
      </c>
      <c r="W20" s="3">
        <v>-0.12134322732285099</v>
      </c>
      <c r="X20" s="3">
        <v>0.150581111980024</v>
      </c>
      <c r="Y20" s="35">
        <v>0.36657911413458599</v>
      </c>
      <c r="Z20" s="16">
        <v>4</v>
      </c>
      <c r="AA20" s="7">
        <v>0.13921922245985499</v>
      </c>
      <c r="AB20" s="7">
        <v>-1.4711586745904801</v>
      </c>
      <c r="AC20" s="7">
        <v>1.4777313144564399</v>
      </c>
      <c r="AD20" s="15">
        <v>-1.537312238142396</v>
      </c>
      <c r="AE20" s="15">
        <v>2.982808E-4</v>
      </c>
      <c r="AF20" s="15">
        <v>0.999668</v>
      </c>
      <c r="AG20" s="5">
        <v>1.00377133088147</v>
      </c>
      <c r="AH20" s="5">
        <v>-1.3569919221159401</v>
      </c>
      <c r="AI20" s="5">
        <v>1.68789335012242</v>
      </c>
      <c r="AJ20" s="15">
        <v>5.3214699999999997E-2</v>
      </c>
      <c r="AK20" s="15">
        <v>0.91078800000000004</v>
      </c>
      <c r="AL20" s="20">
        <v>0.41836667621661899</v>
      </c>
      <c r="AM20" s="20">
        <v>-0.41836667621661899</v>
      </c>
      <c r="AN20" s="10">
        <v>1.00377133088147</v>
      </c>
      <c r="AO20" s="10">
        <v>-1.3569919221159401</v>
      </c>
      <c r="AP20" s="10">
        <v>1.68789335012242</v>
      </c>
      <c r="AQ20" s="15"/>
      <c r="AR20" s="13">
        <v>16</v>
      </c>
      <c r="AS20" s="13">
        <v>1</v>
      </c>
      <c r="AT20" s="13">
        <v>1</v>
      </c>
      <c r="AU20" s="13">
        <v>2</v>
      </c>
      <c r="AV20" s="13">
        <v>0.01</v>
      </c>
      <c r="AW20" s="13">
        <v>8</v>
      </c>
      <c r="AX20" s="13">
        <v>15000</v>
      </c>
      <c r="AY20" s="13">
        <v>637.5</v>
      </c>
    </row>
    <row r="21" spans="1:51" ht="15" thickBot="1" x14ac:dyDescent="0.35">
      <c r="A21" s="17">
        <v>8</v>
      </c>
      <c r="B21" s="17">
        <v>0</v>
      </c>
      <c r="C21" s="17">
        <v>0</v>
      </c>
      <c r="D21" s="17">
        <v>45</v>
      </c>
      <c r="E21" s="17" t="s">
        <v>26</v>
      </c>
      <c r="F21" s="15">
        <f t="shared" si="10"/>
        <v>-0.99676046677572394</v>
      </c>
      <c r="G21" s="15">
        <f t="shared" si="12"/>
        <v>-0.95750232152093395</v>
      </c>
      <c r="H21" s="15"/>
      <c r="I21" s="15"/>
      <c r="J21" s="15"/>
      <c r="K21" s="15"/>
      <c r="L21" s="15"/>
      <c r="M21" s="15"/>
      <c r="N21" s="32">
        <f t="shared" si="13"/>
        <v>0.35337106037435506</v>
      </c>
      <c r="O21" s="33">
        <f t="shared" si="14"/>
        <v>-0.64338940640136888</v>
      </c>
      <c r="P21" s="34">
        <f t="shared" si="0"/>
        <v>0.87984731705269204</v>
      </c>
      <c r="Q21" s="15"/>
      <c r="R21" s="15"/>
      <c r="S21">
        <v>0.59995122569846604</v>
      </c>
      <c r="T21">
        <v>-0.236782126734776</v>
      </c>
      <c r="U21">
        <v>0.64498623920060105</v>
      </c>
      <c r="V21" s="3">
        <v>0.28774808947310299</v>
      </c>
      <c r="W21" s="3">
        <v>4.73333870163824E-2</v>
      </c>
      <c r="X21" s="3">
        <v>0.29161517882624599</v>
      </c>
      <c r="Y21" s="15">
        <v>2.2044449999999999E-5</v>
      </c>
      <c r="Z21" s="16">
        <v>8</v>
      </c>
      <c r="AA21" s="7">
        <v>-1.28663475804626</v>
      </c>
      <c r="AB21" s="7">
        <v>-6.6953741998137903E-2</v>
      </c>
      <c r="AC21" s="7">
        <v>1.2883756456019699</v>
      </c>
      <c r="AD21" s="15">
        <v>-0.95750232152093395</v>
      </c>
      <c r="AE21" s="15">
        <v>6.1093859999999999E-4</v>
      </c>
      <c r="AF21" s="15">
        <v>0.99940200000000001</v>
      </c>
      <c r="AG21" s="5">
        <v>-0.279896091354226</v>
      </c>
      <c r="AH21" s="5">
        <v>-1.21735479943943</v>
      </c>
      <c r="AI21" s="5">
        <v>1.2491175003471799</v>
      </c>
      <c r="AJ21" s="15">
        <v>0.18083740000000001</v>
      </c>
      <c r="AK21" s="15">
        <v>1.109774</v>
      </c>
      <c r="AL21" s="20">
        <v>0.41836667621661899</v>
      </c>
      <c r="AM21" s="20">
        <v>-0.41836667621661899</v>
      </c>
      <c r="AN21" s="10">
        <v>-0.279896091354226</v>
      </c>
      <c r="AO21" s="10">
        <v>-1.21735479943943</v>
      </c>
      <c r="AP21" s="10">
        <v>1.2491175003471799</v>
      </c>
      <c r="AQ21" s="15"/>
      <c r="AR21" s="13">
        <v>16</v>
      </c>
      <c r="AS21" s="13">
        <v>1</v>
      </c>
      <c r="AT21" s="13">
        <v>1</v>
      </c>
      <c r="AU21" s="13">
        <v>2</v>
      </c>
      <c r="AV21" s="13">
        <v>0.01</v>
      </c>
      <c r="AW21" s="13">
        <v>8</v>
      </c>
      <c r="AX21" s="13">
        <v>15000</v>
      </c>
      <c r="AY21" s="13">
        <v>562.9</v>
      </c>
    </row>
    <row r="22" spans="1:51" s="13" customForma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/>
      <c r="T22"/>
      <c r="U22" s="17"/>
      <c r="AA22" s="17"/>
      <c r="AB22" s="17"/>
      <c r="AC22" s="17"/>
    </row>
    <row r="23" spans="1:51" s="13" customForma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25" t="s">
        <v>56</v>
      </c>
      <c r="T23" s="17"/>
      <c r="U23" s="17"/>
      <c r="X23" s="22" t="s">
        <v>35</v>
      </c>
      <c r="AD23" s="17"/>
      <c r="AE23" s="17"/>
      <c r="AI23" s="17" t="s">
        <v>34</v>
      </c>
    </row>
    <row r="24" spans="1:51" x14ac:dyDescent="0.3">
      <c r="D24" s="17" t="s">
        <v>33</v>
      </c>
      <c r="R24" s="17" t="s">
        <v>60</v>
      </c>
      <c r="S24" s="25" t="s">
        <v>44</v>
      </c>
      <c r="T24" s="25" t="s">
        <v>45</v>
      </c>
      <c r="U24" s="25" t="s">
        <v>30</v>
      </c>
      <c r="V24" s="13"/>
      <c r="W24" s="13"/>
      <c r="X24" s="4" t="s">
        <v>11</v>
      </c>
      <c r="Y24" s="4" t="s">
        <v>12</v>
      </c>
      <c r="AA24" s="17"/>
      <c r="AB24" s="17"/>
      <c r="AD24" s="6" t="s">
        <v>31</v>
      </c>
      <c r="AE24" s="6" t="s">
        <v>29</v>
      </c>
      <c r="AF24" s="6" t="s">
        <v>30</v>
      </c>
      <c r="AG24" s="13"/>
      <c r="AH24" s="13"/>
      <c r="AI24" s="13"/>
      <c r="AJ24" s="4" t="s">
        <v>11</v>
      </c>
      <c r="AK24" s="4" t="s">
        <v>12</v>
      </c>
      <c r="AL24" s="4" t="s">
        <v>13</v>
      </c>
      <c r="AN24" s="19" t="s">
        <v>17</v>
      </c>
      <c r="AO24" s="13"/>
      <c r="AP24" s="13"/>
    </row>
    <row r="25" spans="1:51" x14ac:dyDescent="0.3">
      <c r="D25" s="17">
        <v>1</v>
      </c>
      <c r="E25" s="17">
        <v>0</v>
      </c>
      <c r="R25" s="17">
        <v>0</v>
      </c>
      <c r="S25" s="25">
        <v>0.30752200000000002</v>
      </c>
      <c r="T25" s="25">
        <v>-0.30752200000000002</v>
      </c>
      <c r="U25" s="25">
        <v>0.43490099999999998</v>
      </c>
      <c r="V25" s="24">
        <f>Z25-AL25</f>
        <v>-7.2164496600635175E-16</v>
      </c>
      <c r="W25" s="13"/>
      <c r="X25" s="17">
        <v>0.30751371411386302</v>
      </c>
      <c r="Y25" s="13">
        <v>-0.30753560602694202</v>
      </c>
      <c r="Z25" s="15">
        <f>SQRT(Y25^2+X25^2)</f>
        <v>0.43490554531123327</v>
      </c>
      <c r="AA25" s="15">
        <f t="shared" ref="AA25:AA42" si="21">Z25-AF25</f>
        <v>-3.7351285365692655E-3</v>
      </c>
      <c r="AB25" s="23">
        <f>AF25-AL25</f>
        <v>3.7351285365685438E-3</v>
      </c>
      <c r="AD25" s="11">
        <v>0.30090772494607898</v>
      </c>
      <c r="AE25" s="11">
        <v>-0.319155419539492</v>
      </c>
      <c r="AF25" s="15">
        <f>SQRT(AE25^2+AD25^2)</f>
        <v>0.43864067384780253</v>
      </c>
      <c r="AG25" s="18">
        <f>AF25-AL25</f>
        <v>3.7351285365685438E-3</v>
      </c>
      <c r="AH25" s="14"/>
      <c r="AI25" s="18">
        <f>AL25-AF25</f>
        <v>-3.7351285365685438E-3</v>
      </c>
      <c r="AJ25" s="12">
        <v>0.30751371411386302</v>
      </c>
      <c r="AK25" s="12">
        <v>-0.30753560602694202</v>
      </c>
      <c r="AL25" s="12">
        <v>0.43490554531123399</v>
      </c>
      <c r="AM25" s="15">
        <f>SQRT(AJ25^2+AK25^2)</f>
        <v>0.43490554531123327</v>
      </c>
      <c r="AN25" s="21">
        <v>-0.30752150772800002</v>
      </c>
      <c r="AO25" s="14" t="e">
        <f>SQRT(AN25^2+#REF!^2)</f>
        <v>#REF!</v>
      </c>
      <c r="AP25" s="13"/>
    </row>
    <row r="26" spans="1:51" x14ac:dyDescent="0.3">
      <c r="D26" s="17">
        <v>1</v>
      </c>
      <c r="E26" s="17">
        <v>0.05</v>
      </c>
      <c r="R26" s="17">
        <v>0.05</v>
      </c>
      <c r="S26" s="25">
        <v>0.30796899999999999</v>
      </c>
      <c r="T26" s="25">
        <v>-0.30707400000000001</v>
      </c>
      <c r="U26" s="25">
        <v>0.43490200000000001</v>
      </c>
      <c r="V26" s="24">
        <f t="shared" ref="V26:V42" si="22">Z26-AL26</f>
        <v>-8.3266726846886741E-16</v>
      </c>
      <c r="W26" s="13"/>
      <c r="X26" s="17">
        <v>0.30792449970265701</v>
      </c>
      <c r="Y26" s="13">
        <v>-0.30701084731864298</v>
      </c>
      <c r="Z26" s="15">
        <f t="shared" ref="Z26:Z42" si="23">SQRT(Y26^2+X26^2)</f>
        <v>0.43482543381044619</v>
      </c>
      <c r="AA26" s="15">
        <f t="shared" si="21"/>
        <v>5.817509501963386E-2</v>
      </c>
      <c r="AB26" s="23">
        <f t="shared" ref="AB26:AB42" si="24">AF26-AL26</f>
        <v>-5.8175095019634693E-2</v>
      </c>
      <c r="AD26" s="11">
        <v>0.26842235108495399</v>
      </c>
      <c r="AE26" s="11">
        <v>-0.26422512967024803</v>
      </c>
      <c r="AF26" s="15">
        <f t="shared" ref="AF26:AF42" si="25">SQRT(AE26^2+AD26^2)</f>
        <v>0.37665033879081233</v>
      </c>
      <c r="AG26" s="18">
        <f t="shared" ref="AG26:AG42" si="26">AF26-AL26</f>
        <v>-5.8175095019634693E-2</v>
      </c>
      <c r="AH26" s="13"/>
      <c r="AI26" s="13"/>
      <c r="AJ26" s="12">
        <v>0.30792449970265701</v>
      </c>
      <c r="AK26" s="12">
        <v>-0.30701084731864298</v>
      </c>
      <c r="AL26" s="12">
        <v>0.43482543381044703</v>
      </c>
      <c r="AN26" s="13"/>
      <c r="AO26" s="13"/>
      <c r="AP26" s="13"/>
    </row>
    <row r="27" spans="1:51" x14ac:dyDescent="0.3">
      <c r="D27" s="17">
        <v>1</v>
      </c>
      <c r="E27" s="17">
        <v>0.1</v>
      </c>
      <c r="R27" s="17">
        <v>0.1</v>
      </c>
      <c r="S27" s="25">
        <v>0.308417</v>
      </c>
      <c r="T27" s="25">
        <v>-0.30662600000000001</v>
      </c>
      <c r="U27" s="25">
        <v>0.43490299999999998</v>
      </c>
      <c r="V27" s="24">
        <f t="shared" si="22"/>
        <v>0</v>
      </c>
      <c r="W27" s="13"/>
      <c r="X27" s="17">
        <v>0.30827036180782402</v>
      </c>
      <c r="Y27" s="13">
        <v>-0.30712646009599198</v>
      </c>
      <c r="Z27" s="15">
        <f t="shared" si="23"/>
        <v>0.43515201764466366</v>
      </c>
      <c r="AA27" s="15">
        <f t="shared" si="21"/>
        <v>-0.29533191024897626</v>
      </c>
      <c r="AB27" s="23">
        <f t="shared" si="24"/>
        <v>0.29533191024897593</v>
      </c>
      <c r="AD27" s="11">
        <v>0.366782507997157</v>
      </c>
      <c r="AE27" s="11">
        <v>-0.63172570055225397</v>
      </c>
      <c r="AF27" s="15">
        <f t="shared" si="25"/>
        <v>0.73048392789363992</v>
      </c>
      <c r="AG27" s="18">
        <f t="shared" si="26"/>
        <v>0.29533191024897593</v>
      </c>
      <c r="AH27" s="13"/>
      <c r="AI27" s="13"/>
      <c r="AJ27" s="12">
        <v>0.30827036180782402</v>
      </c>
      <c r="AK27" s="12">
        <v>-0.30712646009599198</v>
      </c>
      <c r="AL27" s="12">
        <v>0.43515201764466399</v>
      </c>
      <c r="AN27" s="13"/>
      <c r="AO27" s="13"/>
      <c r="AP27" s="13"/>
    </row>
    <row r="28" spans="1:51" x14ac:dyDescent="0.3">
      <c r="D28" s="17">
        <v>1</v>
      </c>
      <c r="E28" s="17">
        <v>0.15</v>
      </c>
      <c r="R28" s="17">
        <v>0.15</v>
      </c>
      <c r="S28" s="25">
        <v>0.308865</v>
      </c>
      <c r="T28" s="25">
        <v>-0.30617800000000001</v>
      </c>
      <c r="U28" s="25">
        <v>0.43490499999999999</v>
      </c>
      <c r="V28" s="24">
        <f t="shared" si="22"/>
        <v>0</v>
      </c>
      <c r="W28" s="13"/>
      <c r="X28" s="17">
        <v>0.31689877136455002</v>
      </c>
      <c r="Y28" s="13">
        <v>-0.29740570589188903</v>
      </c>
      <c r="Z28" s="15">
        <f t="shared" si="23"/>
        <v>0.43459749790974883</v>
      </c>
      <c r="AA28" s="15">
        <f t="shared" si="21"/>
        <v>-0.79786988594604913</v>
      </c>
      <c r="AB28" s="23">
        <f t="shared" si="24"/>
        <v>0.79786988594604902</v>
      </c>
      <c r="AD28" s="11">
        <v>1.01946119786818</v>
      </c>
      <c r="AE28" s="11">
        <v>0.69258553140354495</v>
      </c>
      <c r="AF28" s="15">
        <f t="shared" si="25"/>
        <v>1.232467383855798</v>
      </c>
      <c r="AG28" s="18">
        <f t="shared" si="26"/>
        <v>0.79786988594604902</v>
      </c>
      <c r="AH28" s="13"/>
      <c r="AI28" s="13"/>
      <c r="AJ28" s="12">
        <v>0.31689877136455002</v>
      </c>
      <c r="AK28" s="12">
        <v>-0.29740570589188903</v>
      </c>
      <c r="AL28" s="12">
        <v>0.434597497909749</v>
      </c>
      <c r="AN28" s="13"/>
      <c r="AO28" s="13"/>
      <c r="AP28" s="13"/>
    </row>
    <row r="29" spans="1:51" x14ac:dyDescent="0.3">
      <c r="D29" s="17">
        <v>1</v>
      </c>
      <c r="E29" s="17">
        <v>0.2</v>
      </c>
      <c r="R29" s="17">
        <v>0.2</v>
      </c>
      <c r="S29" s="25">
        <v>0.30931199999999998</v>
      </c>
      <c r="T29" s="25">
        <v>-0.30573099999999998</v>
      </c>
      <c r="U29" s="25">
        <v>0.43490800000000002</v>
      </c>
      <c r="V29" s="24">
        <f t="shared" si="22"/>
        <v>-7.2164496600635175E-16</v>
      </c>
      <c r="W29" s="13"/>
      <c r="X29" s="17">
        <v>0.31162963488251999</v>
      </c>
      <c r="Y29" s="13">
        <v>-0.35540013675900101</v>
      </c>
      <c r="Z29" s="15">
        <f t="shared" si="23"/>
        <v>0.47267566739290628</v>
      </c>
      <c r="AA29" s="15">
        <f t="shared" si="21"/>
        <v>-0.97959487007113633</v>
      </c>
      <c r="AB29" s="23">
        <f t="shared" si="24"/>
        <v>0.97959487007113555</v>
      </c>
      <c r="AD29" s="11">
        <v>0.57007728970818705</v>
      </c>
      <c r="AE29" s="11">
        <v>-1.3357026606790401</v>
      </c>
      <c r="AF29" s="15">
        <f t="shared" si="25"/>
        <v>1.4522705374640426</v>
      </c>
      <c r="AG29" s="18">
        <f t="shared" si="26"/>
        <v>0.97959487007113555</v>
      </c>
      <c r="AH29" s="13"/>
      <c r="AI29" s="13"/>
      <c r="AJ29" s="12">
        <v>0.31162963488251999</v>
      </c>
      <c r="AK29" s="12">
        <v>-0.35540013675900101</v>
      </c>
      <c r="AL29" s="12">
        <v>0.47267566739290701</v>
      </c>
      <c r="AN29" s="13"/>
      <c r="AO29" s="13"/>
      <c r="AP29" s="13"/>
    </row>
    <row r="30" spans="1:51" x14ac:dyDescent="0.3">
      <c r="D30" s="17">
        <v>1</v>
      </c>
      <c r="E30" s="17">
        <v>0.3</v>
      </c>
      <c r="V30" s="24">
        <f t="shared" si="22"/>
        <v>5.2735593669694936E-16</v>
      </c>
      <c r="W30" s="13"/>
      <c r="X30" s="17">
        <v>0.158238165852533</v>
      </c>
      <c r="Y30" s="13">
        <v>-0.16667417251261499</v>
      </c>
      <c r="Z30" s="15">
        <f t="shared" si="23"/>
        <v>0.22982514421868352</v>
      </c>
      <c r="AA30" s="15">
        <f t="shared" si="21"/>
        <v>-0.43647319000971208</v>
      </c>
      <c r="AB30" s="23">
        <f t="shared" si="24"/>
        <v>0.43647319000971257</v>
      </c>
      <c r="AD30" s="11">
        <v>-0.54868454991467397</v>
      </c>
      <c r="AE30" s="11">
        <v>0.378019490080163</v>
      </c>
      <c r="AF30" s="15">
        <f t="shared" si="25"/>
        <v>0.66629833422839557</v>
      </c>
      <c r="AG30" s="18">
        <f t="shared" si="26"/>
        <v>0.43647319000971257</v>
      </c>
      <c r="AH30" s="13"/>
      <c r="AI30" s="13"/>
      <c r="AJ30" s="12">
        <v>0.158238165852533</v>
      </c>
      <c r="AK30" s="12">
        <v>-0.16667417251261499</v>
      </c>
      <c r="AL30" s="12">
        <v>0.229825144218683</v>
      </c>
      <c r="AN30" s="13"/>
      <c r="AO30" s="13"/>
      <c r="AP30" s="13"/>
    </row>
    <row r="31" spans="1:51" x14ac:dyDescent="0.3">
      <c r="D31" s="17">
        <v>1</v>
      </c>
      <c r="E31" s="17">
        <v>0.4</v>
      </c>
      <c r="V31" s="24">
        <f t="shared" si="22"/>
        <v>0</v>
      </c>
      <c r="W31" s="13"/>
      <c r="X31" s="17">
        <v>0.178161431444501</v>
      </c>
      <c r="Y31" s="13">
        <v>-0.68112296377902704</v>
      </c>
      <c r="Z31" s="15">
        <f t="shared" si="23"/>
        <v>0.70403834230919515</v>
      </c>
      <c r="AA31" s="15">
        <f t="shared" si="21"/>
        <v>-0.68890813594088929</v>
      </c>
      <c r="AB31" s="23">
        <f t="shared" si="24"/>
        <v>0.6889081359408894</v>
      </c>
      <c r="AD31" s="11">
        <v>5.7301930705959802E-3</v>
      </c>
      <c r="AE31" s="11">
        <v>-1.39293469199266</v>
      </c>
      <c r="AF31" s="15">
        <f t="shared" si="25"/>
        <v>1.3929464782500844</v>
      </c>
      <c r="AG31" s="18">
        <f t="shared" si="26"/>
        <v>0.6889081359408894</v>
      </c>
      <c r="AH31" s="13"/>
      <c r="AI31" s="13"/>
      <c r="AJ31" s="12">
        <v>0.178161431444501</v>
      </c>
      <c r="AK31" s="12">
        <v>-0.68112296377902704</v>
      </c>
      <c r="AL31" s="12">
        <v>0.70403834230919504</v>
      </c>
      <c r="AN31" s="13"/>
      <c r="AO31" s="13"/>
      <c r="AP31" s="13"/>
    </row>
    <row r="32" spans="1:51" x14ac:dyDescent="0.3">
      <c r="D32" s="17">
        <v>1</v>
      </c>
      <c r="E32" s="17">
        <v>0.5</v>
      </c>
      <c r="V32" s="24">
        <f t="shared" si="22"/>
        <v>0</v>
      </c>
      <c r="W32" s="13"/>
      <c r="X32" s="17">
        <v>8.1018078323665796E-2</v>
      </c>
      <c r="Y32" s="13">
        <v>-0.83197708377727997</v>
      </c>
      <c r="Z32" s="15">
        <f t="shared" si="23"/>
        <v>0.83591255340843329</v>
      </c>
      <c r="AA32" s="15">
        <f t="shared" si="21"/>
        <v>-0.57166209832239057</v>
      </c>
      <c r="AB32" s="23">
        <f t="shared" si="24"/>
        <v>0.5716620983223909</v>
      </c>
      <c r="AD32" s="11">
        <v>-8.7526255146810894E-2</v>
      </c>
      <c r="AE32" s="11">
        <v>-1.40485072333509</v>
      </c>
      <c r="AF32" s="15">
        <f t="shared" si="25"/>
        <v>1.4075746517308239</v>
      </c>
      <c r="AG32" s="18">
        <f t="shared" si="26"/>
        <v>0.5716620983223909</v>
      </c>
      <c r="AH32" s="13"/>
      <c r="AI32" s="13"/>
      <c r="AJ32" s="12">
        <v>8.1018078323665796E-2</v>
      </c>
      <c r="AK32" s="12">
        <v>-0.83197708377727997</v>
      </c>
      <c r="AL32" s="12">
        <v>0.83591255340843296</v>
      </c>
      <c r="AN32" s="13"/>
      <c r="AO32" s="13"/>
      <c r="AP32" s="13"/>
    </row>
    <row r="33" spans="1:42" x14ac:dyDescent="0.3">
      <c r="D33" s="17">
        <v>1</v>
      </c>
      <c r="E33" s="17">
        <v>0.6</v>
      </c>
      <c r="V33" s="24">
        <f t="shared" si="22"/>
        <v>0</v>
      </c>
      <c r="W33" s="13"/>
      <c r="X33" s="17">
        <v>1.03015285007262</v>
      </c>
      <c r="Y33" s="13">
        <v>-0.25665637333119901</v>
      </c>
      <c r="Z33" s="15">
        <f t="shared" si="23"/>
        <v>1.0616437201266091</v>
      </c>
      <c r="AA33" s="15">
        <f t="shared" si="21"/>
        <v>-0.45900963052278687</v>
      </c>
      <c r="AB33" s="23">
        <f t="shared" si="24"/>
        <v>0.45900963052278598</v>
      </c>
      <c r="AD33" s="11">
        <v>1.49989809412664</v>
      </c>
      <c r="AE33" s="11">
        <v>-0.250384344711301</v>
      </c>
      <c r="AF33" s="15">
        <f t="shared" si="25"/>
        <v>1.520653350649396</v>
      </c>
      <c r="AG33" s="18">
        <f t="shared" si="26"/>
        <v>0.45900963052278598</v>
      </c>
      <c r="AH33" s="13"/>
      <c r="AI33" s="13"/>
      <c r="AJ33" s="12">
        <v>1.03015285007262</v>
      </c>
      <c r="AK33" s="12">
        <v>-0.25665637333119901</v>
      </c>
      <c r="AL33" s="12">
        <v>1.06164372012661</v>
      </c>
      <c r="AN33" s="13"/>
      <c r="AO33" s="13"/>
      <c r="AP33" s="13"/>
    </row>
    <row r="34" spans="1:42" x14ac:dyDescent="0.3">
      <c r="D34" s="17">
        <v>1</v>
      </c>
      <c r="E34" s="17">
        <v>0.7</v>
      </c>
      <c r="V34" s="24">
        <f t="shared" si="22"/>
        <v>0</v>
      </c>
      <c r="W34" s="13"/>
      <c r="X34" s="17">
        <v>-0.49989492822739301</v>
      </c>
      <c r="Y34" s="13">
        <v>-0.44545698486931101</v>
      </c>
      <c r="Z34" s="15">
        <f t="shared" si="23"/>
        <v>0.66957215043363927</v>
      </c>
      <c r="AA34" s="15">
        <f t="shared" si="21"/>
        <v>-0.25675965893024089</v>
      </c>
      <c r="AB34" s="23">
        <f t="shared" si="24"/>
        <v>0.25675965893024111</v>
      </c>
      <c r="AD34" s="11">
        <v>-0.77237447931389402</v>
      </c>
      <c r="AE34" s="11">
        <v>-0.51139836208571399</v>
      </c>
      <c r="AF34" s="15">
        <f t="shared" si="25"/>
        <v>0.92633180936388015</v>
      </c>
      <c r="AG34" s="18">
        <f t="shared" si="26"/>
        <v>0.25675965893024111</v>
      </c>
      <c r="AH34" s="13"/>
      <c r="AI34" s="13"/>
      <c r="AJ34" s="12">
        <v>-0.49989492822739301</v>
      </c>
      <c r="AK34" s="12">
        <v>-0.44545698486931101</v>
      </c>
      <c r="AL34" s="12">
        <v>0.66957215043363905</v>
      </c>
      <c r="AN34" s="13"/>
      <c r="AO34" s="13"/>
      <c r="AP34" s="13"/>
    </row>
    <row r="35" spans="1:42" x14ac:dyDescent="0.3">
      <c r="D35" s="17">
        <v>1</v>
      </c>
      <c r="E35" s="17">
        <v>0.8</v>
      </c>
      <c r="V35" s="24">
        <f t="shared" si="22"/>
        <v>0</v>
      </c>
      <c r="W35" s="13"/>
      <c r="X35" s="17">
        <v>0.76934193755625901</v>
      </c>
      <c r="Y35" s="13">
        <v>0.48248284653412998</v>
      </c>
      <c r="Z35" s="15">
        <f t="shared" si="23"/>
        <v>0.90811712575113102</v>
      </c>
      <c r="AA35" s="15">
        <f t="shared" si="21"/>
        <v>-0.1795301904237373</v>
      </c>
      <c r="AB35" s="23">
        <f t="shared" si="24"/>
        <v>0.1795301904237373</v>
      </c>
      <c r="AD35" s="11">
        <v>0.871324703964382</v>
      </c>
      <c r="AE35" s="11">
        <v>0.65097614752291499</v>
      </c>
      <c r="AF35" s="15">
        <f t="shared" si="25"/>
        <v>1.0876473161748683</v>
      </c>
      <c r="AG35" s="18">
        <f t="shared" si="26"/>
        <v>0.1795301904237373</v>
      </c>
      <c r="AH35" s="13"/>
      <c r="AI35" s="13"/>
      <c r="AJ35" s="12">
        <v>0.76934193755625901</v>
      </c>
      <c r="AK35" s="12">
        <v>0.48248284653412998</v>
      </c>
      <c r="AL35" s="12">
        <v>0.90811712575113102</v>
      </c>
      <c r="AN35" s="13"/>
      <c r="AO35" s="13"/>
      <c r="AP35" s="13"/>
    </row>
    <row r="36" spans="1:42" x14ac:dyDescent="0.3">
      <c r="D36" s="17">
        <v>1</v>
      </c>
      <c r="E36" s="17">
        <v>0.9</v>
      </c>
      <c r="V36" s="24">
        <f t="shared" si="22"/>
        <v>0</v>
      </c>
      <c r="W36" s="13"/>
      <c r="X36" s="17">
        <v>1.0352627315682701</v>
      </c>
      <c r="Y36" s="13">
        <v>-0.93884585193734604</v>
      </c>
      <c r="Z36" s="15">
        <f t="shared" si="23"/>
        <v>1.3975694820201809</v>
      </c>
      <c r="AA36" s="15">
        <f t="shared" si="21"/>
        <v>-0.21656179816249677</v>
      </c>
      <c r="AB36" s="23">
        <f t="shared" si="24"/>
        <v>0.21656179816249765</v>
      </c>
      <c r="AD36" s="11">
        <v>1.13447902401245</v>
      </c>
      <c r="AE36" s="11">
        <v>-1.1482060502104701</v>
      </c>
      <c r="AF36" s="15">
        <f t="shared" si="25"/>
        <v>1.6141312801826777</v>
      </c>
      <c r="AG36" s="18">
        <f t="shared" si="26"/>
        <v>0.21656179816249765</v>
      </c>
      <c r="AH36" s="13"/>
      <c r="AI36" s="13"/>
      <c r="AJ36" s="12">
        <v>1.0352627315682701</v>
      </c>
      <c r="AK36" s="12">
        <v>-0.93884585193734604</v>
      </c>
      <c r="AL36" s="12">
        <v>1.3975694820201801</v>
      </c>
      <c r="AN36" s="13"/>
      <c r="AO36" s="13"/>
      <c r="AP36" s="13"/>
    </row>
    <row r="37" spans="1:42" x14ac:dyDescent="0.3">
      <c r="D37" s="17">
        <v>1</v>
      </c>
      <c r="E37" s="17">
        <v>1</v>
      </c>
      <c r="V37" s="24">
        <f t="shared" si="22"/>
        <v>1.7763568394002505E-15</v>
      </c>
      <c r="W37" s="13"/>
      <c r="X37" s="17">
        <v>-0.22992529647193599</v>
      </c>
      <c r="Y37" s="13">
        <v>-1.14351229870103</v>
      </c>
      <c r="Z37" s="15">
        <f t="shared" si="23"/>
        <v>1.1663987393847017</v>
      </c>
      <c r="AA37" s="15">
        <f t="shared" si="21"/>
        <v>-4.7935370049976944E-2</v>
      </c>
      <c r="AB37" s="23">
        <f t="shared" si="24"/>
        <v>4.7935370049978721E-2</v>
      </c>
      <c r="AD37" s="11">
        <v>-0.32873328891953002</v>
      </c>
      <c r="AE37" s="11">
        <v>-1.16899176818858</v>
      </c>
      <c r="AF37" s="15">
        <f t="shared" si="25"/>
        <v>1.2143341094346787</v>
      </c>
      <c r="AG37" s="18">
        <f t="shared" si="26"/>
        <v>4.7935370049978721E-2</v>
      </c>
      <c r="AH37" s="13"/>
      <c r="AI37" s="13"/>
      <c r="AJ37" s="12">
        <v>-0.22992529647193599</v>
      </c>
      <c r="AK37" s="12">
        <v>-1.14351229870103</v>
      </c>
      <c r="AL37" s="12">
        <v>1.1663987393847</v>
      </c>
      <c r="AN37" s="13"/>
      <c r="AO37" s="13"/>
      <c r="AP37" s="13"/>
    </row>
    <row r="38" spans="1:42" x14ac:dyDescent="0.3">
      <c r="D38" s="17">
        <v>1</v>
      </c>
      <c r="E38" s="17">
        <v>1.1000000000000001</v>
      </c>
      <c r="V38" s="24">
        <f t="shared" si="22"/>
        <v>0</v>
      </c>
      <c r="W38" s="13"/>
      <c r="X38" s="17">
        <v>-0.70798155275093599</v>
      </c>
      <c r="Y38" s="13">
        <v>-0.128362412243583</v>
      </c>
      <c r="Z38" s="15">
        <f t="shared" si="23"/>
        <v>0.71952400092882085</v>
      </c>
      <c r="AA38" s="15">
        <f t="shared" si="21"/>
        <v>7.3095095250550468E-3</v>
      </c>
      <c r="AB38" s="23">
        <f t="shared" si="24"/>
        <v>-7.3095095250551578E-3</v>
      </c>
      <c r="AD38" s="11">
        <v>-0.70793641888744996</v>
      </c>
      <c r="AE38" s="11">
        <v>-7.7945548803877704E-2</v>
      </c>
      <c r="AF38" s="15">
        <f t="shared" si="25"/>
        <v>0.7122144914037658</v>
      </c>
      <c r="AG38" s="18">
        <f t="shared" si="26"/>
        <v>-7.3095095250551578E-3</v>
      </c>
      <c r="AH38" s="13"/>
      <c r="AI38" s="13"/>
      <c r="AJ38" s="12">
        <v>-0.70798155275093599</v>
      </c>
      <c r="AK38" s="12">
        <v>-0.128362412243583</v>
      </c>
      <c r="AL38" s="12">
        <v>0.71952400092882096</v>
      </c>
      <c r="AN38" s="13"/>
      <c r="AO38" s="13"/>
      <c r="AP38" s="13"/>
    </row>
    <row r="39" spans="1:42" x14ac:dyDescent="0.3">
      <c r="D39" s="17">
        <v>1</v>
      </c>
      <c r="E39" s="17">
        <v>2</v>
      </c>
      <c r="V39" s="24">
        <f t="shared" si="22"/>
        <v>7.3274719625260332E-15</v>
      </c>
      <c r="W39" s="13"/>
      <c r="X39" s="17">
        <v>-0.399900989440299</v>
      </c>
      <c r="Y39" s="13">
        <v>-1.15921498375423</v>
      </c>
      <c r="Z39" s="15">
        <f t="shared" si="23"/>
        <v>1.2262545330866874</v>
      </c>
      <c r="AA39" s="15">
        <f t="shared" si="21"/>
        <v>-0.31053801398962677</v>
      </c>
      <c r="AB39" s="23">
        <f t="shared" si="24"/>
        <v>0.3105380139896341</v>
      </c>
      <c r="AD39" s="11">
        <v>-1.0870786505907299</v>
      </c>
      <c r="AE39" s="11">
        <v>-1.08627406310707</v>
      </c>
      <c r="AF39" s="15">
        <f t="shared" si="25"/>
        <v>1.5367925470763142</v>
      </c>
      <c r="AG39" s="18">
        <f t="shared" si="26"/>
        <v>0.3105380139896341</v>
      </c>
      <c r="AH39" s="13"/>
      <c r="AI39" s="13"/>
      <c r="AJ39" s="12">
        <v>-0.399900989440299</v>
      </c>
      <c r="AK39" s="12">
        <v>-1.15921498375423</v>
      </c>
      <c r="AL39" s="12">
        <v>1.2262545330866801</v>
      </c>
      <c r="AN39" s="13"/>
      <c r="AO39" s="13"/>
      <c r="AP39" s="13"/>
    </row>
    <row r="40" spans="1:42" x14ac:dyDescent="0.3">
      <c r="D40" s="17">
        <v>1</v>
      </c>
      <c r="E40" s="17">
        <v>3</v>
      </c>
      <c r="V40" s="24">
        <f t="shared" si="22"/>
        <v>0</v>
      </c>
      <c r="W40" s="13"/>
      <c r="X40" s="17">
        <v>4.7864493687262404E-3</v>
      </c>
      <c r="Y40" s="13">
        <v>0.82175618867133704</v>
      </c>
      <c r="Z40" s="15">
        <f t="shared" si="23"/>
        <v>0.82177012827018814</v>
      </c>
      <c r="AA40" s="15">
        <f t="shared" si="21"/>
        <v>-1.0214116298278069</v>
      </c>
      <c r="AB40" s="23">
        <f t="shared" si="24"/>
        <v>1.0214116298278069</v>
      </c>
      <c r="AD40" s="11">
        <v>0.92736744840374896</v>
      </c>
      <c r="AE40" s="11">
        <v>1.59289315681446</v>
      </c>
      <c r="AF40" s="15">
        <f t="shared" si="25"/>
        <v>1.843181758097995</v>
      </c>
      <c r="AG40" s="18">
        <f t="shared" si="26"/>
        <v>1.0214116298278069</v>
      </c>
      <c r="AH40" s="13"/>
      <c r="AI40" s="13"/>
      <c r="AJ40" s="12">
        <v>4.7864493687262404E-3</v>
      </c>
      <c r="AK40" s="12">
        <v>0.82175618867133704</v>
      </c>
      <c r="AL40" s="12">
        <v>0.82177012827018803</v>
      </c>
      <c r="AN40" s="13"/>
      <c r="AO40" s="13"/>
      <c r="AP40" s="13"/>
    </row>
    <row r="41" spans="1:42" x14ac:dyDescent="0.3">
      <c r="D41" s="17">
        <v>1</v>
      </c>
      <c r="E41" s="17">
        <v>4</v>
      </c>
      <c r="V41" s="24">
        <f t="shared" si="22"/>
        <v>-8.4376949871511897E-15</v>
      </c>
      <c r="W41" s="13"/>
      <c r="X41" s="17">
        <v>1.19360888306646</v>
      </c>
      <c r="Y41" s="13">
        <v>0.496629044835463</v>
      </c>
      <c r="Z41" s="15">
        <f t="shared" si="23"/>
        <v>1.2928041514124815</v>
      </c>
      <c r="AA41" s="15">
        <f t="shared" si="21"/>
        <v>-0.64131133535788676</v>
      </c>
      <c r="AB41" s="23">
        <f t="shared" si="24"/>
        <v>0.64131133535787832</v>
      </c>
      <c r="AD41" s="11">
        <v>1.9325228893370201</v>
      </c>
      <c r="AE41" s="11">
        <v>-7.8472914776207103E-2</v>
      </c>
      <c r="AF41" s="15">
        <f t="shared" si="25"/>
        <v>1.9341154867703683</v>
      </c>
      <c r="AG41" s="18">
        <f t="shared" si="26"/>
        <v>0.64131133535787832</v>
      </c>
      <c r="AH41" s="13"/>
      <c r="AI41" s="13"/>
      <c r="AJ41" s="12">
        <v>1.19360888306646</v>
      </c>
      <c r="AK41" s="12">
        <v>0.496629044835463</v>
      </c>
      <c r="AL41" s="12">
        <v>1.2928041514124899</v>
      </c>
      <c r="AN41" s="13"/>
      <c r="AO41" s="13"/>
      <c r="AP41" s="13"/>
    </row>
    <row r="42" spans="1:42" x14ac:dyDescent="0.3">
      <c r="D42" s="17">
        <v>1</v>
      </c>
      <c r="E42" s="17">
        <v>8</v>
      </c>
      <c r="V42" s="24">
        <f t="shared" si="22"/>
        <v>4.8849813083506888E-15</v>
      </c>
      <c r="W42" s="13"/>
      <c r="X42" s="17">
        <v>1.45090533050273</v>
      </c>
      <c r="Y42" s="13">
        <v>-0.65282312338162096</v>
      </c>
      <c r="Z42" s="15">
        <f t="shared" si="23"/>
        <v>1.5910073250940648</v>
      </c>
      <c r="AA42" s="15">
        <f t="shared" si="21"/>
        <v>-8.2268233429405369E-2</v>
      </c>
      <c r="AB42" s="23">
        <f t="shared" si="24"/>
        <v>8.2268233429410254E-2</v>
      </c>
      <c r="AD42" s="11">
        <v>1.6651192096282099</v>
      </c>
      <c r="AE42" s="11">
        <v>-0.16501246158747199</v>
      </c>
      <c r="AF42" s="15">
        <f t="shared" si="25"/>
        <v>1.6732755585234702</v>
      </c>
      <c r="AG42" s="18">
        <f t="shared" si="26"/>
        <v>8.2268233429410254E-2</v>
      </c>
      <c r="AH42" s="13"/>
      <c r="AI42" s="13"/>
      <c r="AJ42" s="12">
        <v>1.45090533050273</v>
      </c>
      <c r="AK42" s="12">
        <v>-0.65282312338162096</v>
      </c>
      <c r="AL42" s="12">
        <v>1.59100732509406</v>
      </c>
      <c r="AN42" s="13"/>
      <c r="AO42" s="13"/>
      <c r="AP42" s="13"/>
    </row>
    <row r="43" spans="1:42" s="13" customFormat="1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AA43" s="17"/>
      <c r="AB43" s="17"/>
      <c r="AC43" s="8"/>
      <c r="AD43" s="17"/>
    </row>
    <row r="44" spans="1:42" s="13" customFormat="1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AA44" s="17"/>
      <c r="AB44" s="17"/>
      <c r="AC44" s="17"/>
    </row>
    <row r="45" spans="1:42" s="13" customFormat="1" x14ac:dyDescent="0.3">
      <c r="A45" s="17"/>
      <c r="B45" s="17"/>
      <c r="C45" s="17"/>
      <c r="D45" s="17" t="s">
        <v>42</v>
      </c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AA45" s="13" t="s">
        <v>41</v>
      </c>
      <c r="AE45" s="17"/>
      <c r="AF45" s="17"/>
    </row>
    <row r="46" spans="1:42" s="13" customFormat="1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AE46" s="17"/>
      <c r="AF46" s="17"/>
    </row>
    <row r="47" spans="1:42" s="13" customFormat="1" x14ac:dyDescent="0.3">
      <c r="A47" s="25" t="s">
        <v>21</v>
      </c>
      <c r="B47" s="25" t="s">
        <v>28</v>
      </c>
      <c r="C47" s="25" t="s">
        <v>43</v>
      </c>
      <c r="D47" s="25" t="s">
        <v>44</v>
      </c>
      <c r="E47" s="25" t="s">
        <v>45</v>
      </c>
      <c r="F47" s="25" t="s">
        <v>30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AA47" s="13" t="s">
        <v>38</v>
      </c>
      <c r="AB47" s="13" t="s">
        <v>37</v>
      </c>
      <c r="AC47" s="3">
        <v>0.59154030956589698</v>
      </c>
      <c r="AE47" s="17"/>
      <c r="AF47" s="17"/>
    </row>
    <row r="48" spans="1:42" s="13" customFormat="1" x14ac:dyDescent="0.3">
      <c r="A48" s="25">
        <v>1</v>
      </c>
      <c r="B48" s="25">
        <v>0</v>
      </c>
      <c r="C48" s="25" t="s">
        <v>46</v>
      </c>
      <c r="D48" s="25">
        <v>0.30752200000000002</v>
      </c>
      <c r="E48" s="25">
        <v>-0.30752200000000002</v>
      </c>
      <c r="F48" s="25">
        <v>0.43490099999999998</v>
      </c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AA48" s="13" t="s">
        <v>39</v>
      </c>
      <c r="AC48" s="13">
        <v>0.59199999999999997</v>
      </c>
      <c r="AE48" s="17"/>
      <c r="AF48" s="17"/>
    </row>
    <row r="49" spans="1:32" s="13" customFormat="1" x14ac:dyDescent="0.3">
      <c r="A49" s="25">
        <v>1</v>
      </c>
      <c r="B49" s="25">
        <v>0.05</v>
      </c>
      <c r="C49" s="25" t="s">
        <v>47</v>
      </c>
      <c r="D49" s="25">
        <v>0.30796899999999999</v>
      </c>
      <c r="E49" s="25">
        <v>-0.30707400000000001</v>
      </c>
      <c r="F49" s="25">
        <v>0.43490200000000001</v>
      </c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AA49" s="13" t="s">
        <v>40</v>
      </c>
      <c r="AB49" s="13" t="s">
        <v>36</v>
      </c>
      <c r="AC49" s="13">
        <v>0.59242910402239002</v>
      </c>
      <c r="AE49" s="17"/>
      <c r="AF49" s="17"/>
    </row>
    <row r="50" spans="1:32" s="13" customFormat="1" x14ac:dyDescent="0.3">
      <c r="A50" s="25">
        <v>1</v>
      </c>
      <c r="B50" s="25">
        <v>0.1</v>
      </c>
      <c r="C50" s="25" t="s">
        <v>48</v>
      </c>
      <c r="D50" s="25">
        <v>0.308417</v>
      </c>
      <c r="E50" s="25">
        <v>-0.30662600000000001</v>
      </c>
      <c r="F50" s="25">
        <v>0.43490299999999998</v>
      </c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AC50" s="13">
        <v>-0.364877719018873</v>
      </c>
      <c r="AD50" s="13">
        <v>3.5277430225033601E-2</v>
      </c>
      <c r="AE50" s="13">
        <v>0.36657911413458599</v>
      </c>
      <c r="AF50" s="17"/>
    </row>
    <row r="51" spans="1:32" s="13" customFormat="1" x14ac:dyDescent="0.3">
      <c r="A51" s="25">
        <v>1</v>
      </c>
      <c r="B51" s="25">
        <v>0.15</v>
      </c>
      <c r="C51" s="25" t="s">
        <v>49</v>
      </c>
      <c r="D51" s="25">
        <v>0.308865</v>
      </c>
      <c r="E51" s="25">
        <v>-0.30617800000000001</v>
      </c>
      <c r="F51" s="25">
        <v>0.43490499999999999</v>
      </c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AA51" s="17"/>
      <c r="AB51" s="17"/>
      <c r="AC51" s="17"/>
    </row>
    <row r="52" spans="1:32" s="13" customFormat="1" x14ac:dyDescent="0.3">
      <c r="A52" s="25">
        <v>1</v>
      </c>
      <c r="B52" s="25">
        <v>0.2</v>
      </c>
      <c r="C52" s="25" t="s">
        <v>50</v>
      </c>
      <c r="D52" s="25">
        <v>0.30931199999999998</v>
      </c>
      <c r="E52" s="25">
        <v>-0.30573099999999998</v>
      </c>
      <c r="F52" s="25">
        <v>0.43490800000000002</v>
      </c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AA52" s="17"/>
      <c r="AB52" s="17"/>
      <c r="AC52" s="17"/>
    </row>
    <row r="53" spans="1:32" s="13" customFormat="1" x14ac:dyDescent="0.3">
      <c r="A53" s="25">
        <v>2</v>
      </c>
      <c r="B53" s="25">
        <v>0</v>
      </c>
      <c r="C53" s="25" t="s">
        <v>51</v>
      </c>
      <c r="D53" s="25">
        <v>0.41836699999999999</v>
      </c>
      <c r="E53" s="25">
        <v>-0.41836699999999999</v>
      </c>
      <c r="F53" s="25">
        <v>0.59165999999999996</v>
      </c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AA53" s="17"/>
      <c r="AB53" s="17"/>
      <c r="AC53" s="17"/>
    </row>
    <row r="54" spans="1:32" s="13" customFormat="1" x14ac:dyDescent="0.3">
      <c r="A54" s="25">
        <v>2</v>
      </c>
      <c r="B54" s="25">
        <v>0.05</v>
      </c>
      <c r="C54" s="25" t="s">
        <v>52</v>
      </c>
      <c r="D54" s="25">
        <v>0.41950199999999999</v>
      </c>
      <c r="E54" s="25">
        <v>-0.41723199999999999</v>
      </c>
      <c r="F54" s="25">
        <v>0.59166200000000002</v>
      </c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AA54" s="17"/>
      <c r="AB54" s="17"/>
      <c r="AC54" s="17"/>
    </row>
    <row r="55" spans="1:32" s="13" customFormat="1" x14ac:dyDescent="0.3">
      <c r="A55" s="25">
        <v>2</v>
      </c>
      <c r="B55" s="25">
        <v>0.1</v>
      </c>
      <c r="C55" s="25" t="s">
        <v>53</v>
      </c>
      <c r="D55" s="25">
        <v>0.42063600000000001</v>
      </c>
      <c r="E55" s="25">
        <v>-0.41609699999999999</v>
      </c>
      <c r="F55" s="25">
        <v>0.591669</v>
      </c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AA55" s="17"/>
      <c r="AB55" s="17"/>
      <c r="AC55" s="17"/>
    </row>
    <row r="56" spans="1:32" s="13" customFormat="1" x14ac:dyDescent="0.3">
      <c r="A56" s="25">
        <v>2</v>
      </c>
      <c r="B56" s="25">
        <v>0.15</v>
      </c>
      <c r="C56" s="25" t="s">
        <v>54</v>
      </c>
      <c r="D56" s="25">
        <v>0.42177100000000001</v>
      </c>
      <c r="E56" s="25">
        <v>-0.414962</v>
      </c>
      <c r="F56" s="25">
        <v>0.59167899999999995</v>
      </c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AA56" s="17"/>
      <c r="AB56" s="17"/>
      <c r="AC56" s="17"/>
    </row>
    <row r="57" spans="1:32" s="13" customFormat="1" x14ac:dyDescent="0.3">
      <c r="A57" s="25">
        <v>2</v>
      </c>
      <c r="B57" s="25">
        <v>0.2</v>
      </c>
      <c r="C57" s="25" t="s">
        <v>55</v>
      </c>
      <c r="D57" s="25">
        <v>0.422906</v>
      </c>
      <c r="E57" s="25">
        <v>-0.413827</v>
      </c>
      <c r="F57" s="25">
        <v>0.59169499999999997</v>
      </c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AA57" s="17"/>
      <c r="AB57" s="17"/>
      <c r="AC57" s="17"/>
    </row>
    <row r="58" spans="1:32" s="13" customFormat="1" x14ac:dyDescent="0.3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AA58" s="17"/>
      <c r="AB58" s="17"/>
      <c r="AC58" s="17"/>
    </row>
    <row r="59" spans="1:32" s="13" customFormat="1" x14ac:dyDescent="0.3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AA59" s="17"/>
      <c r="AB59" s="17"/>
      <c r="AC59" s="17"/>
    </row>
    <row r="60" spans="1:32" s="13" customFormat="1" x14ac:dyDescent="0.3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AA60" s="17"/>
      <c r="AB60" s="17"/>
      <c r="AC60" s="17"/>
    </row>
    <row r="61" spans="1:32" s="13" customFormat="1" x14ac:dyDescent="0.3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AA61" s="17"/>
      <c r="AB61" s="17"/>
      <c r="AC61" s="17"/>
    </row>
    <row r="62" spans="1:32" s="13" customFormat="1" x14ac:dyDescent="0.3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AA62" s="17"/>
      <c r="AB62" s="17"/>
      <c r="AC62" s="17"/>
    </row>
    <row r="63" spans="1:32" s="13" customFormat="1" x14ac:dyDescent="0.3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AA63" s="17"/>
      <c r="AB63" s="17"/>
      <c r="AC63" s="17"/>
    </row>
    <row r="64" spans="1:32" s="13" customFormat="1" x14ac:dyDescent="0.3">
      <c r="A64" s="17"/>
      <c r="B64" s="17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AA64" s="17"/>
      <c r="AB64" s="17"/>
      <c r="AC64" s="17"/>
    </row>
    <row r="65" spans="1:29" s="13" customFormat="1" x14ac:dyDescent="0.3">
      <c r="A65" s="17"/>
      <c r="B65" s="17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AA65" s="17"/>
      <c r="AB65" s="17"/>
      <c r="AC65" s="17"/>
    </row>
    <row r="66" spans="1:29" s="13" customFormat="1" x14ac:dyDescent="0.3">
      <c r="A66" s="17"/>
      <c r="B66" s="17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AA66" s="17"/>
      <c r="AB66" s="17"/>
      <c r="AC66" s="17"/>
    </row>
    <row r="67" spans="1:29" s="13" customFormat="1" x14ac:dyDescent="0.3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AA67" s="17"/>
      <c r="AB67" s="17"/>
      <c r="AC67" s="17"/>
    </row>
    <row r="68" spans="1:29" s="13" customFormat="1" x14ac:dyDescent="0.3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AA68" s="17"/>
      <c r="AB68" s="17"/>
      <c r="AC68" s="17"/>
    </row>
    <row r="69" spans="1:29" s="13" customFormat="1" x14ac:dyDescent="0.3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AA69" s="17"/>
      <c r="AB69" s="17"/>
      <c r="AC69" s="17"/>
    </row>
    <row r="70" spans="1:29" s="13" customFormat="1" x14ac:dyDescent="0.3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AA70" s="17"/>
      <c r="AB70" s="17"/>
      <c r="AC70" s="17"/>
    </row>
    <row r="71" spans="1:29" s="13" customFormat="1" x14ac:dyDescent="0.3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AA71" s="17"/>
      <c r="AB71" s="17"/>
      <c r="AC71" s="17"/>
    </row>
    <row r="72" spans="1:29" s="13" customFormat="1" x14ac:dyDescent="0.3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AA72" s="17"/>
      <c r="AB72" s="17"/>
      <c r="AC72" s="17"/>
    </row>
    <row r="73" spans="1:29" s="13" customFormat="1" x14ac:dyDescent="0.3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AA73" s="17"/>
      <c r="AB73" s="17"/>
      <c r="AC73" s="17"/>
    </row>
    <row r="74" spans="1:29" s="13" customFormat="1" x14ac:dyDescent="0.3">
      <c r="A74" s="17"/>
      <c r="B74" s="17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AA74" s="17"/>
      <c r="AB74" s="17"/>
      <c r="AC74" s="17"/>
    </row>
    <row r="75" spans="1:29" s="13" customFormat="1" x14ac:dyDescent="0.3">
      <c r="A75" s="17"/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AA75" s="17"/>
      <c r="AB75" s="17"/>
      <c r="AC75" s="17"/>
    </row>
    <row r="76" spans="1:29" s="13" customFormat="1" x14ac:dyDescent="0.3">
      <c r="A76" s="17"/>
      <c r="B76" s="17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AA76" s="17"/>
      <c r="AB76" s="17"/>
      <c r="AC76" s="17"/>
    </row>
    <row r="77" spans="1:29" s="13" customFormat="1" x14ac:dyDescent="0.3">
      <c r="A77" s="17"/>
      <c r="B77" s="17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AA77" s="17"/>
      <c r="AB77" s="17"/>
      <c r="AC77" s="17"/>
    </row>
    <row r="78" spans="1:29" x14ac:dyDescent="0.3">
      <c r="V78" s="13"/>
      <c r="W78" s="13"/>
      <c r="X78" s="13"/>
    </row>
    <row r="79" spans="1:29" x14ac:dyDescent="0.3">
      <c r="V79" s="13"/>
      <c r="W79" s="13"/>
      <c r="X79" s="13"/>
    </row>
    <row r="80" spans="1:29" x14ac:dyDescent="0.3">
      <c r="V80" s="13"/>
      <c r="W80" s="13"/>
      <c r="X80" s="13"/>
    </row>
    <row r="81" spans="22:24" x14ac:dyDescent="0.3">
      <c r="V81" s="13"/>
      <c r="W81" s="13"/>
      <c r="X81" s="13"/>
    </row>
    <row r="82" spans="22:24" x14ac:dyDescent="0.3">
      <c r="V82" s="13"/>
      <c r="W82" s="13"/>
      <c r="X82" s="13"/>
    </row>
    <row r="83" spans="22:24" x14ac:dyDescent="0.3">
      <c r="V83" s="13"/>
      <c r="W83" s="13"/>
      <c r="X83" s="13"/>
    </row>
    <row r="84" spans="22:24" x14ac:dyDescent="0.3">
      <c r="V84" s="13"/>
      <c r="W84" s="13"/>
      <c r="X84" s="13"/>
    </row>
    <row r="85" spans="22:24" x14ac:dyDescent="0.3">
      <c r="V85" s="13"/>
      <c r="W85" s="13"/>
      <c r="X85" s="13"/>
    </row>
    <row r="86" spans="22:24" x14ac:dyDescent="0.3">
      <c r="V86" s="13"/>
      <c r="W86" s="13"/>
      <c r="X86" s="13"/>
    </row>
    <row r="87" spans="22:24" x14ac:dyDescent="0.3">
      <c r="V87" s="13"/>
      <c r="W87" s="13"/>
      <c r="X87" s="13"/>
    </row>
    <row r="88" spans="22:24" x14ac:dyDescent="0.3">
      <c r="V88" s="13"/>
      <c r="W88" s="13"/>
      <c r="X88" s="13"/>
    </row>
    <row r="89" spans="22:24" x14ac:dyDescent="0.3">
      <c r="V89" s="13"/>
      <c r="W89" s="13"/>
      <c r="X89" s="13"/>
    </row>
  </sheetData>
  <phoneticPr fontId="18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F2E21-565E-421D-94A3-079C7F86B7B1}">
  <dimension ref="A1:AD55"/>
  <sheetViews>
    <sheetView tabSelected="1" zoomScale="115" zoomScaleNormal="115" workbookViewId="0">
      <selection activeCell="H19" sqref="H19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7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7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7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7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7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7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7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7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7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7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7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7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7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7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7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7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7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7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8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8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8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8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8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8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8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8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8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7BBA0-0265-4ED1-84CC-3F7871A06E9C}">
  <sheetPr filterMode="1"/>
  <dimension ref="A1:AD55"/>
  <sheetViews>
    <sheetView workbookViewId="0">
      <selection activeCell="AD54" sqref="A1:AD54"/>
    </sheetView>
  </sheetViews>
  <sheetFormatPr defaultRowHeight="14.4" x14ac:dyDescent="0.3"/>
  <cols>
    <col min="6" max="6" width="10.21875" style="2" bestFit="1" customWidth="1"/>
    <col min="7" max="8" width="8.88671875" style="2"/>
    <col min="13" max="13" width="11.109375" customWidth="1"/>
    <col min="16" max="18" width="8.88671875" style="4"/>
  </cols>
  <sheetData>
    <row r="1" spans="1:3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s="2" t="s">
        <v>7</v>
      </c>
      <c r="I1" t="s">
        <v>8</v>
      </c>
      <c r="M1" t="s">
        <v>27</v>
      </c>
      <c r="N1" t="s">
        <v>9</v>
      </c>
      <c r="O1" t="s">
        <v>10</v>
      </c>
      <c r="P1" s="4" t="s">
        <v>11</v>
      </c>
      <c r="Q1" s="4" t="s">
        <v>12</v>
      </c>
      <c r="R1" s="4" t="s">
        <v>13</v>
      </c>
      <c r="S1" t="s">
        <v>14</v>
      </c>
      <c r="T1" t="s">
        <v>15</v>
      </c>
      <c r="U1" t="s">
        <v>16</v>
      </c>
      <c r="V1" t="s">
        <v>17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23</v>
      </c>
      <c r="AC1" t="s">
        <v>24</v>
      </c>
      <c r="AD1" t="s">
        <v>25</v>
      </c>
    </row>
    <row r="2" spans="1:30" x14ac:dyDescent="0.3">
      <c r="A2">
        <v>0</v>
      </c>
      <c r="B2">
        <v>0</v>
      </c>
      <c r="C2">
        <v>0</v>
      </c>
      <c r="D2">
        <v>42</v>
      </c>
      <c r="E2" t="s">
        <v>26</v>
      </c>
      <c r="F2" s="3">
        <v>0.41775835303139602</v>
      </c>
      <c r="G2" s="3">
        <v>-0.41845728182989</v>
      </c>
      <c r="H2" s="3">
        <v>0.59129395248384198</v>
      </c>
      <c r="I2" s="1">
        <v>3.7952230000000002E-9</v>
      </c>
      <c r="J2" s="1"/>
      <c r="K2" s="1"/>
      <c r="L2" s="1"/>
      <c r="M2" s="1">
        <f>H2-R2</f>
        <v>-3.641508477960631E-4</v>
      </c>
      <c r="N2" s="1">
        <v>4.0188039999999997E-12</v>
      </c>
      <c r="O2" s="1">
        <v>1</v>
      </c>
      <c r="P2" s="5">
        <v>0.41836404112053699</v>
      </c>
      <c r="Q2" s="5">
        <v>-0.41836687289421598</v>
      </c>
      <c r="R2" s="5">
        <v>0.59165810333163804</v>
      </c>
      <c r="S2" s="1">
        <v>2.8853750000000001E-5</v>
      </c>
      <c r="T2" s="1">
        <v>1.035055E-3</v>
      </c>
      <c r="U2" s="1">
        <v>0.41836667621661899</v>
      </c>
      <c r="V2" s="1">
        <v>-0.41836667621661899</v>
      </c>
      <c r="W2">
        <v>16</v>
      </c>
      <c r="X2">
        <v>1</v>
      </c>
      <c r="Y2">
        <v>1</v>
      </c>
      <c r="Z2">
        <v>2</v>
      </c>
      <c r="AA2">
        <v>0.01</v>
      </c>
      <c r="AB2">
        <v>8</v>
      </c>
      <c r="AC2">
        <v>15000</v>
      </c>
      <c r="AD2">
        <v>385.8</v>
      </c>
    </row>
    <row r="3" spans="1:30" hidden="1" x14ac:dyDescent="0.3">
      <c r="A3">
        <v>0</v>
      </c>
      <c r="B3">
        <v>0</v>
      </c>
      <c r="C3">
        <v>0</v>
      </c>
      <c r="D3">
        <v>45</v>
      </c>
      <c r="E3" t="s">
        <v>18</v>
      </c>
      <c r="F3" s="3">
        <v>-0.41785368229436198</v>
      </c>
      <c r="G3" s="3">
        <v>0.41861575752434799</v>
      </c>
      <c r="H3" s="3">
        <v>0.59147345862231404</v>
      </c>
      <c r="I3" s="1">
        <v>3.8840919999999998E-9</v>
      </c>
      <c r="J3" s="1"/>
      <c r="K3" s="1"/>
      <c r="L3" s="1"/>
      <c r="M3" s="1">
        <f t="shared" ref="M3:M55" si="0">H3-R3</f>
        <v>-1.8464470932400001E-4</v>
      </c>
      <c r="N3" s="1">
        <v>5.7142219999999998E-12</v>
      </c>
      <c r="O3" s="1">
        <v>1</v>
      </c>
      <c r="P3" s="5">
        <v>0.41836404112053699</v>
      </c>
      <c r="Q3" s="5">
        <v>-0.41836687289421598</v>
      </c>
      <c r="R3" s="5">
        <v>0.59165810333163804</v>
      </c>
      <c r="S3" s="1">
        <v>2.8853750000000001E-5</v>
      </c>
      <c r="T3" s="1">
        <v>1.9996879999999999</v>
      </c>
      <c r="U3" s="1">
        <v>0.41836667621661899</v>
      </c>
      <c r="V3" s="1">
        <v>-0.41836667621661899</v>
      </c>
      <c r="W3">
        <v>16</v>
      </c>
      <c r="X3">
        <v>1</v>
      </c>
      <c r="Y3">
        <v>1</v>
      </c>
      <c r="Z3">
        <v>2</v>
      </c>
      <c r="AA3">
        <v>0.01</v>
      </c>
      <c r="AB3">
        <v>8</v>
      </c>
      <c r="AC3">
        <v>15000</v>
      </c>
      <c r="AD3">
        <v>384.3</v>
      </c>
    </row>
    <row r="4" spans="1:30" hidden="1" x14ac:dyDescent="0.3">
      <c r="A4">
        <v>0</v>
      </c>
      <c r="B4">
        <v>0</v>
      </c>
      <c r="C4">
        <v>0</v>
      </c>
      <c r="D4">
        <v>99</v>
      </c>
      <c r="E4" t="s">
        <v>18</v>
      </c>
      <c r="F4" s="3">
        <v>-0.41760494651178798</v>
      </c>
      <c r="G4" s="3">
        <v>0.41855326901747397</v>
      </c>
      <c r="H4" s="3">
        <v>0.59125352460372504</v>
      </c>
      <c r="I4" s="1">
        <v>3.6890510000000001E-9</v>
      </c>
      <c r="J4" s="1"/>
      <c r="K4" s="1"/>
      <c r="L4" s="1"/>
      <c r="M4" s="1">
        <f t="shared" si="0"/>
        <v>-4.0457872791299643E-4</v>
      </c>
      <c r="N4" s="1">
        <v>5.0697829999999999E-12</v>
      </c>
      <c r="O4" s="1">
        <v>1</v>
      </c>
      <c r="P4" s="5">
        <v>0.41836404112053699</v>
      </c>
      <c r="Q4" s="5">
        <v>-0.41836687289421598</v>
      </c>
      <c r="R4" s="5">
        <v>0.59165810333163804</v>
      </c>
      <c r="S4" s="1">
        <v>2.8853750000000001E-5</v>
      </c>
      <c r="T4" s="1">
        <v>1.9993160000000001</v>
      </c>
      <c r="U4" s="1">
        <v>0.41836667621661899</v>
      </c>
      <c r="V4" s="1">
        <v>-0.41836667621661899</v>
      </c>
      <c r="W4">
        <v>16</v>
      </c>
      <c r="X4">
        <v>1</v>
      </c>
      <c r="Y4">
        <v>1</v>
      </c>
      <c r="Z4">
        <v>2</v>
      </c>
      <c r="AA4">
        <v>0.01</v>
      </c>
      <c r="AB4">
        <v>8</v>
      </c>
      <c r="AC4">
        <v>15000</v>
      </c>
      <c r="AD4">
        <v>383.2</v>
      </c>
    </row>
    <row r="5" spans="1:30" hidden="1" x14ac:dyDescent="0.3">
      <c r="A5">
        <v>0.05</v>
      </c>
      <c r="B5">
        <v>0</v>
      </c>
      <c r="C5">
        <v>0</v>
      </c>
      <c r="D5">
        <v>42</v>
      </c>
      <c r="E5" t="s">
        <v>18</v>
      </c>
      <c r="F5" s="3">
        <v>-0.42117703484873398</v>
      </c>
      <c r="G5" s="3">
        <v>0.41615945003722599</v>
      </c>
      <c r="H5" s="3">
        <v>0.59209693677577702</v>
      </c>
      <c r="I5" s="1">
        <v>6.8381520000000004E-6</v>
      </c>
      <c r="J5" s="1"/>
      <c r="K5" s="1"/>
      <c r="L5" s="1"/>
      <c r="M5" s="1">
        <f t="shared" si="0"/>
        <v>4.6067367589297525E-4</v>
      </c>
      <c r="N5" s="1">
        <v>1.2956360000000001E-5</v>
      </c>
      <c r="O5" s="1">
        <v>0.99998500000000001</v>
      </c>
      <c r="P5" s="5">
        <v>0.41947602637676601</v>
      </c>
      <c r="Q5" s="5">
        <v>-0.41722096197333303</v>
      </c>
      <c r="R5" s="5">
        <v>0.59163626309988404</v>
      </c>
      <c r="S5" s="1">
        <v>2.8197820000000001E-5</v>
      </c>
      <c r="T5" s="1">
        <v>2.0007760000000001</v>
      </c>
      <c r="U5" s="1">
        <v>0.41836667621661899</v>
      </c>
      <c r="V5" s="1">
        <v>-0.41836667621661899</v>
      </c>
      <c r="W5">
        <v>16</v>
      </c>
      <c r="X5">
        <v>1</v>
      </c>
      <c r="Y5">
        <v>1</v>
      </c>
      <c r="Z5">
        <v>2</v>
      </c>
      <c r="AA5">
        <v>0.01</v>
      </c>
      <c r="AB5">
        <v>8</v>
      </c>
      <c r="AC5">
        <v>15000</v>
      </c>
      <c r="AD5">
        <v>383.2</v>
      </c>
    </row>
    <row r="6" spans="1:30" hidden="1" x14ac:dyDescent="0.3">
      <c r="A6">
        <v>0.05</v>
      </c>
      <c r="B6">
        <v>0</v>
      </c>
      <c r="C6">
        <v>0</v>
      </c>
      <c r="D6">
        <v>45</v>
      </c>
      <c r="E6" t="s">
        <v>18</v>
      </c>
      <c r="F6" s="3">
        <v>-0.41907586994882401</v>
      </c>
      <c r="G6" s="3">
        <v>0.417345859864308</v>
      </c>
      <c r="H6" s="3">
        <v>0.59144074218745102</v>
      </c>
      <c r="I6" s="1">
        <v>6.462594E-6</v>
      </c>
      <c r="J6" s="1"/>
      <c r="K6" s="1"/>
      <c r="L6" s="1"/>
      <c r="M6" s="1">
        <f t="shared" si="0"/>
        <v>-1.9552091243302261E-4</v>
      </c>
      <c r="N6" s="1">
        <v>1.2955850000000001E-5</v>
      </c>
      <c r="O6" s="1">
        <v>0.99998900000000002</v>
      </c>
      <c r="P6" s="5">
        <v>0.41947602637676601</v>
      </c>
      <c r="Q6" s="5">
        <v>-0.41722096197333303</v>
      </c>
      <c r="R6" s="5">
        <v>0.59163626309988404</v>
      </c>
      <c r="S6" s="1">
        <v>2.8197820000000001E-5</v>
      </c>
      <c r="T6" s="1">
        <v>1.9996689999999999</v>
      </c>
      <c r="U6" s="1">
        <v>0.41836667621661899</v>
      </c>
      <c r="V6" s="1">
        <v>-0.41836667621661899</v>
      </c>
      <c r="W6">
        <v>16</v>
      </c>
      <c r="X6">
        <v>1</v>
      </c>
      <c r="Y6">
        <v>1</v>
      </c>
      <c r="Z6">
        <v>2</v>
      </c>
      <c r="AA6">
        <v>0.01</v>
      </c>
      <c r="AB6">
        <v>8</v>
      </c>
      <c r="AC6">
        <v>15000</v>
      </c>
      <c r="AD6">
        <v>385.9</v>
      </c>
    </row>
    <row r="7" spans="1:30" x14ac:dyDescent="0.3">
      <c r="A7">
        <v>0.05</v>
      </c>
      <c r="B7">
        <v>0</v>
      </c>
      <c r="C7">
        <v>0</v>
      </c>
      <c r="D7">
        <v>99</v>
      </c>
      <c r="E7" t="s">
        <v>26</v>
      </c>
      <c r="F7" s="3">
        <v>0.41963681898939897</v>
      </c>
      <c r="G7" s="3">
        <v>-0.41692310800647098</v>
      </c>
      <c r="H7" s="3">
        <v>0.59154030956589698</v>
      </c>
      <c r="I7" s="1">
        <v>6.5112070000000004E-6</v>
      </c>
      <c r="J7" s="1"/>
      <c r="K7" s="1"/>
      <c r="L7" s="1"/>
      <c r="M7" s="1">
        <f t="shared" si="0"/>
        <v>-9.5953533987058748E-5</v>
      </c>
      <c r="N7" s="1">
        <v>1.272908E-5</v>
      </c>
      <c r="O7" s="1">
        <v>0.99999000000000005</v>
      </c>
      <c r="P7" s="5">
        <v>0.41947602637676601</v>
      </c>
      <c r="Q7" s="5">
        <v>-0.41722096197333303</v>
      </c>
      <c r="R7" s="5">
        <v>0.59163626309988404</v>
      </c>
      <c r="S7" s="1">
        <v>2.8197820000000001E-5</v>
      </c>
      <c r="T7" s="1">
        <v>5.7211459999999997E-4</v>
      </c>
      <c r="U7" s="1">
        <v>0.41836667621661899</v>
      </c>
      <c r="V7" s="1">
        <v>-0.41836667621661899</v>
      </c>
      <c r="W7">
        <v>16</v>
      </c>
      <c r="X7">
        <v>1</v>
      </c>
      <c r="Y7">
        <v>1</v>
      </c>
      <c r="Z7">
        <v>2</v>
      </c>
      <c r="AA7">
        <v>0.01</v>
      </c>
      <c r="AB7">
        <v>8</v>
      </c>
      <c r="AC7">
        <v>15000</v>
      </c>
      <c r="AD7">
        <v>394</v>
      </c>
    </row>
    <row r="8" spans="1:30" hidden="1" x14ac:dyDescent="0.3">
      <c r="A8">
        <v>0.1</v>
      </c>
      <c r="B8">
        <v>0</v>
      </c>
      <c r="C8">
        <v>0</v>
      </c>
      <c r="D8">
        <v>42</v>
      </c>
      <c r="E8" t="s">
        <v>18</v>
      </c>
      <c r="F8" s="3">
        <v>0.42362609015358699</v>
      </c>
      <c r="G8" s="3">
        <v>-0.41425595728869902</v>
      </c>
      <c r="H8" s="3">
        <v>0.59250912432467295</v>
      </c>
      <c r="I8" s="1">
        <v>1.284999E-5</v>
      </c>
      <c r="J8" s="1"/>
      <c r="K8" s="1"/>
      <c r="L8" s="1"/>
      <c r="M8" s="1">
        <f t="shared" si="0"/>
        <v>4.0157134978389131E-3</v>
      </c>
      <c r="N8" s="1">
        <v>5.3996209999999997E-5</v>
      </c>
      <c r="O8" s="1">
        <v>0.99994400000000006</v>
      </c>
      <c r="P8" s="5">
        <v>0.41366088541155099</v>
      </c>
      <c r="Q8" s="5">
        <v>-0.41857994035444701</v>
      </c>
      <c r="R8" s="5">
        <v>0.58849341082683404</v>
      </c>
      <c r="S8" s="1">
        <v>3.416428E-3</v>
      </c>
      <c r="T8" s="1">
        <v>1.8458789999999999E-2</v>
      </c>
      <c r="U8" s="1">
        <v>0.41836667621661899</v>
      </c>
      <c r="V8" s="1">
        <v>-0.41836667621661899</v>
      </c>
      <c r="W8">
        <v>16</v>
      </c>
      <c r="X8">
        <v>1</v>
      </c>
      <c r="Y8">
        <v>1</v>
      </c>
      <c r="Z8">
        <v>2</v>
      </c>
      <c r="AA8">
        <v>0.01</v>
      </c>
      <c r="AB8">
        <v>8</v>
      </c>
      <c r="AC8">
        <v>15000</v>
      </c>
      <c r="AD8">
        <v>390.1</v>
      </c>
    </row>
    <row r="9" spans="1:30" x14ac:dyDescent="0.3">
      <c r="A9">
        <v>0.1</v>
      </c>
      <c r="B9">
        <v>0</v>
      </c>
      <c r="C9">
        <v>0</v>
      </c>
      <c r="D9">
        <v>45</v>
      </c>
      <c r="E9" t="s">
        <v>26</v>
      </c>
      <c r="F9" s="3">
        <v>0.42160636626889902</v>
      </c>
      <c r="G9" s="3">
        <v>-0.40674874977876802</v>
      </c>
      <c r="H9" s="3">
        <v>0.58582973083060197</v>
      </c>
      <c r="I9" s="1">
        <v>5.1723609999999998E-6</v>
      </c>
      <c r="J9" s="1"/>
      <c r="K9" s="1"/>
      <c r="L9" s="1"/>
      <c r="M9" s="1">
        <f t="shared" si="0"/>
        <v>-2.6636799962320712E-3</v>
      </c>
      <c r="N9" s="1">
        <v>1.063996E-5</v>
      </c>
      <c r="O9" s="1">
        <v>0.99999199999999999</v>
      </c>
      <c r="P9" s="5">
        <v>0.41366088541155099</v>
      </c>
      <c r="Q9" s="5">
        <v>-0.41857994035444701</v>
      </c>
      <c r="R9" s="5">
        <v>0.58849341082683404</v>
      </c>
      <c r="S9" s="1">
        <v>3.416428E-3</v>
      </c>
      <c r="T9" s="1">
        <v>2.421707E-2</v>
      </c>
      <c r="U9" s="1">
        <v>0.41836667621661899</v>
      </c>
      <c r="V9" s="1">
        <v>-0.41836667621661899</v>
      </c>
      <c r="W9">
        <v>16</v>
      </c>
      <c r="X9">
        <v>1</v>
      </c>
      <c r="Y9">
        <v>1</v>
      </c>
      <c r="Z9">
        <v>2</v>
      </c>
      <c r="AA9">
        <v>0.01</v>
      </c>
      <c r="AB9">
        <v>8</v>
      </c>
      <c r="AC9">
        <v>15000</v>
      </c>
      <c r="AD9">
        <v>385.1</v>
      </c>
    </row>
    <row r="10" spans="1:30" hidden="1" x14ac:dyDescent="0.3">
      <c r="A10">
        <v>0.1</v>
      </c>
      <c r="B10">
        <v>0</v>
      </c>
      <c r="C10">
        <v>0</v>
      </c>
      <c r="D10">
        <v>99</v>
      </c>
      <c r="E10" t="s">
        <v>18</v>
      </c>
      <c r="F10" s="3">
        <v>0.42501052300576297</v>
      </c>
      <c r="G10" s="3">
        <v>-0.41415725722987701</v>
      </c>
      <c r="H10" s="3">
        <v>0.59343085391796702</v>
      </c>
      <c r="I10" s="1">
        <v>1.221184E-5</v>
      </c>
      <c r="J10" s="1"/>
      <c r="K10" s="1"/>
      <c r="L10" s="1"/>
      <c r="M10" s="1">
        <f t="shared" si="0"/>
        <v>4.9374430911329759E-3</v>
      </c>
      <c r="N10" s="1">
        <v>4.3552130000000001E-5</v>
      </c>
      <c r="O10" s="1">
        <v>0.99996499999999999</v>
      </c>
      <c r="P10" s="5">
        <v>0.41366088541155099</v>
      </c>
      <c r="Q10" s="5">
        <v>-0.41857994035444701</v>
      </c>
      <c r="R10" s="5">
        <v>0.58849341082683404</v>
      </c>
      <c r="S10" s="1">
        <v>3.416428E-3</v>
      </c>
      <c r="T10" s="1">
        <v>2.069845E-2</v>
      </c>
      <c r="U10" s="1">
        <v>0.41836667621661899</v>
      </c>
      <c r="V10" s="1">
        <v>-0.41836667621661899</v>
      </c>
      <c r="W10">
        <v>16</v>
      </c>
      <c r="X10">
        <v>1</v>
      </c>
      <c r="Y10">
        <v>1</v>
      </c>
      <c r="Z10">
        <v>2</v>
      </c>
      <c r="AA10">
        <v>0.01</v>
      </c>
      <c r="AB10">
        <v>8</v>
      </c>
      <c r="AC10">
        <v>15000</v>
      </c>
      <c r="AD10">
        <v>387.5</v>
      </c>
    </row>
    <row r="11" spans="1:30" x14ac:dyDescent="0.3">
      <c r="A11">
        <v>0.15</v>
      </c>
      <c r="B11">
        <v>0</v>
      </c>
      <c r="C11">
        <v>0</v>
      </c>
      <c r="D11">
        <v>42</v>
      </c>
      <c r="E11" t="s">
        <v>26</v>
      </c>
      <c r="F11" s="3">
        <v>0.428707914479522</v>
      </c>
      <c r="G11" s="3">
        <v>-0.38524431431003597</v>
      </c>
      <c r="H11" s="3">
        <v>0.57637111104356298</v>
      </c>
      <c r="I11" s="1">
        <v>7.4347189999999996E-6</v>
      </c>
      <c r="J11" s="1"/>
      <c r="K11" s="1"/>
      <c r="L11" s="1"/>
      <c r="M11" s="1">
        <f t="shared" si="0"/>
        <v>-5.2652091043003946E-4</v>
      </c>
      <c r="N11" s="1">
        <v>1.7411469999999999E-5</v>
      </c>
      <c r="O11" s="1">
        <v>0.99997800000000003</v>
      </c>
      <c r="P11" s="5">
        <v>0.36774430674153502</v>
      </c>
      <c r="Q11" s="5">
        <v>-0.44449409738860701</v>
      </c>
      <c r="R11" s="5">
        <v>0.57689763195399302</v>
      </c>
      <c r="S11" s="1">
        <v>2.7174750000000001E-2</v>
      </c>
      <c r="T11" s="1">
        <v>0.1473612</v>
      </c>
      <c r="U11" s="1">
        <v>0.41836667621661899</v>
      </c>
      <c r="V11" s="1">
        <v>-0.41836667621661899</v>
      </c>
      <c r="W11">
        <v>16</v>
      </c>
      <c r="X11">
        <v>1</v>
      </c>
      <c r="Y11">
        <v>1</v>
      </c>
      <c r="Z11">
        <v>2</v>
      </c>
      <c r="AA11">
        <v>0.01</v>
      </c>
      <c r="AB11">
        <v>8</v>
      </c>
      <c r="AC11">
        <v>15000</v>
      </c>
      <c r="AD11">
        <v>384.8</v>
      </c>
    </row>
    <row r="12" spans="1:30" hidden="1" x14ac:dyDescent="0.3">
      <c r="A12">
        <v>0.15</v>
      </c>
      <c r="B12">
        <v>0</v>
      </c>
      <c r="C12">
        <v>0</v>
      </c>
      <c r="D12">
        <v>45</v>
      </c>
      <c r="E12" t="s">
        <v>18</v>
      </c>
      <c r="F12" s="3">
        <v>0.42887176385735898</v>
      </c>
      <c r="G12" s="3">
        <v>-0.39186512129534101</v>
      </c>
      <c r="H12" s="3">
        <v>0.58093826102429702</v>
      </c>
      <c r="I12" s="1">
        <v>7.0435670000000004E-6</v>
      </c>
      <c r="J12" s="1"/>
      <c r="K12" s="1"/>
      <c r="L12" s="1"/>
      <c r="M12" s="1">
        <f t="shared" si="0"/>
        <v>4.0406290703040026E-3</v>
      </c>
      <c r="N12" s="1">
        <v>1.7827609999999999E-5</v>
      </c>
      <c r="O12" s="1">
        <v>0.99998699999999996</v>
      </c>
      <c r="P12" s="5">
        <v>0.36774430674153502</v>
      </c>
      <c r="Q12" s="5">
        <v>-0.44449409738860701</v>
      </c>
      <c r="R12" s="5">
        <v>0.57689763195399302</v>
      </c>
      <c r="S12" s="1">
        <v>2.7174750000000001E-2</v>
      </c>
      <c r="T12" s="1">
        <v>0.13982049999999999</v>
      </c>
      <c r="U12" s="1">
        <v>0.41836667621661899</v>
      </c>
      <c r="V12" s="1">
        <v>-0.41836667621661899</v>
      </c>
      <c r="W12">
        <v>16</v>
      </c>
      <c r="X12">
        <v>1</v>
      </c>
      <c r="Y12">
        <v>1</v>
      </c>
      <c r="Z12">
        <v>2</v>
      </c>
      <c r="AA12">
        <v>0.01</v>
      </c>
      <c r="AB12">
        <v>8</v>
      </c>
      <c r="AC12">
        <v>15000</v>
      </c>
      <c r="AD12">
        <v>386.8</v>
      </c>
    </row>
    <row r="13" spans="1:30" hidden="1" x14ac:dyDescent="0.3">
      <c r="A13">
        <v>0.15</v>
      </c>
      <c r="B13">
        <v>0</v>
      </c>
      <c r="C13">
        <v>0</v>
      </c>
      <c r="D13">
        <v>99</v>
      </c>
      <c r="E13" t="s">
        <v>18</v>
      </c>
      <c r="F13" s="3">
        <v>-0.421554354531534</v>
      </c>
      <c r="G13" s="3">
        <v>0.41483846159291599</v>
      </c>
      <c r="H13" s="3">
        <v>0.59143809738744102</v>
      </c>
      <c r="I13" s="1">
        <v>1.778016E-5</v>
      </c>
      <c r="J13" s="1"/>
      <c r="K13" s="1"/>
      <c r="L13" s="1"/>
      <c r="M13" s="1">
        <f t="shared" si="0"/>
        <v>1.4540465433448002E-2</v>
      </c>
      <c r="N13" s="1">
        <v>9.8935519999999996E-5</v>
      </c>
      <c r="O13" s="1">
        <v>0.99992700000000001</v>
      </c>
      <c r="P13" s="5">
        <v>0.36774430674153502</v>
      </c>
      <c r="Q13" s="5">
        <v>-0.44449409738860701</v>
      </c>
      <c r="R13" s="5">
        <v>0.57689763195399302</v>
      </c>
      <c r="S13" s="1">
        <v>2.7174750000000001E-2</v>
      </c>
      <c r="T13" s="1">
        <v>2.0225590000000002</v>
      </c>
      <c r="U13" s="1">
        <v>0.41836667621661899</v>
      </c>
      <c r="V13" s="1">
        <v>-0.41836667621661899</v>
      </c>
      <c r="W13">
        <v>16</v>
      </c>
      <c r="X13">
        <v>1</v>
      </c>
      <c r="Y13">
        <v>1</v>
      </c>
      <c r="Z13">
        <v>2</v>
      </c>
      <c r="AA13">
        <v>0.01</v>
      </c>
      <c r="AB13">
        <v>8</v>
      </c>
      <c r="AC13">
        <v>15000</v>
      </c>
      <c r="AD13">
        <v>408.3</v>
      </c>
    </row>
    <row r="14" spans="1:30" x14ac:dyDescent="0.3">
      <c r="A14">
        <v>0.2</v>
      </c>
      <c r="B14">
        <v>0</v>
      </c>
      <c r="C14">
        <v>0</v>
      </c>
      <c r="D14">
        <v>42</v>
      </c>
      <c r="E14" t="s">
        <v>26</v>
      </c>
      <c r="F14" s="3">
        <v>-0.43097276610749602</v>
      </c>
      <c r="G14" s="3">
        <v>0.36771866454008101</v>
      </c>
      <c r="H14" s="3">
        <v>0.56652850005757605</v>
      </c>
      <c r="I14" s="1">
        <v>9.2594210000000006E-6</v>
      </c>
      <c r="J14" s="1"/>
      <c r="K14" s="1"/>
      <c r="L14" s="1"/>
      <c r="M14" s="1">
        <f>H14-R14</f>
        <v>-8.4027863569863914E-2</v>
      </c>
      <c r="N14" s="1">
        <v>2.6227680000000002E-5</v>
      </c>
      <c r="O14" s="1">
        <v>0.99996600000000002</v>
      </c>
      <c r="P14" s="5">
        <v>0.56773347902228199</v>
      </c>
      <c r="Q14" s="5">
        <v>-0.31765119085785498</v>
      </c>
      <c r="R14" s="5">
        <v>0.65055636362743996</v>
      </c>
      <c r="S14" s="1">
        <v>7.1912489999999996E-2</v>
      </c>
      <c r="T14" s="1">
        <v>1.86188</v>
      </c>
      <c r="U14" s="1">
        <v>0.41836667621661899</v>
      </c>
      <c r="V14" s="1">
        <v>-0.41836667621661899</v>
      </c>
      <c r="W14">
        <v>16</v>
      </c>
      <c r="X14">
        <v>1</v>
      </c>
      <c r="Y14">
        <v>1</v>
      </c>
      <c r="Z14">
        <v>2</v>
      </c>
      <c r="AA14">
        <v>0.01</v>
      </c>
      <c r="AB14">
        <v>8</v>
      </c>
      <c r="AC14">
        <v>15000</v>
      </c>
      <c r="AD14">
        <v>444.4</v>
      </c>
    </row>
    <row r="15" spans="1:30" hidden="1" x14ac:dyDescent="0.3">
      <c r="A15">
        <v>0.2</v>
      </c>
      <c r="B15">
        <v>0</v>
      </c>
      <c r="C15">
        <v>0</v>
      </c>
      <c r="D15">
        <v>45</v>
      </c>
      <c r="E15" t="s">
        <v>18</v>
      </c>
      <c r="F15" s="3">
        <v>0.43316492739521101</v>
      </c>
      <c r="G15" s="3">
        <v>-0.41213577276419999</v>
      </c>
      <c r="H15" s="3">
        <v>0.59790279269898305</v>
      </c>
      <c r="I15" s="1">
        <v>2.2505080000000001E-5</v>
      </c>
      <c r="J15" s="1"/>
      <c r="K15" s="1"/>
      <c r="L15" s="1"/>
      <c r="M15" s="1">
        <f t="shared" si="0"/>
        <v>-5.2653570928456905E-2</v>
      </c>
      <c r="N15" s="1">
        <v>1.984388E-4</v>
      </c>
      <c r="O15" s="1">
        <v>0.99987800000000004</v>
      </c>
      <c r="P15" s="5">
        <v>0.56773347902228199</v>
      </c>
      <c r="Q15" s="5">
        <v>-0.31765119085785498</v>
      </c>
      <c r="R15" s="5">
        <v>0.65055636362743996</v>
      </c>
      <c r="S15" s="1">
        <v>7.1912489999999996E-2</v>
      </c>
      <c r="T15" s="1">
        <v>0.25274730000000001</v>
      </c>
      <c r="U15" s="1">
        <v>0.41836667621661899</v>
      </c>
      <c r="V15" s="1">
        <v>-0.41836667621661899</v>
      </c>
      <c r="W15">
        <v>16</v>
      </c>
      <c r="X15">
        <v>1</v>
      </c>
      <c r="Y15">
        <v>1</v>
      </c>
      <c r="Z15">
        <v>2</v>
      </c>
      <c r="AA15">
        <v>0.01</v>
      </c>
      <c r="AB15">
        <v>8</v>
      </c>
      <c r="AC15">
        <v>15000</v>
      </c>
      <c r="AD15">
        <v>482.1</v>
      </c>
    </row>
    <row r="16" spans="1:30" hidden="1" x14ac:dyDescent="0.3">
      <c r="A16">
        <v>0.2</v>
      </c>
      <c r="B16">
        <v>0</v>
      </c>
      <c r="C16">
        <v>0</v>
      </c>
      <c r="D16">
        <v>99</v>
      </c>
      <c r="E16" t="s">
        <v>18</v>
      </c>
      <c r="F16" s="3">
        <v>0.422779652242463</v>
      </c>
      <c r="G16" s="3">
        <v>-0.41364440212949699</v>
      </c>
      <c r="H16" s="3">
        <v>0.59147639493332904</v>
      </c>
      <c r="I16" s="1">
        <v>2.3133709999999999E-5</v>
      </c>
      <c r="J16" s="1"/>
      <c r="K16" s="1"/>
      <c r="L16" s="1"/>
      <c r="M16" s="1">
        <f t="shared" si="0"/>
        <v>-5.9079968694110918E-2</v>
      </c>
      <c r="N16" s="1">
        <v>1.658044E-4</v>
      </c>
      <c r="O16" s="1">
        <v>0.99987499999999996</v>
      </c>
      <c r="P16" s="5">
        <v>0.56773347902228199</v>
      </c>
      <c r="Q16" s="5">
        <v>-0.31765119085785498</v>
      </c>
      <c r="R16" s="5">
        <v>0.65055636362743996</v>
      </c>
      <c r="S16" s="1">
        <v>7.1912489999999996E-2</v>
      </c>
      <c r="T16" s="1">
        <v>0.26724379999999998</v>
      </c>
      <c r="U16" s="1">
        <v>0.41836667621661899</v>
      </c>
      <c r="V16" s="1">
        <v>-0.41836667621661899</v>
      </c>
      <c r="W16">
        <v>16</v>
      </c>
      <c r="X16">
        <v>1</v>
      </c>
      <c r="Y16">
        <v>1</v>
      </c>
      <c r="Z16">
        <v>2</v>
      </c>
      <c r="AA16">
        <v>0.01</v>
      </c>
      <c r="AB16">
        <v>8</v>
      </c>
      <c r="AC16">
        <v>15000</v>
      </c>
      <c r="AD16">
        <v>511.9</v>
      </c>
    </row>
    <row r="17" spans="1:30" x14ac:dyDescent="0.3">
      <c r="A17">
        <v>0.3</v>
      </c>
      <c r="B17">
        <v>0</v>
      </c>
      <c r="C17">
        <v>0</v>
      </c>
      <c r="D17">
        <v>42</v>
      </c>
      <c r="E17" t="s">
        <v>26</v>
      </c>
      <c r="F17" s="3">
        <v>0.42948948987345698</v>
      </c>
      <c r="G17" s="3">
        <v>-0.34240498085390098</v>
      </c>
      <c r="H17" s="3">
        <v>0.54927442396795001</v>
      </c>
      <c r="I17" s="1">
        <v>1.260662E-5</v>
      </c>
      <c r="J17" s="1"/>
      <c r="K17" s="1"/>
      <c r="L17" s="1"/>
      <c r="M17" s="1">
        <f t="shared" si="0"/>
        <v>-0.15643568404633801</v>
      </c>
      <c r="N17" s="1">
        <v>4.4370460000000002E-5</v>
      </c>
      <c r="O17" s="1">
        <v>0.99992700000000001</v>
      </c>
      <c r="P17" s="5">
        <v>6.2397377372973503E-2</v>
      </c>
      <c r="Q17" s="5">
        <v>-0.70294617421998395</v>
      </c>
      <c r="R17" s="5">
        <v>0.70571010801428802</v>
      </c>
      <c r="S17" s="1">
        <v>0.1634166</v>
      </c>
      <c r="T17" s="1">
        <v>0.7291029</v>
      </c>
      <c r="U17" s="1">
        <v>0.41836667621661899</v>
      </c>
      <c r="V17" s="1">
        <v>-0.41836667621661899</v>
      </c>
      <c r="W17">
        <v>16</v>
      </c>
      <c r="X17">
        <v>1</v>
      </c>
      <c r="Y17">
        <v>1</v>
      </c>
      <c r="Z17">
        <v>2</v>
      </c>
      <c r="AA17">
        <v>0.01</v>
      </c>
      <c r="AB17">
        <v>8</v>
      </c>
      <c r="AC17">
        <v>15000</v>
      </c>
      <c r="AD17">
        <v>506.8</v>
      </c>
    </row>
    <row r="18" spans="1:30" hidden="1" x14ac:dyDescent="0.3">
      <c r="A18">
        <v>0.3</v>
      </c>
      <c r="B18">
        <v>0</v>
      </c>
      <c r="C18">
        <v>0</v>
      </c>
      <c r="D18">
        <v>45</v>
      </c>
      <c r="E18" t="s">
        <v>18</v>
      </c>
      <c r="F18" s="3">
        <v>0.44167671796432401</v>
      </c>
      <c r="G18" s="3">
        <v>-0.33663829905435699</v>
      </c>
      <c r="H18" s="3">
        <v>0.55534103718521299</v>
      </c>
      <c r="I18" s="1">
        <v>1.224214E-5</v>
      </c>
      <c r="J18" s="1"/>
      <c r="K18" s="1"/>
      <c r="L18" s="1"/>
      <c r="M18" s="1">
        <f t="shared" si="0"/>
        <v>-0.15036907082907502</v>
      </c>
      <c r="N18" s="1">
        <v>9.8499249999999997E-5</v>
      </c>
      <c r="O18" s="1">
        <v>0.99995500000000004</v>
      </c>
      <c r="P18" s="5">
        <v>6.2397377372973503E-2</v>
      </c>
      <c r="Q18" s="5">
        <v>-0.70294617421998395</v>
      </c>
      <c r="R18" s="5">
        <v>0.70571010801428802</v>
      </c>
      <c r="S18" s="1">
        <v>0.1634166</v>
      </c>
      <c r="T18" s="1">
        <v>0.7471759</v>
      </c>
      <c r="U18" s="1">
        <v>0.41836667621661899</v>
      </c>
      <c r="V18" s="1">
        <v>-0.41836667621661899</v>
      </c>
      <c r="W18">
        <v>16</v>
      </c>
      <c r="X18">
        <v>1</v>
      </c>
      <c r="Y18">
        <v>1</v>
      </c>
      <c r="Z18">
        <v>2</v>
      </c>
      <c r="AA18">
        <v>0.01</v>
      </c>
      <c r="AB18">
        <v>8</v>
      </c>
      <c r="AC18">
        <v>15000</v>
      </c>
      <c r="AD18">
        <v>511.6</v>
      </c>
    </row>
    <row r="19" spans="1:30" hidden="1" x14ac:dyDescent="0.3">
      <c r="A19">
        <v>0.3</v>
      </c>
      <c r="B19">
        <v>0</v>
      </c>
      <c r="C19">
        <v>0</v>
      </c>
      <c r="D19">
        <v>99</v>
      </c>
      <c r="E19" t="s">
        <v>18</v>
      </c>
      <c r="F19" s="3">
        <v>-0.42904637874163098</v>
      </c>
      <c r="G19" s="3">
        <v>0.38910589610046797</v>
      </c>
      <c r="H19" s="3">
        <v>0.57920997357733395</v>
      </c>
      <c r="I19" s="1">
        <v>1.316875E-5</v>
      </c>
      <c r="J19" s="1"/>
      <c r="K19" s="1"/>
      <c r="L19" s="1"/>
      <c r="M19" s="1">
        <f t="shared" si="0"/>
        <v>-0.12650013443695407</v>
      </c>
      <c r="N19" s="1">
        <v>7.4699179999999997E-5</v>
      </c>
      <c r="O19" s="1">
        <v>0.99995699999999998</v>
      </c>
      <c r="P19" s="5">
        <v>6.2397377372973503E-2</v>
      </c>
      <c r="Q19" s="5">
        <v>-0.70294617421998395</v>
      </c>
      <c r="R19" s="5">
        <v>0.70571010801428802</v>
      </c>
      <c r="S19" s="1">
        <v>0.1634166</v>
      </c>
      <c r="T19" s="1">
        <v>1.696925</v>
      </c>
      <c r="U19" s="1">
        <v>0.41836667621661899</v>
      </c>
      <c r="V19" s="1">
        <v>-0.41836667621661899</v>
      </c>
      <c r="W19">
        <v>16</v>
      </c>
      <c r="X19">
        <v>1</v>
      </c>
      <c r="Y19">
        <v>1</v>
      </c>
      <c r="Z19">
        <v>2</v>
      </c>
      <c r="AA19">
        <v>0.01</v>
      </c>
      <c r="AB19">
        <v>8</v>
      </c>
      <c r="AC19">
        <v>15000</v>
      </c>
      <c r="AD19">
        <v>534.6</v>
      </c>
    </row>
    <row r="20" spans="1:30" hidden="1" x14ac:dyDescent="0.3">
      <c r="A20">
        <v>0.4</v>
      </c>
      <c r="B20">
        <v>0</v>
      </c>
      <c r="C20">
        <v>0</v>
      </c>
      <c r="D20">
        <v>42</v>
      </c>
      <c r="E20" t="s">
        <v>18</v>
      </c>
      <c r="F20" s="3">
        <v>0.43447872656870301</v>
      </c>
      <c r="G20" s="3">
        <v>-0.28735576903575299</v>
      </c>
      <c r="H20" s="3">
        <v>0.52090795908576004</v>
      </c>
      <c r="I20" s="1">
        <v>1.4928519999999999E-5</v>
      </c>
      <c r="J20" s="1"/>
      <c r="K20" s="1"/>
      <c r="L20" s="1"/>
      <c r="M20" s="1">
        <f t="shared" si="0"/>
        <v>-0.78772739785838997</v>
      </c>
      <c r="N20" s="1">
        <v>6.7475689999999994E-5</v>
      </c>
      <c r="O20" s="1">
        <v>0.99990100000000004</v>
      </c>
      <c r="P20" s="5">
        <v>0.90507996800688495</v>
      </c>
      <c r="Q20" s="5">
        <v>-0.94517551224997798</v>
      </c>
      <c r="R20" s="5">
        <v>1.30863535694415</v>
      </c>
      <c r="S20" s="1">
        <v>0.2090562</v>
      </c>
      <c r="T20" s="1">
        <v>0.61806490000000003</v>
      </c>
      <c r="U20" s="1">
        <v>0.41836667621661899</v>
      </c>
      <c r="V20" s="1">
        <v>-0.41836667621661899</v>
      </c>
      <c r="W20">
        <v>16</v>
      </c>
      <c r="X20">
        <v>1</v>
      </c>
      <c r="Y20">
        <v>1</v>
      </c>
      <c r="Z20">
        <v>2</v>
      </c>
      <c r="AA20">
        <v>0.01</v>
      </c>
      <c r="AB20">
        <v>8</v>
      </c>
      <c r="AC20">
        <v>15000</v>
      </c>
      <c r="AD20">
        <v>539.4</v>
      </c>
    </row>
    <row r="21" spans="1:30" x14ac:dyDescent="0.3">
      <c r="A21">
        <v>0.4</v>
      </c>
      <c r="B21">
        <v>0</v>
      </c>
      <c r="C21">
        <v>0</v>
      </c>
      <c r="D21">
        <v>45</v>
      </c>
      <c r="E21" t="s">
        <v>26</v>
      </c>
      <c r="F21" s="3">
        <v>0.432712624318568</v>
      </c>
      <c r="G21" s="3">
        <v>-0.322657799427637</v>
      </c>
      <c r="H21" s="3">
        <v>0.53976686706035204</v>
      </c>
      <c r="I21" s="1">
        <v>1.0709689999999999E-5</v>
      </c>
      <c r="J21" s="1"/>
      <c r="K21" s="1"/>
      <c r="L21" s="1"/>
      <c r="M21" s="1">
        <f t="shared" si="0"/>
        <v>-0.76886848988379797</v>
      </c>
      <c r="N21" s="1">
        <v>5.9196040000000003E-5</v>
      </c>
      <c r="O21" s="1">
        <v>0.99996499999999999</v>
      </c>
      <c r="P21" s="5">
        <v>0.90507996800688495</v>
      </c>
      <c r="Q21" s="5">
        <v>-0.94517551224997798</v>
      </c>
      <c r="R21" s="5">
        <v>1.30863535694415</v>
      </c>
      <c r="S21" s="1">
        <v>0.2090562</v>
      </c>
      <c r="T21" s="1">
        <v>0.59714639999999997</v>
      </c>
      <c r="U21" s="1">
        <v>0.41836667621661899</v>
      </c>
      <c r="V21" s="1">
        <v>-0.41836667621661899</v>
      </c>
      <c r="W21">
        <v>16</v>
      </c>
      <c r="X21">
        <v>1</v>
      </c>
      <c r="Y21">
        <v>1</v>
      </c>
      <c r="Z21">
        <v>2</v>
      </c>
      <c r="AA21">
        <v>0.01</v>
      </c>
      <c r="AB21">
        <v>8</v>
      </c>
      <c r="AC21">
        <v>15000</v>
      </c>
      <c r="AD21">
        <v>538.4</v>
      </c>
    </row>
    <row r="22" spans="1:30" hidden="1" x14ac:dyDescent="0.3">
      <c r="A22">
        <v>0.4</v>
      </c>
      <c r="B22">
        <v>0</v>
      </c>
      <c r="C22">
        <v>0</v>
      </c>
      <c r="D22">
        <v>99</v>
      </c>
      <c r="E22" t="s">
        <v>18</v>
      </c>
      <c r="F22" s="3">
        <v>0.43513703968689699</v>
      </c>
      <c r="G22" s="3">
        <v>-0.35222644984106699</v>
      </c>
      <c r="H22" s="3">
        <v>0.55982829088490904</v>
      </c>
      <c r="I22" s="1">
        <v>1.619021E-5</v>
      </c>
      <c r="J22" s="1"/>
      <c r="K22" s="1"/>
      <c r="L22" s="1"/>
      <c r="M22" s="1">
        <f t="shared" si="0"/>
        <v>-0.74880706605924097</v>
      </c>
      <c r="N22" s="1">
        <v>1.123574E-4</v>
      </c>
      <c r="O22" s="1">
        <v>0.99993100000000001</v>
      </c>
      <c r="P22" s="5">
        <v>0.90507996800688495</v>
      </c>
      <c r="Q22" s="5">
        <v>-0.94517551224997798</v>
      </c>
      <c r="R22" s="5">
        <v>1.30863535694415</v>
      </c>
      <c r="S22" s="1">
        <v>0.2090562</v>
      </c>
      <c r="T22" s="1">
        <v>0.57815519999999998</v>
      </c>
      <c r="U22" s="1">
        <v>0.41836667621661899</v>
      </c>
      <c r="V22" s="1">
        <v>-0.41836667621661899</v>
      </c>
      <c r="W22">
        <v>16</v>
      </c>
      <c r="X22">
        <v>1</v>
      </c>
      <c r="Y22">
        <v>1</v>
      </c>
      <c r="Z22">
        <v>2</v>
      </c>
      <c r="AA22">
        <v>0.01</v>
      </c>
      <c r="AB22">
        <v>8</v>
      </c>
      <c r="AC22">
        <v>15000</v>
      </c>
      <c r="AD22">
        <v>551.20000000000005</v>
      </c>
    </row>
    <row r="23" spans="1:30" hidden="1" x14ac:dyDescent="0.3">
      <c r="A23">
        <v>0.5</v>
      </c>
      <c r="B23">
        <v>0</v>
      </c>
      <c r="C23">
        <v>0</v>
      </c>
      <c r="D23">
        <v>42</v>
      </c>
      <c r="E23" t="s">
        <v>18</v>
      </c>
      <c r="F23" s="3">
        <v>1.10500221497013</v>
      </c>
      <c r="G23" s="3">
        <v>6.91006521731833E-2</v>
      </c>
      <c r="H23" s="3">
        <v>1.10716069078506</v>
      </c>
      <c r="I23" s="1">
        <v>1.3578820000000001E-4</v>
      </c>
      <c r="J23" s="1"/>
      <c r="K23" s="1"/>
      <c r="L23" s="1"/>
      <c r="M23" s="1">
        <f>H23-R23</f>
        <v>0.74712328029043396</v>
      </c>
      <c r="N23" s="1">
        <v>1.3786569999999999E-3</v>
      </c>
      <c r="O23" s="1">
        <v>0.99842799999999998</v>
      </c>
      <c r="P23" s="5">
        <v>-0.35918754602071101</v>
      </c>
      <c r="Q23" s="5">
        <v>2.4723344015225201E-2</v>
      </c>
      <c r="R23" s="5">
        <v>0.36003741049462601</v>
      </c>
      <c r="S23" s="1">
        <v>0.21294950000000001</v>
      </c>
      <c r="T23" s="1">
        <v>4.0686390000000001</v>
      </c>
      <c r="U23" s="1">
        <v>0.41836667621661899</v>
      </c>
      <c r="V23" s="1">
        <v>-0.41836667621661899</v>
      </c>
      <c r="W23">
        <v>16</v>
      </c>
      <c r="X23">
        <v>1</v>
      </c>
      <c r="Y23">
        <v>1</v>
      </c>
      <c r="Z23">
        <v>2</v>
      </c>
      <c r="AA23">
        <v>0.01</v>
      </c>
      <c r="AB23">
        <v>8</v>
      </c>
      <c r="AC23">
        <v>15000</v>
      </c>
      <c r="AD23">
        <v>553.4</v>
      </c>
    </row>
    <row r="24" spans="1:30" x14ac:dyDescent="0.3">
      <c r="A24">
        <v>0.5</v>
      </c>
      <c r="B24">
        <v>0</v>
      </c>
      <c r="C24">
        <v>0</v>
      </c>
      <c r="D24">
        <v>45</v>
      </c>
      <c r="E24" t="s">
        <v>26</v>
      </c>
      <c r="F24" s="3">
        <v>-0.441358775995073</v>
      </c>
      <c r="G24" s="3">
        <v>0.34751301244236599</v>
      </c>
      <c r="H24" s="3">
        <v>0.56174982239840299</v>
      </c>
      <c r="I24" s="1">
        <v>1.116719E-5</v>
      </c>
      <c r="J24" s="1"/>
      <c r="K24" s="1"/>
      <c r="L24" s="1"/>
      <c r="M24" s="1">
        <f t="shared" si="0"/>
        <v>0.20171241190377698</v>
      </c>
      <c r="N24" s="1">
        <v>5.5661439999999998E-5</v>
      </c>
      <c r="O24" s="1">
        <v>0.99996399999999996</v>
      </c>
      <c r="P24" s="5">
        <v>-0.35918754602071101</v>
      </c>
      <c r="Q24" s="5">
        <v>2.4723344015225201E-2</v>
      </c>
      <c r="R24" s="5">
        <v>0.36003741049462601</v>
      </c>
      <c r="S24" s="1">
        <v>0.21294950000000001</v>
      </c>
      <c r="T24" s="1">
        <v>0.92513860000000003</v>
      </c>
      <c r="U24" s="1">
        <v>0.41836667621661899</v>
      </c>
      <c r="V24" s="1">
        <v>-0.41836667621661899</v>
      </c>
      <c r="W24">
        <v>16</v>
      </c>
      <c r="X24">
        <v>1</v>
      </c>
      <c r="Y24">
        <v>1</v>
      </c>
      <c r="Z24">
        <v>2</v>
      </c>
      <c r="AA24">
        <v>0.01</v>
      </c>
      <c r="AB24">
        <v>8</v>
      </c>
      <c r="AC24">
        <v>15000</v>
      </c>
      <c r="AD24">
        <v>561.20000000000005</v>
      </c>
    </row>
    <row r="25" spans="1:30" hidden="1" x14ac:dyDescent="0.3">
      <c r="A25">
        <v>0.5</v>
      </c>
      <c r="B25">
        <v>0</v>
      </c>
      <c r="C25">
        <v>0</v>
      </c>
      <c r="D25">
        <v>99</v>
      </c>
      <c r="E25" t="s">
        <v>18</v>
      </c>
      <c r="F25" s="3">
        <v>-0.43906727337715101</v>
      </c>
      <c r="G25" s="3">
        <v>0.345920313482183</v>
      </c>
      <c r="H25" s="3">
        <v>0.558964161490214</v>
      </c>
      <c r="I25" s="1">
        <v>1.9575090000000001E-5</v>
      </c>
      <c r="J25" s="1"/>
      <c r="K25" s="1"/>
      <c r="L25" s="1"/>
      <c r="M25" s="1">
        <f t="shared" si="0"/>
        <v>0.19892675099558799</v>
      </c>
      <c r="N25" s="1">
        <v>1.6783759999999999E-4</v>
      </c>
      <c r="O25" s="1">
        <v>0.99990000000000001</v>
      </c>
      <c r="P25" s="5">
        <v>-0.35918754602071101</v>
      </c>
      <c r="Q25" s="5">
        <v>2.4723344015225201E-2</v>
      </c>
      <c r="R25" s="5">
        <v>0.36003741049462601</v>
      </c>
      <c r="S25" s="1">
        <v>0.21294950000000001</v>
      </c>
      <c r="T25" s="1">
        <v>0.91929550000000004</v>
      </c>
      <c r="U25" s="1">
        <v>0.41836667621661899</v>
      </c>
      <c r="V25" s="1">
        <v>-0.41836667621661899</v>
      </c>
      <c r="W25">
        <v>16</v>
      </c>
      <c r="X25">
        <v>1</v>
      </c>
      <c r="Y25">
        <v>1</v>
      </c>
      <c r="Z25">
        <v>2</v>
      </c>
      <c r="AA25">
        <v>0.01</v>
      </c>
      <c r="AB25">
        <v>8</v>
      </c>
      <c r="AC25">
        <v>15000</v>
      </c>
      <c r="AD25">
        <v>557.70000000000005</v>
      </c>
    </row>
    <row r="26" spans="1:30" x14ac:dyDescent="0.3">
      <c r="A26">
        <v>0.6</v>
      </c>
      <c r="B26">
        <v>0</v>
      </c>
      <c r="C26">
        <v>0</v>
      </c>
      <c r="D26">
        <v>42</v>
      </c>
      <c r="E26" t="s">
        <v>26</v>
      </c>
      <c r="F26" s="3">
        <v>-0.43306211496137098</v>
      </c>
      <c r="G26" s="3">
        <v>0.27798353385122498</v>
      </c>
      <c r="H26" s="3">
        <v>0.51460435336987898</v>
      </c>
      <c r="I26" s="1">
        <v>1.134407E-5</v>
      </c>
      <c r="J26" s="1"/>
      <c r="K26" s="1"/>
      <c r="L26" s="1"/>
      <c r="M26" s="1">
        <f t="shared" si="0"/>
        <v>-0.68426980158545092</v>
      </c>
      <c r="N26" s="1">
        <v>4.9417360000000003E-5</v>
      </c>
      <c r="O26" s="1">
        <v>0.99993200000000004</v>
      </c>
      <c r="P26" s="5">
        <v>1.15961625278221</v>
      </c>
      <c r="Q26" s="5">
        <v>0.30428504022248598</v>
      </c>
      <c r="R26" s="5">
        <v>1.1988741549553299</v>
      </c>
      <c r="S26" s="1">
        <v>0.19559570000000001</v>
      </c>
      <c r="T26" s="1">
        <v>1.328659</v>
      </c>
      <c r="U26" s="1">
        <v>0.41836667621661899</v>
      </c>
      <c r="V26" s="1">
        <v>-0.41836667621661899</v>
      </c>
      <c r="W26">
        <v>16</v>
      </c>
      <c r="X26">
        <v>1</v>
      </c>
      <c r="Y26">
        <v>1</v>
      </c>
      <c r="Z26">
        <v>2</v>
      </c>
      <c r="AA26">
        <v>0.01</v>
      </c>
      <c r="AB26">
        <v>8</v>
      </c>
      <c r="AC26">
        <v>15000</v>
      </c>
      <c r="AD26">
        <v>564.4</v>
      </c>
    </row>
    <row r="27" spans="1:30" hidden="1" x14ac:dyDescent="0.3">
      <c r="A27">
        <v>0.6</v>
      </c>
      <c r="B27">
        <v>0</v>
      </c>
      <c r="C27">
        <v>0</v>
      </c>
      <c r="D27">
        <v>45</v>
      </c>
      <c r="E27" t="s">
        <v>18</v>
      </c>
      <c r="F27" s="3">
        <v>-0.632934496398049</v>
      </c>
      <c r="G27" s="3">
        <v>-0.20728309741505099</v>
      </c>
      <c r="H27" s="3">
        <v>0.66601228157191705</v>
      </c>
      <c r="I27" s="1">
        <v>3.8251809999999999E-5</v>
      </c>
      <c r="J27" s="1"/>
      <c r="K27" s="1"/>
      <c r="L27" s="1"/>
      <c r="M27" s="1">
        <f t="shared" si="0"/>
        <v>-0.53286187338341284</v>
      </c>
      <c r="N27" s="1">
        <v>3.5203550000000001E-4</v>
      </c>
      <c r="O27" s="1">
        <v>0.99965899999999996</v>
      </c>
      <c r="P27" s="5">
        <v>1.15961625278221</v>
      </c>
      <c r="Q27" s="5">
        <v>0.30428504022248598</v>
      </c>
      <c r="R27" s="5">
        <v>1.1988741549553299</v>
      </c>
      <c r="S27" s="1">
        <v>0.19559570000000001</v>
      </c>
      <c r="T27" s="1">
        <v>1.554891</v>
      </c>
      <c r="U27" s="1">
        <v>0.41836667621661899</v>
      </c>
      <c r="V27" s="1">
        <v>-0.41836667621661899</v>
      </c>
      <c r="W27">
        <v>16</v>
      </c>
      <c r="X27">
        <v>1</v>
      </c>
      <c r="Y27">
        <v>1</v>
      </c>
      <c r="Z27">
        <v>2</v>
      </c>
      <c r="AA27">
        <v>0.01</v>
      </c>
      <c r="AB27">
        <v>8</v>
      </c>
      <c r="AC27">
        <v>15000</v>
      </c>
      <c r="AD27">
        <v>580.20000000000005</v>
      </c>
    </row>
    <row r="28" spans="1:30" hidden="1" x14ac:dyDescent="0.3">
      <c r="A28">
        <v>0.6</v>
      </c>
      <c r="B28">
        <v>0</v>
      </c>
      <c r="C28">
        <v>0</v>
      </c>
      <c r="D28">
        <v>99</v>
      </c>
      <c r="E28" t="s">
        <v>18</v>
      </c>
      <c r="F28" s="3">
        <v>0.439673905538146</v>
      </c>
      <c r="G28" s="3">
        <v>-0.252272658152836</v>
      </c>
      <c r="H28" s="3">
        <v>0.50690693155910305</v>
      </c>
      <c r="I28" s="1">
        <v>1.464627E-5</v>
      </c>
      <c r="J28" s="1"/>
      <c r="K28" s="1"/>
      <c r="L28" s="1"/>
      <c r="M28" s="1">
        <f t="shared" si="0"/>
        <v>-0.69196722339622685</v>
      </c>
      <c r="N28" s="1">
        <v>1.061331E-4</v>
      </c>
      <c r="O28" s="1">
        <v>0.99993200000000004</v>
      </c>
      <c r="P28" s="5">
        <v>1.15961625278221</v>
      </c>
      <c r="Q28" s="5">
        <v>0.30428504022248598</v>
      </c>
      <c r="R28" s="5">
        <v>1.1988741549553299</v>
      </c>
      <c r="S28" s="1">
        <v>0.19559570000000001</v>
      </c>
      <c r="T28" s="1">
        <v>0.75903330000000002</v>
      </c>
      <c r="U28" s="1">
        <v>0.41836667621661899</v>
      </c>
      <c r="V28" s="1">
        <v>-0.41836667621661899</v>
      </c>
      <c r="W28">
        <v>16</v>
      </c>
      <c r="X28">
        <v>1</v>
      </c>
      <c r="Y28">
        <v>1</v>
      </c>
      <c r="Z28">
        <v>2</v>
      </c>
      <c r="AA28">
        <v>0.01</v>
      </c>
      <c r="AB28">
        <v>8</v>
      </c>
      <c r="AC28">
        <v>15000</v>
      </c>
      <c r="AD28">
        <v>571.20000000000005</v>
      </c>
    </row>
    <row r="29" spans="1:30" x14ac:dyDescent="0.3">
      <c r="A29">
        <v>0.7</v>
      </c>
      <c r="B29">
        <v>0</v>
      </c>
      <c r="C29">
        <v>0</v>
      </c>
      <c r="D29">
        <v>42</v>
      </c>
      <c r="E29" t="s">
        <v>26</v>
      </c>
      <c r="F29" s="3">
        <v>0.42898998344863298</v>
      </c>
      <c r="G29" s="3">
        <v>-0.27821158276063801</v>
      </c>
      <c r="H29" s="3">
        <v>0.51130625918468697</v>
      </c>
      <c r="I29" s="1">
        <v>1.3134060000000001E-5</v>
      </c>
      <c r="J29" s="1"/>
      <c r="K29" s="1"/>
      <c r="L29" s="1"/>
      <c r="M29" s="1">
        <f t="shared" si="0"/>
        <v>-1.1659008059386928</v>
      </c>
      <c r="N29" s="1">
        <v>6.0528790000000002E-5</v>
      </c>
      <c r="O29" s="1">
        <v>0.99991200000000002</v>
      </c>
      <c r="P29" s="5">
        <v>1.3532193644232</v>
      </c>
      <c r="Q29" s="5">
        <v>-0.99086875571381905</v>
      </c>
      <c r="R29" s="5">
        <v>1.6772070651233799</v>
      </c>
      <c r="S29" s="1">
        <v>0.17096130000000001</v>
      </c>
      <c r="T29" s="1">
        <v>0.69584840000000003</v>
      </c>
      <c r="U29" s="1">
        <v>0.41836667621661899</v>
      </c>
      <c r="V29" s="1">
        <v>-0.41836667621661899</v>
      </c>
      <c r="W29">
        <v>16</v>
      </c>
      <c r="X29">
        <v>1</v>
      </c>
      <c r="Y29">
        <v>1</v>
      </c>
      <c r="Z29">
        <v>2</v>
      </c>
      <c r="AA29">
        <v>0.01</v>
      </c>
      <c r="AB29">
        <v>8</v>
      </c>
      <c r="AC29">
        <v>15000</v>
      </c>
      <c r="AD29">
        <v>588</v>
      </c>
    </row>
    <row r="30" spans="1:30" hidden="1" x14ac:dyDescent="0.3">
      <c r="A30">
        <v>0.7</v>
      </c>
      <c r="B30">
        <v>0</v>
      </c>
      <c r="C30">
        <v>0</v>
      </c>
      <c r="D30">
        <v>45</v>
      </c>
      <c r="E30" t="s">
        <v>18</v>
      </c>
      <c r="F30" s="3">
        <v>0.43013981718821498</v>
      </c>
      <c r="G30" s="3">
        <v>-0.25685719431962101</v>
      </c>
      <c r="H30" s="3">
        <v>0.50099489079676096</v>
      </c>
      <c r="I30" s="1">
        <v>1.3455849999999999E-5</v>
      </c>
      <c r="J30" s="1"/>
      <c r="K30" s="1"/>
      <c r="L30" s="1"/>
      <c r="M30" s="1">
        <f t="shared" si="0"/>
        <v>-1.176212174326619</v>
      </c>
      <c r="N30" s="1">
        <v>7.8818220000000005E-5</v>
      </c>
      <c r="O30" s="1">
        <v>0.99993500000000002</v>
      </c>
      <c r="P30" s="5">
        <v>1.3532193644232</v>
      </c>
      <c r="Q30" s="5">
        <v>-0.99086875571381905</v>
      </c>
      <c r="R30" s="5">
        <v>1.6772070651233799</v>
      </c>
      <c r="S30" s="1">
        <v>0.17096130000000001</v>
      </c>
      <c r="T30" s="1">
        <v>0.70315859999999997</v>
      </c>
      <c r="U30" s="1">
        <v>0.41836667621661899</v>
      </c>
      <c r="V30" s="1">
        <v>-0.41836667621661899</v>
      </c>
      <c r="W30">
        <v>16</v>
      </c>
      <c r="X30">
        <v>1</v>
      </c>
      <c r="Y30">
        <v>1</v>
      </c>
      <c r="Z30">
        <v>2</v>
      </c>
      <c r="AA30">
        <v>0.01</v>
      </c>
      <c r="AB30">
        <v>8</v>
      </c>
      <c r="AC30">
        <v>15000</v>
      </c>
      <c r="AD30">
        <v>601.70000000000005</v>
      </c>
    </row>
    <row r="31" spans="1:30" hidden="1" x14ac:dyDescent="0.3">
      <c r="A31">
        <v>0.7</v>
      </c>
      <c r="B31">
        <v>0</v>
      </c>
      <c r="C31">
        <v>0</v>
      </c>
      <c r="D31">
        <v>99</v>
      </c>
      <c r="E31" t="s">
        <v>18</v>
      </c>
      <c r="F31" s="3">
        <v>-0.441515997630191</v>
      </c>
      <c r="G31" s="3">
        <v>0.29396443292174201</v>
      </c>
      <c r="H31" s="3">
        <v>0.53042573842752405</v>
      </c>
      <c r="I31" s="1">
        <v>1.7027249999999999E-5</v>
      </c>
      <c r="J31" s="1"/>
      <c r="K31" s="1"/>
      <c r="L31" s="1"/>
      <c r="M31" s="1">
        <f t="shared" si="0"/>
        <v>-1.146781326695856</v>
      </c>
      <c r="N31" s="1">
        <v>1.4839660000000001E-4</v>
      </c>
      <c r="O31" s="1">
        <v>0.999915</v>
      </c>
      <c r="P31" s="5">
        <v>1.3532193644232</v>
      </c>
      <c r="Q31" s="5">
        <v>-0.99086875571381905</v>
      </c>
      <c r="R31" s="5">
        <v>1.6772070651233799</v>
      </c>
      <c r="S31" s="1">
        <v>0.17096130000000001</v>
      </c>
      <c r="T31" s="1">
        <v>1.3160160000000001</v>
      </c>
      <c r="U31" s="1">
        <v>0.41836667621661899</v>
      </c>
      <c r="V31" s="1">
        <v>-0.41836667621661899</v>
      </c>
      <c r="W31">
        <v>16</v>
      </c>
      <c r="X31">
        <v>1</v>
      </c>
      <c r="Y31">
        <v>1</v>
      </c>
      <c r="Z31">
        <v>2</v>
      </c>
      <c r="AA31">
        <v>0.01</v>
      </c>
      <c r="AB31">
        <v>8</v>
      </c>
      <c r="AC31">
        <v>15000</v>
      </c>
      <c r="AD31">
        <v>594.20000000000005</v>
      </c>
    </row>
    <row r="32" spans="1:30" x14ac:dyDescent="0.3">
      <c r="A32">
        <v>0.8</v>
      </c>
      <c r="B32">
        <v>0</v>
      </c>
      <c r="C32">
        <v>0</v>
      </c>
      <c r="D32">
        <v>42</v>
      </c>
      <c r="E32" t="s">
        <v>26</v>
      </c>
      <c r="F32" s="3">
        <v>0.40284725419550899</v>
      </c>
      <c r="G32" s="3">
        <v>-7.8836044366930799E-2</v>
      </c>
      <c r="H32" s="3">
        <v>0.41048877220246299</v>
      </c>
      <c r="I32" s="1">
        <v>1.322406E-5</v>
      </c>
      <c r="J32" s="1"/>
      <c r="K32" s="1"/>
      <c r="L32" s="1"/>
      <c r="M32" s="1">
        <f t="shared" si="0"/>
        <v>-1.1908294650063769</v>
      </c>
      <c r="N32" s="1">
        <v>1.054128E-4</v>
      </c>
      <c r="O32" s="1">
        <v>0.99988500000000002</v>
      </c>
      <c r="P32" s="5">
        <v>0.42596505771311799</v>
      </c>
      <c r="Q32" s="5">
        <v>-1.5436236155310299</v>
      </c>
      <c r="R32" s="5">
        <v>1.6013182372088399</v>
      </c>
      <c r="S32" s="1">
        <v>0.14611350000000001</v>
      </c>
      <c r="T32" s="1">
        <v>0.91485249999999996</v>
      </c>
      <c r="U32" s="1">
        <v>0.41836667621661899</v>
      </c>
      <c r="V32" s="1">
        <v>-0.41836667621661899</v>
      </c>
      <c r="W32">
        <v>16</v>
      </c>
      <c r="X32">
        <v>1</v>
      </c>
      <c r="Y32">
        <v>1</v>
      </c>
      <c r="Z32">
        <v>2</v>
      </c>
      <c r="AA32">
        <v>0.01</v>
      </c>
      <c r="AB32">
        <v>8</v>
      </c>
      <c r="AC32">
        <v>15000</v>
      </c>
      <c r="AD32">
        <v>582.9</v>
      </c>
    </row>
    <row r="33" spans="1:30" hidden="1" x14ac:dyDescent="0.3">
      <c r="A33">
        <v>0.8</v>
      </c>
      <c r="B33">
        <v>0</v>
      </c>
      <c r="C33">
        <v>0</v>
      </c>
      <c r="D33">
        <v>45</v>
      </c>
      <c r="E33" t="s">
        <v>18</v>
      </c>
      <c r="F33" s="3">
        <v>-0.43286965517553999</v>
      </c>
      <c r="G33" s="3">
        <v>0.53639272718551301</v>
      </c>
      <c r="H33" s="3">
        <v>0.68927011842187402</v>
      </c>
      <c r="I33" s="1">
        <v>8.5351610000000005E-5</v>
      </c>
      <c r="J33" s="1"/>
      <c r="K33" s="1"/>
      <c r="L33" s="1"/>
      <c r="M33" s="1">
        <f t="shared" si="0"/>
        <v>-0.9120481187869659</v>
      </c>
      <c r="N33" s="1">
        <v>1.689891E-3</v>
      </c>
      <c r="O33" s="1">
        <v>0.99846900000000005</v>
      </c>
      <c r="P33" s="5">
        <v>0.42596505771311799</v>
      </c>
      <c r="Q33" s="5">
        <v>-1.5436236155310299</v>
      </c>
      <c r="R33" s="5">
        <v>1.6013182372088399</v>
      </c>
      <c r="S33" s="1">
        <v>0.14611350000000001</v>
      </c>
      <c r="T33" s="1">
        <v>1.4053100000000001</v>
      </c>
      <c r="U33" s="1">
        <v>0.41836667621661899</v>
      </c>
      <c r="V33" s="1">
        <v>-0.41836667621661899</v>
      </c>
      <c r="W33">
        <v>16</v>
      </c>
      <c r="X33">
        <v>1</v>
      </c>
      <c r="Y33">
        <v>1</v>
      </c>
      <c r="Z33">
        <v>2</v>
      </c>
      <c r="AA33">
        <v>0.01</v>
      </c>
      <c r="AB33">
        <v>8</v>
      </c>
      <c r="AC33">
        <v>15000</v>
      </c>
      <c r="AD33">
        <v>584.6</v>
      </c>
    </row>
    <row r="34" spans="1:30" hidden="1" x14ac:dyDescent="0.3">
      <c r="A34">
        <v>0.8</v>
      </c>
      <c r="B34">
        <v>0</v>
      </c>
      <c r="C34">
        <v>0</v>
      </c>
      <c r="D34">
        <v>99</v>
      </c>
      <c r="E34" t="s">
        <v>18</v>
      </c>
      <c r="F34" s="3">
        <v>-0.44345781507742998</v>
      </c>
      <c r="G34" s="3">
        <v>0.26844629637560202</v>
      </c>
      <c r="H34" s="3">
        <v>0.51838040837885202</v>
      </c>
      <c r="I34" s="1">
        <v>1.851982E-5</v>
      </c>
      <c r="J34" s="1"/>
      <c r="K34" s="1"/>
      <c r="L34" s="1"/>
      <c r="M34" s="1">
        <f t="shared" si="0"/>
        <v>-1.082937828829988</v>
      </c>
      <c r="N34" s="1">
        <v>1.5572679999999999E-4</v>
      </c>
      <c r="O34" s="1">
        <v>0.99989499999999998</v>
      </c>
      <c r="P34" s="5">
        <v>0.42596505771311799</v>
      </c>
      <c r="Q34" s="5">
        <v>-1.5436236155310299</v>
      </c>
      <c r="R34" s="5">
        <v>1.6013182372088399</v>
      </c>
      <c r="S34" s="1">
        <v>0.14611350000000001</v>
      </c>
      <c r="T34" s="1">
        <v>1.2551220000000001</v>
      </c>
      <c r="U34" s="1">
        <v>0.41836667621661899</v>
      </c>
      <c r="V34" s="1">
        <v>-0.41836667621661899</v>
      </c>
      <c r="W34">
        <v>16</v>
      </c>
      <c r="X34">
        <v>1</v>
      </c>
      <c r="Y34">
        <v>1</v>
      </c>
      <c r="Z34">
        <v>2</v>
      </c>
      <c r="AA34">
        <v>0.01</v>
      </c>
      <c r="AB34">
        <v>8</v>
      </c>
      <c r="AC34">
        <v>15000</v>
      </c>
      <c r="AD34">
        <v>570</v>
      </c>
    </row>
    <row r="35" spans="1:30" hidden="1" x14ac:dyDescent="0.3">
      <c r="A35">
        <v>0.9</v>
      </c>
      <c r="B35">
        <v>0</v>
      </c>
      <c r="C35">
        <v>0</v>
      </c>
      <c r="D35">
        <v>42</v>
      </c>
      <c r="E35" t="s">
        <v>18</v>
      </c>
      <c r="F35" s="3">
        <v>0.34111336882891702</v>
      </c>
      <c r="G35" s="3">
        <v>-0.244224975788187</v>
      </c>
      <c r="H35" s="3">
        <v>0.419528508200043</v>
      </c>
      <c r="I35" s="1">
        <v>2.5958249999999998E-5</v>
      </c>
      <c r="J35" s="1"/>
      <c r="K35" s="1"/>
      <c r="L35" s="1"/>
      <c r="M35" s="1">
        <f t="shared" si="0"/>
        <v>-0.86986543646033687</v>
      </c>
      <c r="N35" s="1">
        <v>4.4673089999999998E-4</v>
      </c>
      <c r="O35" s="1">
        <v>0.99959699999999996</v>
      </c>
      <c r="P35" s="5">
        <v>-0.40514151442559199</v>
      </c>
      <c r="Q35" s="5">
        <v>-1.22409031440323</v>
      </c>
      <c r="R35" s="5">
        <v>1.2893939446603799</v>
      </c>
      <c r="S35" s="1">
        <v>0.12389749999999999</v>
      </c>
      <c r="T35" s="1">
        <v>0.95523849999999999</v>
      </c>
      <c r="U35" s="1">
        <v>0.41836667621661899</v>
      </c>
      <c r="V35" s="1">
        <v>-0.41836667621661899</v>
      </c>
      <c r="W35">
        <v>16</v>
      </c>
      <c r="X35">
        <v>1</v>
      </c>
      <c r="Y35">
        <v>1</v>
      </c>
      <c r="Z35">
        <v>2</v>
      </c>
      <c r="AA35">
        <v>0.01</v>
      </c>
      <c r="AB35">
        <v>8</v>
      </c>
      <c r="AC35">
        <v>15000</v>
      </c>
      <c r="AD35">
        <v>572</v>
      </c>
    </row>
    <row r="36" spans="1:30" hidden="1" x14ac:dyDescent="0.3">
      <c r="A36">
        <v>0.9</v>
      </c>
      <c r="B36">
        <v>0</v>
      </c>
      <c r="C36">
        <v>0</v>
      </c>
      <c r="D36">
        <v>45</v>
      </c>
      <c r="E36" t="s">
        <v>18</v>
      </c>
      <c r="F36" s="3">
        <v>-0.49939487189447102</v>
      </c>
      <c r="G36" s="3">
        <v>0.52484233583036199</v>
      </c>
      <c r="H36" s="3">
        <v>0.72446857458026803</v>
      </c>
      <c r="I36" s="1">
        <v>5.0985239999999997E-5</v>
      </c>
      <c r="J36" s="1"/>
      <c r="K36" s="1"/>
      <c r="L36" s="1"/>
      <c r="M36" s="1">
        <f t="shared" si="0"/>
        <v>-0.5649253700801119</v>
      </c>
      <c r="N36" s="1">
        <v>5.883164E-4</v>
      </c>
      <c r="O36" s="1">
        <v>0.99953400000000003</v>
      </c>
      <c r="P36" s="5">
        <v>-0.40514151442559199</v>
      </c>
      <c r="Q36" s="5">
        <v>-1.22409031440323</v>
      </c>
      <c r="R36" s="5">
        <v>1.2893939446603799</v>
      </c>
      <c r="S36" s="1">
        <v>0.12389749999999999</v>
      </c>
      <c r="T36" s="1">
        <v>1.3583670000000001</v>
      </c>
      <c r="U36" s="1">
        <v>0.41836667621661899</v>
      </c>
      <c r="V36" s="1">
        <v>-0.41836667621661899</v>
      </c>
      <c r="W36">
        <v>16</v>
      </c>
      <c r="X36">
        <v>1</v>
      </c>
      <c r="Y36">
        <v>1</v>
      </c>
      <c r="Z36">
        <v>2</v>
      </c>
      <c r="AA36">
        <v>0.01</v>
      </c>
      <c r="AB36">
        <v>8</v>
      </c>
      <c r="AC36">
        <v>15000</v>
      </c>
      <c r="AD36">
        <v>566.6</v>
      </c>
    </row>
    <row r="37" spans="1:30" x14ac:dyDescent="0.3">
      <c r="A37">
        <v>0.9</v>
      </c>
      <c r="B37">
        <v>0</v>
      </c>
      <c r="C37">
        <v>0</v>
      </c>
      <c r="D37">
        <v>99</v>
      </c>
      <c r="E37" t="s">
        <v>26</v>
      </c>
      <c r="F37" s="3">
        <v>-0.44753086447989698</v>
      </c>
      <c r="G37" s="3">
        <v>0.29832506513969997</v>
      </c>
      <c r="H37" s="3">
        <v>0.537849160223134</v>
      </c>
      <c r="I37" s="1">
        <v>2.0992099999999998E-5</v>
      </c>
      <c r="J37" s="1"/>
      <c r="K37" s="1"/>
      <c r="L37" s="1"/>
      <c r="M37" s="1">
        <f t="shared" si="0"/>
        <v>-0.75154478443724593</v>
      </c>
      <c r="N37" s="1">
        <v>2.008685E-4</v>
      </c>
      <c r="O37" s="1">
        <v>0.99987599999999999</v>
      </c>
      <c r="P37" s="5">
        <v>-0.40514151442559199</v>
      </c>
      <c r="Q37" s="5">
        <v>-1.22409031440323</v>
      </c>
      <c r="R37" s="5">
        <v>1.2893939446603799</v>
      </c>
      <c r="S37" s="1">
        <v>0.12389749999999999</v>
      </c>
      <c r="T37" s="1">
        <v>1.181179</v>
      </c>
      <c r="U37" s="1">
        <v>0.41836667621661899</v>
      </c>
      <c r="V37" s="1">
        <v>-0.41836667621661899</v>
      </c>
      <c r="W37">
        <v>16</v>
      </c>
      <c r="X37">
        <v>1</v>
      </c>
      <c r="Y37">
        <v>1</v>
      </c>
      <c r="Z37">
        <v>2</v>
      </c>
      <c r="AA37">
        <v>0.01</v>
      </c>
      <c r="AB37">
        <v>8</v>
      </c>
      <c r="AC37">
        <v>15000</v>
      </c>
      <c r="AD37">
        <v>587.9</v>
      </c>
    </row>
    <row r="38" spans="1:30" hidden="1" x14ac:dyDescent="0.3">
      <c r="A38">
        <v>1</v>
      </c>
      <c r="B38">
        <v>0</v>
      </c>
      <c r="C38">
        <v>0</v>
      </c>
      <c r="D38">
        <v>42</v>
      </c>
      <c r="E38" t="s">
        <v>18</v>
      </c>
      <c r="F38" s="3">
        <v>2.0533890624311102</v>
      </c>
      <c r="G38" s="3">
        <v>0.338717222635674</v>
      </c>
      <c r="H38" s="3">
        <v>2.0811381498165198</v>
      </c>
      <c r="I38" s="1">
        <v>7.6888499999999997E-4</v>
      </c>
      <c r="J38" s="1"/>
      <c r="K38" s="1"/>
      <c r="L38" s="1"/>
      <c r="M38" s="1">
        <f t="shared" si="0"/>
        <v>1.1354927727498216</v>
      </c>
      <c r="N38" s="1">
        <v>1.3177100000000001E-2</v>
      </c>
      <c r="O38" s="1">
        <v>0.98649799999999999</v>
      </c>
      <c r="P38" s="5">
        <v>-0.75384195005925503</v>
      </c>
      <c r="Q38" s="5">
        <v>-0.57093562990802804</v>
      </c>
      <c r="R38" s="5">
        <v>0.94564537706669805</v>
      </c>
      <c r="S38" s="1">
        <v>0.1050461</v>
      </c>
      <c r="T38" s="1">
        <v>3.1205509999999999</v>
      </c>
      <c r="U38" s="1">
        <v>0.41836667621661899</v>
      </c>
      <c r="V38" s="1">
        <v>-0.41836667621661899</v>
      </c>
      <c r="W38">
        <v>16</v>
      </c>
      <c r="X38">
        <v>1</v>
      </c>
      <c r="Y38">
        <v>1</v>
      </c>
      <c r="Z38">
        <v>2</v>
      </c>
      <c r="AA38">
        <v>0.01</v>
      </c>
      <c r="AB38">
        <v>8</v>
      </c>
      <c r="AC38">
        <v>15000</v>
      </c>
      <c r="AD38">
        <v>584.29999999999995</v>
      </c>
    </row>
    <row r="39" spans="1:30" x14ac:dyDescent="0.3">
      <c r="A39">
        <v>1</v>
      </c>
      <c r="B39">
        <v>0</v>
      </c>
      <c r="C39">
        <v>0</v>
      </c>
      <c r="D39">
        <v>45</v>
      </c>
      <c r="E39" t="s">
        <v>26</v>
      </c>
      <c r="F39" s="3">
        <v>0.38875603774941703</v>
      </c>
      <c r="G39" s="3">
        <v>-0.18253668829335301</v>
      </c>
      <c r="H39" s="3">
        <v>0.42947747258701602</v>
      </c>
      <c r="I39" s="1">
        <v>1.370807E-5</v>
      </c>
      <c r="J39" s="1"/>
      <c r="K39" s="1"/>
      <c r="L39" s="1"/>
      <c r="M39" s="1">
        <f t="shared" si="0"/>
        <v>-0.51616790447968208</v>
      </c>
      <c r="N39" s="1">
        <v>1.005259E-4</v>
      </c>
      <c r="O39" s="1">
        <v>0.99990699999999999</v>
      </c>
      <c r="P39" s="5">
        <v>-0.75384195005925503</v>
      </c>
      <c r="Q39" s="5">
        <v>-0.57093562990802804</v>
      </c>
      <c r="R39" s="5">
        <v>0.94564537706669805</v>
      </c>
      <c r="S39" s="1">
        <v>0.1050461</v>
      </c>
      <c r="T39" s="1">
        <v>1.276173</v>
      </c>
      <c r="U39" s="1">
        <v>0.41836667621661899</v>
      </c>
      <c r="V39" s="1">
        <v>-0.41836667621661899</v>
      </c>
      <c r="W39">
        <v>16</v>
      </c>
      <c r="X39">
        <v>1</v>
      </c>
      <c r="Y39">
        <v>1</v>
      </c>
      <c r="Z39">
        <v>2</v>
      </c>
      <c r="AA39">
        <v>0.01</v>
      </c>
      <c r="AB39">
        <v>8</v>
      </c>
      <c r="AC39">
        <v>15000</v>
      </c>
      <c r="AD39">
        <v>594.29999999999995</v>
      </c>
    </row>
    <row r="40" spans="1:30" hidden="1" x14ac:dyDescent="0.3">
      <c r="A40">
        <v>1</v>
      </c>
      <c r="B40">
        <v>0</v>
      </c>
      <c r="C40">
        <v>0</v>
      </c>
      <c r="D40">
        <v>99</v>
      </c>
      <c r="E40" t="s">
        <v>18</v>
      </c>
      <c r="F40" s="3">
        <v>-0.39580043246682001</v>
      </c>
      <c r="G40" s="3">
        <v>0.16185105293874</v>
      </c>
      <c r="H40" s="3">
        <v>0.42761401482914602</v>
      </c>
      <c r="I40" s="1">
        <v>1.5904489999999999E-5</v>
      </c>
      <c r="J40" s="1"/>
      <c r="K40" s="1"/>
      <c r="L40" s="1"/>
      <c r="M40" s="1">
        <f t="shared" si="0"/>
        <v>-0.51803136223755208</v>
      </c>
      <c r="N40" s="1">
        <v>1.7842969999999999E-4</v>
      </c>
      <c r="O40" s="1">
        <v>0.99988600000000005</v>
      </c>
      <c r="P40" s="5">
        <v>-0.75384195005925503</v>
      </c>
      <c r="Q40" s="5">
        <v>-0.57093562990802804</v>
      </c>
      <c r="R40" s="5">
        <v>0.94564537706669805</v>
      </c>
      <c r="S40" s="1">
        <v>0.1050461</v>
      </c>
      <c r="T40" s="1">
        <v>0.86245819999999995</v>
      </c>
      <c r="U40" s="1">
        <v>0.41836667621661899</v>
      </c>
      <c r="V40" s="1">
        <v>-0.41836667621661899</v>
      </c>
      <c r="W40">
        <v>16</v>
      </c>
      <c r="X40">
        <v>1</v>
      </c>
      <c r="Y40">
        <v>1</v>
      </c>
      <c r="Z40">
        <v>2</v>
      </c>
      <c r="AA40">
        <v>0.01</v>
      </c>
      <c r="AB40">
        <v>8</v>
      </c>
      <c r="AC40">
        <v>15000</v>
      </c>
      <c r="AD40">
        <v>571.5</v>
      </c>
    </row>
    <row r="41" spans="1:30" hidden="1" x14ac:dyDescent="0.3">
      <c r="A41">
        <v>1.1000000000000001</v>
      </c>
      <c r="B41">
        <v>0</v>
      </c>
      <c r="C41">
        <v>0</v>
      </c>
      <c r="D41">
        <v>42</v>
      </c>
      <c r="E41" t="s">
        <v>18</v>
      </c>
      <c r="F41" s="3">
        <v>0.71890564638125098</v>
      </c>
      <c r="G41" s="3">
        <v>-1.06842598201517</v>
      </c>
      <c r="H41" s="3">
        <v>1.2877730418998199</v>
      </c>
      <c r="I41" s="1">
        <v>3.5244239999999999E-4</v>
      </c>
      <c r="J41" s="1"/>
      <c r="K41" s="1"/>
      <c r="L41" s="1"/>
      <c r="M41" s="1">
        <f t="shared" si="0"/>
        <v>0.58572237942848593</v>
      </c>
      <c r="N41" s="1">
        <v>7.4297570000000004E-3</v>
      </c>
      <c r="O41" s="1">
        <v>0.99253899999999995</v>
      </c>
      <c r="P41" s="5">
        <v>-0.70037773908069301</v>
      </c>
      <c r="Q41" s="5">
        <v>4.8437127047911602E-2</v>
      </c>
      <c r="R41" s="5">
        <v>0.70205066247133396</v>
      </c>
      <c r="S41" s="1">
        <v>8.9406239999999998E-2</v>
      </c>
      <c r="T41" s="1">
        <v>2.572508</v>
      </c>
      <c r="U41" s="1">
        <v>0.41836667621661899</v>
      </c>
      <c r="V41" s="1">
        <v>-0.41836667621661899</v>
      </c>
      <c r="W41">
        <v>16</v>
      </c>
      <c r="X41">
        <v>1</v>
      </c>
      <c r="Y41">
        <v>1</v>
      </c>
      <c r="Z41">
        <v>2</v>
      </c>
      <c r="AA41">
        <v>0.01</v>
      </c>
      <c r="AB41">
        <v>8</v>
      </c>
      <c r="AC41">
        <v>15000</v>
      </c>
      <c r="AD41">
        <v>569.29999999999995</v>
      </c>
    </row>
    <row r="42" spans="1:30" hidden="1" x14ac:dyDescent="0.3">
      <c r="A42">
        <v>1.1000000000000001</v>
      </c>
      <c r="B42">
        <v>0</v>
      </c>
      <c r="C42">
        <v>0</v>
      </c>
      <c r="D42">
        <v>45</v>
      </c>
      <c r="E42" t="s">
        <v>18</v>
      </c>
      <c r="F42" s="3">
        <v>0.458220440771819</v>
      </c>
      <c r="G42" s="3">
        <v>-0.56674443619317305</v>
      </c>
      <c r="H42" s="3">
        <v>0.728810831627137</v>
      </c>
      <c r="I42" s="1">
        <v>5.5294480000000003E-5</v>
      </c>
      <c r="J42" s="1"/>
      <c r="K42" s="1"/>
      <c r="L42" s="1"/>
      <c r="M42" s="1">
        <f t="shared" si="0"/>
        <v>2.6760169155803037E-2</v>
      </c>
      <c r="N42" s="1">
        <v>8.671897E-4</v>
      </c>
      <c r="O42" s="1">
        <v>0.99944699999999997</v>
      </c>
      <c r="P42" s="5">
        <v>-0.70037773908069301</v>
      </c>
      <c r="Q42" s="5">
        <v>4.8437127047911602E-2</v>
      </c>
      <c r="R42" s="5">
        <v>0.70205066247133396</v>
      </c>
      <c r="S42" s="1">
        <v>8.9406239999999998E-2</v>
      </c>
      <c r="T42" s="1">
        <v>1.8685149999999999</v>
      </c>
      <c r="U42" s="1">
        <v>0.41836667621661899</v>
      </c>
      <c r="V42" s="1">
        <v>-0.41836667621661899</v>
      </c>
      <c r="W42">
        <v>16</v>
      </c>
      <c r="X42">
        <v>1</v>
      </c>
      <c r="Y42">
        <v>1</v>
      </c>
      <c r="Z42">
        <v>2</v>
      </c>
      <c r="AA42">
        <v>0.01</v>
      </c>
      <c r="AB42">
        <v>8</v>
      </c>
      <c r="AC42">
        <v>15000</v>
      </c>
      <c r="AD42">
        <v>577.79999999999995</v>
      </c>
    </row>
    <row r="43" spans="1:30" x14ac:dyDescent="0.3">
      <c r="A43">
        <v>1.1000000000000001</v>
      </c>
      <c r="B43">
        <v>0</v>
      </c>
      <c r="C43">
        <v>0</v>
      </c>
      <c r="D43">
        <v>99</v>
      </c>
      <c r="E43" t="s">
        <v>26</v>
      </c>
      <c r="F43" s="3">
        <v>0.43364537005112902</v>
      </c>
      <c r="G43" s="3">
        <v>-0.24772389970912501</v>
      </c>
      <c r="H43" s="3">
        <v>0.499415095340417</v>
      </c>
      <c r="I43" s="1">
        <v>1.947085E-5</v>
      </c>
      <c r="J43" s="1"/>
      <c r="K43" s="1"/>
      <c r="L43" s="1"/>
      <c r="M43" s="1">
        <f t="shared" si="0"/>
        <v>-0.20263556713091696</v>
      </c>
      <c r="N43" s="1">
        <v>1.9880749999999999E-4</v>
      </c>
      <c r="O43" s="1">
        <v>0.99987099999999995</v>
      </c>
      <c r="P43" s="5">
        <v>-0.70037773908069301</v>
      </c>
      <c r="Q43" s="5">
        <v>4.8437127047911602E-2</v>
      </c>
      <c r="R43" s="5">
        <v>0.70205066247133396</v>
      </c>
      <c r="S43" s="1">
        <v>8.9406239999999998E-2</v>
      </c>
      <c r="T43" s="1">
        <v>1.669478</v>
      </c>
      <c r="U43" s="1">
        <v>0.41836667621661899</v>
      </c>
      <c r="V43" s="1">
        <v>-0.41836667621661899</v>
      </c>
      <c r="W43">
        <v>16</v>
      </c>
      <c r="X43">
        <v>1</v>
      </c>
      <c r="Y43">
        <v>1</v>
      </c>
      <c r="Z43">
        <v>2</v>
      </c>
      <c r="AA43">
        <v>0.01</v>
      </c>
      <c r="AB43">
        <v>8</v>
      </c>
      <c r="AC43">
        <v>15000</v>
      </c>
      <c r="AD43">
        <v>567.6</v>
      </c>
    </row>
    <row r="44" spans="1:30" x14ac:dyDescent="0.3">
      <c r="A44">
        <v>2</v>
      </c>
      <c r="B44">
        <v>0</v>
      </c>
      <c r="C44">
        <v>0</v>
      </c>
      <c r="D44">
        <v>42</v>
      </c>
      <c r="E44" t="s">
        <v>26</v>
      </c>
      <c r="F44" s="3">
        <v>-0.27992729188315002</v>
      </c>
      <c r="G44" s="3">
        <v>0.12574003548159199</v>
      </c>
      <c r="H44" s="3">
        <v>0.306871056412862</v>
      </c>
      <c r="I44" s="1">
        <v>1.4754719999999999E-5</v>
      </c>
      <c r="J44" s="1"/>
      <c r="K44" s="1"/>
      <c r="L44" s="1"/>
      <c r="M44" s="1">
        <f t="shared" si="0"/>
        <v>-1.281747772931958</v>
      </c>
      <c r="N44" s="1">
        <v>2.605253E-4</v>
      </c>
      <c r="O44" s="1">
        <v>0.99976299999999996</v>
      </c>
      <c r="P44" s="5">
        <v>1.5801800383909099</v>
      </c>
      <c r="Q44" s="5">
        <v>0.16352624015679401</v>
      </c>
      <c r="R44" s="5">
        <v>1.58861882934482</v>
      </c>
      <c r="S44" s="1">
        <v>2.6561689999999999E-2</v>
      </c>
      <c r="T44" s="1">
        <v>1.171138</v>
      </c>
      <c r="U44" s="1">
        <v>0.41836667621661899</v>
      </c>
      <c r="V44" s="1">
        <v>-0.41836667621661899</v>
      </c>
      <c r="W44">
        <v>16</v>
      </c>
      <c r="X44">
        <v>1</v>
      </c>
      <c r="Y44">
        <v>1</v>
      </c>
      <c r="Z44">
        <v>2</v>
      </c>
      <c r="AA44">
        <v>0.01</v>
      </c>
      <c r="AB44">
        <v>8</v>
      </c>
      <c r="AC44">
        <v>15000</v>
      </c>
      <c r="AD44">
        <v>571.70000000000005</v>
      </c>
    </row>
    <row r="45" spans="1:30" hidden="1" x14ac:dyDescent="0.3">
      <c r="A45">
        <v>2</v>
      </c>
      <c r="B45">
        <v>0</v>
      </c>
      <c r="C45">
        <v>0</v>
      </c>
      <c r="D45">
        <v>45</v>
      </c>
      <c r="E45" t="s">
        <v>18</v>
      </c>
      <c r="F45" s="3">
        <v>-0.33105506082549102</v>
      </c>
      <c r="G45" s="3">
        <v>5.0014672478682902E-2</v>
      </c>
      <c r="H45" s="3">
        <v>0.33481176914994998</v>
      </c>
      <c r="I45" s="1">
        <v>1.4623999999999999E-5</v>
      </c>
      <c r="J45" s="1"/>
      <c r="K45" s="1"/>
      <c r="L45" s="1"/>
      <c r="M45" s="1">
        <f t="shared" si="0"/>
        <v>-1.2538070601948701</v>
      </c>
      <c r="N45" s="1">
        <v>4.0406680000000002E-4</v>
      </c>
      <c r="O45" s="1">
        <v>0.99980100000000005</v>
      </c>
      <c r="P45" s="5">
        <v>1.5801800383909099</v>
      </c>
      <c r="Q45" s="5">
        <v>0.16352624015679401</v>
      </c>
      <c r="R45" s="5">
        <v>1.58861882934482</v>
      </c>
      <c r="S45" s="1">
        <v>2.6561689999999999E-2</v>
      </c>
      <c r="T45" s="1">
        <v>1.2052</v>
      </c>
      <c r="U45" s="1">
        <v>0.41836667621661899</v>
      </c>
      <c r="V45" s="1">
        <v>-0.41836667621661899</v>
      </c>
      <c r="W45">
        <v>16</v>
      </c>
      <c r="X45">
        <v>1</v>
      </c>
      <c r="Y45">
        <v>1</v>
      </c>
      <c r="Z45">
        <v>2</v>
      </c>
      <c r="AA45">
        <v>0.01</v>
      </c>
      <c r="AB45">
        <v>8</v>
      </c>
      <c r="AC45">
        <v>15000</v>
      </c>
      <c r="AD45">
        <v>567.6</v>
      </c>
    </row>
    <row r="46" spans="1:30" hidden="1" x14ac:dyDescent="0.3">
      <c r="A46">
        <v>2</v>
      </c>
      <c r="B46">
        <v>0</v>
      </c>
      <c r="C46">
        <v>0</v>
      </c>
      <c r="D46">
        <v>99</v>
      </c>
      <c r="E46" t="s">
        <v>18</v>
      </c>
      <c r="F46" s="3">
        <v>-0.41630155072723501</v>
      </c>
      <c r="G46" s="3">
        <v>0.13287502594477099</v>
      </c>
      <c r="H46" s="3">
        <v>0.43699285309684899</v>
      </c>
      <c r="I46" s="1">
        <v>2.5091599999999999E-5</v>
      </c>
      <c r="J46" s="1"/>
      <c r="K46" s="1"/>
      <c r="L46" s="1"/>
      <c r="M46" s="1">
        <f t="shared" si="0"/>
        <v>-1.151625976247971</v>
      </c>
      <c r="N46" s="1">
        <v>2.9628929999999998E-4</v>
      </c>
      <c r="O46" s="1">
        <v>0.99970099999999995</v>
      </c>
      <c r="P46" s="5">
        <v>1.5801800383909099</v>
      </c>
      <c r="Q46" s="5">
        <v>0.16352624015679401</v>
      </c>
      <c r="R46" s="5">
        <v>1.58861882934482</v>
      </c>
      <c r="S46" s="1">
        <v>2.6561689999999999E-2</v>
      </c>
      <c r="T46" s="1">
        <v>1.2568889999999999</v>
      </c>
      <c r="U46" s="1">
        <v>0.41836667621661899</v>
      </c>
      <c r="V46" s="1">
        <v>-0.41836667621661899</v>
      </c>
      <c r="W46">
        <v>16</v>
      </c>
      <c r="X46">
        <v>1</v>
      </c>
      <c r="Y46">
        <v>1</v>
      </c>
      <c r="Z46">
        <v>2</v>
      </c>
      <c r="AA46">
        <v>0.01</v>
      </c>
      <c r="AB46">
        <v>8</v>
      </c>
      <c r="AC46">
        <v>15000</v>
      </c>
      <c r="AD46">
        <v>559.79999999999995</v>
      </c>
    </row>
    <row r="47" spans="1:30" x14ac:dyDescent="0.3">
      <c r="A47">
        <v>3</v>
      </c>
      <c r="B47">
        <v>0</v>
      </c>
      <c r="C47">
        <v>0</v>
      </c>
      <c r="D47">
        <v>42</v>
      </c>
      <c r="E47" t="s">
        <v>26</v>
      </c>
      <c r="F47" s="3">
        <v>0.44467422076545299</v>
      </c>
      <c r="G47" s="3">
        <v>-0.28806377427037899</v>
      </c>
      <c r="H47" s="3">
        <v>0.52982629291142103</v>
      </c>
      <c r="I47" s="1">
        <v>4.128381E-5</v>
      </c>
      <c r="J47" s="1"/>
      <c r="K47" s="1"/>
      <c r="L47" s="1"/>
      <c r="M47" s="1">
        <f t="shared" si="0"/>
        <v>-1.2800812362153591</v>
      </c>
      <c r="N47" s="1">
        <v>5.4041460000000001E-4</v>
      </c>
      <c r="O47" s="1">
        <v>0.99931599999999998</v>
      </c>
      <c r="P47" s="5">
        <v>1.55145936702982</v>
      </c>
      <c r="Q47" s="5">
        <v>-0.93206174497467897</v>
      </c>
      <c r="R47" s="5">
        <v>1.8099075291267801</v>
      </c>
      <c r="S47" s="1">
        <v>9.7190530000000001E-3</v>
      </c>
      <c r="T47" s="1">
        <v>0.70750040000000003</v>
      </c>
      <c r="U47" s="1">
        <v>0.41836667621661899</v>
      </c>
      <c r="V47" s="1">
        <v>-0.41836667621661899</v>
      </c>
      <c r="W47">
        <v>16</v>
      </c>
      <c r="X47">
        <v>1</v>
      </c>
      <c r="Y47">
        <v>1</v>
      </c>
      <c r="Z47">
        <v>2</v>
      </c>
      <c r="AA47">
        <v>0.01</v>
      </c>
      <c r="AB47">
        <v>8</v>
      </c>
      <c r="AC47">
        <v>15000</v>
      </c>
      <c r="AD47">
        <v>569</v>
      </c>
    </row>
    <row r="48" spans="1:30" hidden="1" x14ac:dyDescent="0.3">
      <c r="A48">
        <v>3</v>
      </c>
      <c r="B48">
        <v>0</v>
      </c>
      <c r="C48">
        <v>0</v>
      </c>
      <c r="D48">
        <v>45</v>
      </c>
      <c r="E48" t="s">
        <v>18</v>
      </c>
      <c r="F48" s="3">
        <v>0.29923569080071399</v>
      </c>
      <c r="G48" s="3">
        <v>-0.109806757821241</v>
      </c>
      <c r="H48" s="3">
        <v>0.31874680031679198</v>
      </c>
      <c r="I48" s="1">
        <v>2.0681250000000001E-5</v>
      </c>
      <c r="J48" s="1"/>
      <c r="K48" s="1"/>
      <c r="L48" s="1"/>
      <c r="M48" s="1">
        <f t="shared" si="0"/>
        <v>-1.4911607288099882</v>
      </c>
      <c r="N48" s="1">
        <v>6.8454150000000005E-4</v>
      </c>
      <c r="O48" s="1">
        <v>0.99955700000000003</v>
      </c>
      <c r="P48" s="5">
        <v>1.55145936702982</v>
      </c>
      <c r="Q48" s="5">
        <v>-0.93206174497467897</v>
      </c>
      <c r="R48" s="5">
        <v>1.8099075291267801</v>
      </c>
      <c r="S48" s="1">
        <v>9.7190530000000001E-3</v>
      </c>
      <c r="T48" s="1">
        <v>0.82769669999999995</v>
      </c>
      <c r="U48" s="1">
        <v>0.41836667621661899</v>
      </c>
      <c r="V48" s="1">
        <v>-0.41836667621661899</v>
      </c>
      <c r="W48">
        <v>16</v>
      </c>
      <c r="X48">
        <v>1</v>
      </c>
      <c r="Y48">
        <v>1</v>
      </c>
      <c r="Z48">
        <v>2</v>
      </c>
      <c r="AA48">
        <v>0.01</v>
      </c>
      <c r="AB48">
        <v>8</v>
      </c>
      <c r="AC48">
        <v>15000</v>
      </c>
      <c r="AD48">
        <v>561.20000000000005</v>
      </c>
    </row>
    <row r="49" spans="1:30" hidden="1" x14ac:dyDescent="0.3">
      <c r="A49">
        <v>3</v>
      </c>
      <c r="B49">
        <v>0</v>
      </c>
      <c r="C49">
        <v>0</v>
      </c>
      <c r="D49">
        <v>99</v>
      </c>
      <c r="E49" t="s">
        <v>18</v>
      </c>
      <c r="F49" s="3">
        <v>0.97432581904182802</v>
      </c>
      <c r="G49" s="3">
        <v>-3.1801410699635899</v>
      </c>
      <c r="H49" s="3">
        <v>3.3260499134139101</v>
      </c>
      <c r="I49" s="1">
        <v>5.0003020000000001E-4</v>
      </c>
      <c r="J49" s="1"/>
      <c r="K49" s="1"/>
      <c r="L49" s="1"/>
      <c r="M49" s="1">
        <f t="shared" si="0"/>
        <v>1.51614238428713</v>
      </c>
      <c r="N49" s="1">
        <v>2.425782E-3</v>
      </c>
      <c r="O49" s="1">
        <v>0.99782300000000002</v>
      </c>
      <c r="P49" s="5">
        <v>1.55145936702982</v>
      </c>
      <c r="Q49" s="5">
        <v>-0.93206174497467897</v>
      </c>
      <c r="R49" s="5">
        <v>1.8099075291267801</v>
      </c>
      <c r="S49" s="1">
        <v>9.7190530000000001E-3</v>
      </c>
      <c r="T49" s="1">
        <v>1.2823739999999999</v>
      </c>
      <c r="U49" s="1">
        <v>0.41836667621661899</v>
      </c>
      <c r="V49" s="1">
        <v>-0.41836667621661899</v>
      </c>
      <c r="W49">
        <v>16</v>
      </c>
      <c r="X49">
        <v>1</v>
      </c>
      <c r="Y49">
        <v>1</v>
      </c>
      <c r="Z49">
        <v>2</v>
      </c>
      <c r="AA49">
        <v>0.01</v>
      </c>
      <c r="AB49">
        <v>8</v>
      </c>
      <c r="AC49">
        <v>15000</v>
      </c>
      <c r="AD49">
        <v>577.5</v>
      </c>
    </row>
    <row r="50" spans="1:30" x14ac:dyDescent="0.3">
      <c r="A50">
        <v>4</v>
      </c>
      <c r="B50">
        <v>0</v>
      </c>
      <c r="C50">
        <v>0</v>
      </c>
      <c r="D50">
        <v>42</v>
      </c>
      <c r="E50" t="s">
        <v>26</v>
      </c>
      <c r="F50" s="3">
        <v>8.9165534081367695E-2</v>
      </c>
      <c r="G50" s="3">
        <v>-0.12134322732285099</v>
      </c>
      <c r="H50" s="3">
        <v>0.150581111980024</v>
      </c>
      <c r="I50" s="1">
        <v>8.5298420000000008E-6</v>
      </c>
      <c r="J50" s="1"/>
      <c r="K50" s="1"/>
      <c r="L50" s="1"/>
      <c r="M50" s="1">
        <f t="shared" si="0"/>
        <v>-1.537312238142396</v>
      </c>
      <c r="N50" s="1">
        <v>2.982808E-4</v>
      </c>
      <c r="O50" s="1">
        <v>0.999668</v>
      </c>
      <c r="P50" s="5">
        <v>1.00377133088147</v>
      </c>
      <c r="Q50" s="5">
        <v>-1.3569919221159401</v>
      </c>
      <c r="R50" s="5">
        <v>1.68789335012242</v>
      </c>
      <c r="S50" s="1">
        <v>5.3214699999999997E-2</v>
      </c>
      <c r="T50" s="1">
        <v>0.91078800000000004</v>
      </c>
      <c r="U50" s="1">
        <v>0.41836667621661899</v>
      </c>
      <c r="V50" s="1">
        <v>-0.41836667621661899</v>
      </c>
      <c r="W50">
        <v>16</v>
      </c>
      <c r="X50">
        <v>1</v>
      </c>
      <c r="Y50">
        <v>1</v>
      </c>
      <c r="Z50">
        <v>2</v>
      </c>
      <c r="AA50">
        <v>0.01</v>
      </c>
      <c r="AB50">
        <v>8</v>
      </c>
      <c r="AC50">
        <v>15000</v>
      </c>
      <c r="AD50">
        <v>637.5</v>
      </c>
    </row>
    <row r="51" spans="1:30" hidden="1" x14ac:dyDescent="0.3">
      <c r="A51">
        <v>4</v>
      </c>
      <c r="B51">
        <v>0</v>
      </c>
      <c r="C51">
        <v>0</v>
      </c>
      <c r="D51">
        <v>45</v>
      </c>
      <c r="E51" t="s">
        <v>18</v>
      </c>
      <c r="F51" s="3">
        <v>0.190003751384313</v>
      </c>
      <c r="G51" s="3">
        <v>-7.5393716807126004E-2</v>
      </c>
      <c r="H51" s="3">
        <v>0.20441535674724901</v>
      </c>
      <c r="I51" s="1">
        <v>1.279146E-5</v>
      </c>
      <c r="J51" s="1"/>
      <c r="K51" s="1"/>
      <c r="L51" s="1"/>
      <c r="M51" s="1">
        <f t="shared" si="0"/>
        <v>-1.4834779933751709</v>
      </c>
      <c r="N51" s="1">
        <v>4.814951E-4</v>
      </c>
      <c r="O51" s="1">
        <v>0.99962099999999998</v>
      </c>
      <c r="P51" s="5">
        <v>1.00377133088147</v>
      </c>
      <c r="Q51" s="5">
        <v>-1.3569919221159401</v>
      </c>
      <c r="R51" s="5">
        <v>1.68789335012242</v>
      </c>
      <c r="S51" s="1">
        <v>5.3214699999999997E-2</v>
      </c>
      <c r="T51" s="1">
        <v>0.89942160000000004</v>
      </c>
      <c r="U51" s="1">
        <v>0.41836667621661899</v>
      </c>
      <c r="V51" s="1">
        <v>-0.41836667621661899</v>
      </c>
      <c r="W51">
        <v>16</v>
      </c>
      <c r="X51">
        <v>1</v>
      </c>
      <c r="Y51">
        <v>1</v>
      </c>
      <c r="Z51">
        <v>2</v>
      </c>
      <c r="AA51">
        <v>0.01</v>
      </c>
      <c r="AB51">
        <v>8</v>
      </c>
      <c r="AC51">
        <v>15000</v>
      </c>
      <c r="AD51">
        <v>613.70000000000005</v>
      </c>
    </row>
    <row r="52" spans="1:30" hidden="1" x14ac:dyDescent="0.3">
      <c r="A52">
        <v>4</v>
      </c>
      <c r="B52">
        <v>0</v>
      </c>
      <c r="C52">
        <v>0</v>
      </c>
      <c r="D52">
        <v>99</v>
      </c>
      <c r="E52" t="s">
        <v>18</v>
      </c>
      <c r="F52" s="3">
        <v>-0.114025896146698</v>
      </c>
      <c r="G52" s="3">
        <v>-0.132418384039168</v>
      </c>
      <c r="H52" s="3">
        <v>0.174747055550594</v>
      </c>
      <c r="I52" s="1">
        <v>2.1120209999999999E-5</v>
      </c>
      <c r="J52" s="1"/>
      <c r="K52" s="1"/>
      <c r="L52" s="1"/>
      <c r="M52" s="1">
        <f t="shared" si="0"/>
        <v>-1.5131462945718259</v>
      </c>
      <c r="N52" s="1">
        <v>1.244118E-3</v>
      </c>
      <c r="O52" s="1">
        <v>0.99865800000000005</v>
      </c>
      <c r="P52" s="5">
        <v>1.00377133088147</v>
      </c>
      <c r="Q52" s="5">
        <v>-1.3569919221159401</v>
      </c>
      <c r="R52" s="5">
        <v>1.68789335012242</v>
      </c>
      <c r="S52" s="1">
        <v>5.3214699999999997E-2</v>
      </c>
      <c r="T52" s="1">
        <v>0.98230510000000004</v>
      </c>
      <c r="U52" s="1">
        <v>0.41836667621661899</v>
      </c>
      <c r="V52" s="1">
        <v>-0.41836667621661899</v>
      </c>
      <c r="W52">
        <v>16</v>
      </c>
      <c r="X52">
        <v>1</v>
      </c>
      <c r="Y52">
        <v>1</v>
      </c>
      <c r="Z52">
        <v>2</v>
      </c>
      <c r="AA52">
        <v>0.01</v>
      </c>
      <c r="AB52">
        <v>8</v>
      </c>
      <c r="AC52">
        <v>15000</v>
      </c>
      <c r="AD52">
        <v>572.20000000000005</v>
      </c>
    </row>
    <row r="53" spans="1:30" hidden="1" x14ac:dyDescent="0.3">
      <c r="A53">
        <v>8</v>
      </c>
      <c r="B53">
        <v>0</v>
      </c>
      <c r="C53">
        <v>0</v>
      </c>
      <c r="D53">
        <v>42</v>
      </c>
      <c r="E53" t="s">
        <v>18</v>
      </c>
      <c r="F53" s="3">
        <v>0.17679566077806</v>
      </c>
      <c r="G53" s="3">
        <v>-0.113733920774976</v>
      </c>
      <c r="H53" s="3">
        <v>0.210219196090175</v>
      </c>
      <c r="I53" s="1">
        <v>3.6325339999999999E-5</v>
      </c>
      <c r="J53" s="1"/>
      <c r="K53" s="1"/>
      <c r="L53" s="1"/>
      <c r="M53" s="1">
        <f t="shared" si="0"/>
        <v>-1.038898304257005</v>
      </c>
      <c r="N53" s="1">
        <v>2.9669369999999998E-3</v>
      </c>
      <c r="O53" s="1">
        <v>0.99694300000000002</v>
      </c>
      <c r="P53" s="5">
        <v>-0.279896091354226</v>
      </c>
      <c r="Q53" s="5">
        <v>-1.21735479943943</v>
      </c>
      <c r="R53" s="5">
        <v>1.2491175003471799</v>
      </c>
      <c r="S53" s="1">
        <v>0.18083740000000001</v>
      </c>
      <c r="T53" s="1">
        <v>0.95618000000000003</v>
      </c>
      <c r="U53" s="1">
        <v>0.41836667621661899</v>
      </c>
      <c r="V53" s="1">
        <v>-0.41836667621661899</v>
      </c>
      <c r="W53">
        <v>16</v>
      </c>
      <c r="X53">
        <v>1</v>
      </c>
      <c r="Y53">
        <v>1</v>
      </c>
      <c r="Z53">
        <v>2</v>
      </c>
      <c r="AA53">
        <v>0.01</v>
      </c>
      <c r="AB53">
        <v>8</v>
      </c>
      <c r="AC53">
        <v>15000</v>
      </c>
      <c r="AD53">
        <v>566.1</v>
      </c>
    </row>
    <row r="54" spans="1:30" x14ac:dyDescent="0.3">
      <c r="A54">
        <v>8</v>
      </c>
      <c r="B54">
        <v>0</v>
      </c>
      <c r="C54">
        <v>0</v>
      </c>
      <c r="D54">
        <v>45</v>
      </c>
      <c r="E54" t="s">
        <v>26</v>
      </c>
      <c r="F54" s="3">
        <v>0.28774808947310299</v>
      </c>
      <c r="G54" s="3">
        <v>4.73333870163824E-2</v>
      </c>
      <c r="H54" s="3">
        <v>0.29161517882624599</v>
      </c>
      <c r="I54" s="1">
        <v>2.2044449999999999E-5</v>
      </c>
      <c r="J54" s="1"/>
      <c r="K54" s="1"/>
      <c r="L54" s="1"/>
      <c r="M54" s="1">
        <f t="shared" si="0"/>
        <v>-0.95750232152093395</v>
      </c>
      <c r="N54" s="1">
        <v>6.1093859999999999E-4</v>
      </c>
      <c r="O54" s="1">
        <v>0.99940200000000001</v>
      </c>
      <c r="P54" s="5">
        <v>-0.279896091354226</v>
      </c>
      <c r="Q54" s="5">
        <v>-1.21735479943943</v>
      </c>
      <c r="R54" s="5">
        <v>1.2491175003471799</v>
      </c>
      <c r="S54" s="1">
        <v>0.18083740000000001</v>
      </c>
      <c r="T54" s="1">
        <v>1.109774</v>
      </c>
      <c r="U54" s="1">
        <v>0.41836667621661899</v>
      </c>
      <c r="V54" s="1">
        <v>-0.41836667621661899</v>
      </c>
      <c r="W54">
        <v>16</v>
      </c>
      <c r="X54">
        <v>1</v>
      </c>
      <c r="Y54">
        <v>1</v>
      </c>
      <c r="Z54">
        <v>2</v>
      </c>
      <c r="AA54">
        <v>0.01</v>
      </c>
      <c r="AB54">
        <v>8</v>
      </c>
      <c r="AC54">
        <v>15000</v>
      </c>
      <c r="AD54">
        <v>562.9</v>
      </c>
    </row>
    <row r="55" spans="1:30" hidden="1" x14ac:dyDescent="0.3">
      <c r="A55">
        <v>8</v>
      </c>
      <c r="B55">
        <v>0</v>
      </c>
      <c r="C55">
        <v>0</v>
      </c>
      <c r="D55">
        <v>99</v>
      </c>
      <c r="E55" t="s">
        <v>18</v>
      </c>
      <c r="F55" s="3">
        <v>-7.2729668710166298E-2</v>
      </c>
      <c r="G55" s="3">
        <v>-0.226521050362959</v>
      </c>
      <c r="H55" s="3">
        <v>0.23791046838722499</v>
      </c>
      <c r="I55" s="1">
        <v>4.3861610000000001E-5</v>
      </c>
      <c r="J55" s="1"/>
      <c r="K55" s="1"/>
      <c r="L55" s="1"/>
      <c r="M55" s="1">
        <f t="shared" si="0"/>
        <v>-1.0112070319599549</v>
      </c>
      <c r="N55" s="1">
        <v>3.086975E-3</v>
      </c>
      <c r="O55" s="1">
        <v>0.99669200000000002</v>
      </c>
      <c r="P55" s="5">
        <v>-0.279896091354226</v>
      </c>
      <c r="Q55" s="5">
        <v>-1.21735479943943</v>
      </c>
      <c r="R55" s="5">
        <v>1.2491175003471799</v>
      </c>
      <c r="S55" s="1">
        <v>0.18083740000000001</v>
      </c>
      <c r="T55" s="1">
        <v>0.81037979999999998</v>
      </c>
      <c r="U55" s="1">
        <v>0.41836667621661899</v>
      </c>
      <c r="V55" s="1">
        <v>-0.41836667621661899</v>
      </c>
      <c r="W55">
        <v>16</v>
      </c>
      <c r="X55">
        <v>1</v>
      </c>
      <c r="Y55">
        <v>1</v>
      </c>
      <c r="Z55">
        <v>2</v>
      </c>
      <c r="AA55">
        <v>0.01</v>
      </c>
      <c r="AB55">
        <v>8</v>
      </c>
      <c r="AC55">
        <v>15000</v>
      </c>
      <c r="AD55">
        <v>597</v>
      </c>
    </row>
  </sheetData>
  <autoFilter ref="A1:AD55" xr:uid="{2177BBA0-0265-4ED1-84CC-3F7871A06E9C}">
    <filterColumn colId="4">
      <filters>
        <filter val="Y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Omega is 2</vt:lpstr>
      <vt:lpstr>nn_loop_startfinish0</vt:lpstr>
      <vt:lpstr>nn_loop_startfinish0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Quilter</dc:creator>
  <cp:lastModifiedBy>Tom Quilter</cp:lastModifiedBy>
  <dcterms:created xsi:type="dcterms:W3CDTF">2026-04-12T12:10:34Z</dcterms:created>
  <dcterms:modified xsi:type="dcterms:W3CDTF">2026-04-18T22:31:22Z</dcterms:modified>
</cp:coreProperties>
</file>