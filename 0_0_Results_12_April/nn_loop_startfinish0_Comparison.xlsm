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06888A17-13E0-463F-83C7-3C461965A39D}" xr6:coauthVersionLast="47" xr6:coauthVersionMax="47" xr10:uidLastSave="{00000000-0000-0000-0000-000000000000}"/>
  <bookViews>
    <workbookView xWindow="-2880" yWindow="-17388" windowWidth="30936" windowHeight="16896" xr2:uid="{0214F829-416B-417F-A884-792D136A6FF9}"/>
  </bookViews>
  <sheets>
    <sheet name="Omega is 2" sheetId="3" r:id="rId1"/>
    <sheet name="nn_loop_startfinish0 (2)" sheetId="2" r:id="rId2"/>
    <sheet name="nn_loop_startfinish0" sheetId="1" r:id="rId3"/>
  </sheets>
  <definedNames>
    <definedName name="_xlnm._FilterDatabase" localSheetId="1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M9" i="3"/>
  <c r="M10" i="3"/>
  <c r="M11" i="3"/>
  <c r="M12" i="3"/>
  <c r="M13" i="3"/>
  <c r="M6" i="3"/>
  <c r="M7" i="3"/>
  <c r="M5" i="3"/>
  <c r="M4" i="3"/>
  <c r="J5" i="3"/>
  <c r="J6" i="3"/>
  <c r="J7" i="3"/>
  <c r="J8" i="3"/>
  <c r="J9" i="3"/>
  <c r="J10" i="3"/>
  <c r="J11" i="3"/>
  <c r="J12" i="3"/>
  <c r="J13" i="3"/>
  <c r="I5" i="3"/>
  <c r="I6" i="3"/>
  <c r="I7" i="3"/>
  <c r="I8" i="3"/>
  <c r="I9" i="3"/>
  <c r="I10" i="3"/>
  <c r="I11" i="3"/>
  <c r="I12" i="3"/>
  <c r="I13" i="3"/>
  <c r="J4" i="3"/>
  <c r="H8" i="3"/>
  <c r="K5" i="3"/>
  <c r="L5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L4" i="3"/>
  <c r="K4" i="3"/>
  <c r="H9" i="3"/>
  <c r="H10" i="3"/>
  <c r="H11" i="3"/>
  <c r="H12" i="3"/>
  <c r="H13" i="3"/>
  <c r="H5" i="3"/>
  <c r="H6" i="3"/>
  <c r="H7" i="3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AA31" i="3" l="1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sharedStrings.xml><?xml version="1.0" encoding="utf-8"?>
<sst xmlns="http://schemas.openxmlformats.org/spreadsheetml/2006/main" count="263" uniqueCount="61">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</sst>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000"/>
    <numFmt numFmtId="168" formatCode="0.0000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9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37" borderId="0" xfId="0" applyNumberForma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179900</xdr:colOff>
      <xdr:row>7</xdr:row>
      <xdr:rowOff>120264</xdr:rowOff>
    </xdr:from>
    <xdr:to>
      <xdr:col>35</xdr:col>
      <xdr:colOff>886903</xdr:colOff>
      <xdr:row>21</xdr:row>
      <xdr:rowOff>131694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abSelected="1" topLeftCell="E1" zoomScale="115" zoomScaleNormal="115" workbookViewId="0">
      <selection activeCell="M10" sqref="M10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I3" s="17" t="s">
        <v>58</v>
      </c>
      <c r="L3" s="17" t="s">
        <v>59</v>
      </c>
      <c r="N3" s="17" t="s">
        <v>58</v>
      </c>
      <c r="O3" s="17" t="s">
        <v>57</v>
      </c>
      <c r="P3" s="17" t="s">
        <v>59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8" si="1">S5-V5</f>
        <v>-1.3481898939898818E-4</v>
      </c>
      <c r="I5" s="38">
        <f t="shared" ref="I5:I7" si="2">T5-W5</f>
        <v>-3.0889199352901464E-4</v>
      </c>
      <c r="J5" s="31">
        <f t="shared" ref="J5:J14" si="3">AVERAGE(H5:I5)</f>
        <v>-2.2185549146400141E-4</v>
      </c>
      <c r="K5" s="38">
        <f t="shared" ref="K5:K13" si="4">S5-AG5</f>
        <v>2.5973623233976895E-5</v>
      </c>
      <c r="L5" s="38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38">
        <f t="shared" si="2"/>
        <v>-9.3482502212319796E-3</v>
      </c>
      <c r="J6" s="31">
        <f t="shared" si="3"/>
        <v>-5.159308245065497E-3</v>
      </c>
      <c r="K6" s="38">
        <f t="shared" si="4"/>
        <v>6.9751145884490162E-3</v>
      </c>
      <c r="L6" s="38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38">
        <f t="shared" si="2"/>
        <v>-2.9717685689964024E-2</v>
      </c>
      <c r="J7" s="31">
        <f t="shared" si="3"/>
        <v>-1.8327300084743009E-2</v>
      </c>
      <c r="K7" s="38">
        <f t="shared" si="4"/>
        <v>5.4026693258464986E-2</v>
      </c>
      <c r="L7" s="38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-8.0667661074960151E-3</v>
      </c>
      <c r="I8" s="38">
        <f>T8+W8</f>
        <v>-4.6108335459918992E-2</v>
      </c>
      <c r="J8" s="31">
        <f t="shared" si="3"/>
        <v>-2.7087550783707504E-2</v>
      </c>
      <c r="K8" s="38">
        <f t="shared" si="4"/>
        <v>-0.14482747902228199</v>
      </c>
      <c r="L8" s="38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0.85387876610749602</v>
      </c>
      <c r="R8" s="36">
        <f t="shared" si="9"/>
        <v>-0.78154566454008101</v>
      </c>
      <c r="S8" s="25">
        <v>0.422906</v>
      </c>
      <c r="T8" s="25">
        <v>-0.413827</v>
      </c>
      <c r="U8" s="26">
        <v>0.59169499999999997</v>
      </c>
      <c r="V8" s="3">
        <v>-0.43097276610749602</v>
      </c>
      <c r="W8" s="3">
        <v>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38">
        <f>T9-W9</f>
        <v>-6.9152274757150023E-2</v>
      </c>
      <c r="J9" s="31">
        <f t="shared" si="3"/>
        <v>-3.6732833904209006E-2</v>
      </c>
      <c r="K9" s="38">
        <f t="shared" si="4"/>
        <v>0.36277871944921547</v>
      </c>
      <c r="L9" s="38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38">
        <f t="shared" ref="I10:I13" si="16">T10-W10</f>
        <v>-8.6629649314890977E-2</v>
      </c>
      <c r="J10" s="31">
        <f t="shared" si="3"/>
        <v>-4.5948184971373485E-2</v>
      </c>
      <c r="K10" s="38">
        <f t="shared" si="4"/>
        <v>-0.47763406431617295</v>
      </c>
      <c r="L10" s="38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 t="shared" si="15"/>
        <v>0.87107448655430808</v>
      </c>
      <c r="I11" s="38">
        <f t="shared" si="16"/>
        <v>-0.75453065431637101</v>
      </c>
      <c r="J11" s="31">
        <f t="shared" si="3"/>
        <v>5.8271916118968536E-2</v>
      </c>
      <c r="K11" s="38">
        <f t="shared" si="4"/>
        <v>0.78890325657994609</v>
      </c>
      <c r="L11" s="38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0.87107448655430808</v>
      </c>
      <c r="R11" s="36">
        <f>T11-W11</f>
        <v>-0.75453065431637101</v>
      </c>
      <c r="S11">
        <v>0.42971571055923502</v>
      </c>
      <c r="T11">
        <v>-0.40701764187400502</v>
      </c>
      <c r="U11">
        <v>0.59187748115476002</v>
      </c>
      <c r="V11" s="3">
        <v>-0.441358775995073</v>
      </c>
      <c r="W11" s="3">
        <v>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 t="shared" si="15"/>
        <v>0.86504763238912996</v>
      </c>
      <c r="I12" s="38">
        <f t="shared" si="16"/>
        <v>-0.68273136885670693</v>
      </c>
      <c r="J12" s="31">
        <f t="shared" si="3"/>
        <v>9.1158131766211514E-2</v>
      </c>
      <c r="K12" s="38">
        <f t="shared" si="4"/>
        <v>-0.72763073535445111</v>
      </c>
      <c r="L12" s="38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0.86504763238912996</v>
      </c>
      <c r="R12" s="36">
        <f t="shared" ref="R12:R13" si="20">T12-W12</f>
        <v>-0.68273136885670693</v>
      </c>
      <c r="S12">
        <v>0.43198551742775898</v>
      </c>
      <c r="T12">
        <v>-0.404747835005482</v>
      </c>
      <c r="U12">
        <v>0.59197322338848501</v>
      </c>
      <c r="V12" s="3">
        <v>-0.43306211496137098</v>
      </c>
      <c r="W12" s="3">
        <v>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-0.44753086447989698</v>
      </c>
      <c r="W15" s="3">
        <v>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-0.27992729188315002</v>
      </c>
      <c r="W18" s="3">
        <v>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AD54" sqref="A1:AD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zoomScale="115" zoomScaleNormal="115" workbookViewId="0">
      <selection activeCell="H26" sqref="H26:H28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7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7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7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Omega is 2</vt:lpstr>
      <vt:lpstr>nn_loop_startfinish0 (2)</vt:lpstr>
      <vt:lpstr>nn_loop_startfinish0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2026-04-18T13:59:33Z</dcterms:modified>
</cp:coreProperties>
</file>