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0_0_Results_12_April\"/>
    </mc:Choice>
  </mc:AlternateContent>
  <xr:revisionPtr revIDLastSave="0" documentId="13_ncr:1_{494E8D9D-50CF-4A7B-ABFB-F920FAE6C501}" xr6:coauthVersionLast="47" xr6:coauthVersionMax="47" xr10:uidLastSave="{00000000-0000-0000-0000-000000000000}"/>
  <bookViews>
    <workbookView xWindow="-108" yWindow="-108" windowWidth="23256" windowHeight="12576" activeTab="2" xr2:uid="{0214F829-416B-417F-A884-792D136A6FF9}"/>
  </bookViews>
  <sheets>
    <sheet name="Omega is 2" sheetId="3" r:id="rId1"/>
    <sheet name="nn_loop_startfinish0 (2)" sheetId="2" r:id="rId2"/>
    <sheet name="nn_loop_startfinish0" sheetId="1" r:id="rId3"/>
  </sheets>
  <definedNames>
    <definedName name="_xlnm._FilterDatabase" localSheetId="1" hidden="1">'nn_loop_startfinish0 (2)'!$A$1:$AD$55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" i="3" l="1"/>
  <c r="L11" i="3"/>
  <c r="K12" i="3"/>
  <c r="L12" i="3"/>
  <c r="K13" i="3"/>
  <c r="L13" i="3"/>
  <c r="K9" i="3"/>
  <c r="L9" i="3"/>
  <c r="K10" i="3"/>
  <c r="L10" i="3"/>
  <c r="K5" i="3"/>
  <c r="L5" i="3"/>
  <c r="K6" i="3"/>
  <c r="L6" i="3"/>
  <c r="K7" i="3"/>
  <c r="L7" i="3"/>
  <c r="K8" i="3"/>
  <c r="L8" i="3"/>
  <c r="L4" i="3"/>
  <c r="K4" i="3"/>
  <c r="H9" i="3"/>
  <c r="I9" i="3"/>
  <c r="J9" i="3"/>
  <c r="H10" i="3"/>
  <c r="I10" i="3"/>
  <c r="J10" i="3"/>
  <c r="H11" i="3"/>
  <c r="I11" i="3"/>
  <c r="J11" i="3"/>
  <c r="H12" i="3"/>
  <c r="I12" i="3"/>
  <c r="J12" i="3"/>
  <c r="H13" i="3"/>
  <c r="I13" i="3"/>
  <c r="J13" i="3"/>
  <c r="H14" i="3"/>
  <c r="I14" i="3"/>
  <c r="J14" i="3"/>
  <c r="H15" i="3"/>
  <c r="I15" i="3"/>
  <c r="J15" i="3"/>
  <c r="H16" i="3"/>
  <c r="I16" i="3"/>
  <c r="J16" i="3"/>
  <c r="H17" i="3"/>
  <c r="I17" i="3"/>
  <c r="J17" i="3"/>
  <c r="H18" i="3"/>
  <c r="I18" i="3"/>
  <c r="J18" i="3"/>
  <c r="H19" i="3"/>
  <c r="I19" i="3"/>
  <c r="J19" i="3"/>
  <c r="H20" i="3"/>
  <c r="I20" i="3"/>
  <c r="J20" i="3"/>
  <c r="H21" i="3"/>
  <c r="I21" i="3"/>
  <c r="J21" i="3"/>
  <c r="H5" i="3"/>
  <c r="I5" i="3"/>
  <c r="J5" i="3"/>
  <c r="H6" i="3"/>
  <c r="I6" i="3"/>
  <c r="J6" i="3"/>
  <c r="H7" i="3"/>
  <c r="I7" i="3"/>
  <c r="J7" i="3"/>
  <c r="H8" i="3"/>
  <c r="I8" i="3"/>
  <c r="J8" i="3"/>
  <c r="J4" i="3"/>
  <c r="I4" i="3"/>
  <c r="H4" i="3"/>
  <c r="Z26" i="3"/>
  <c r="V26" i="3" s="1"/>
  <c r="Z27" i="3"/>
  <c r="AA27" i="3" s="1"/>
  <c r="Z28" i="3"/>
  <c r="AA28" i="3" s="1"/>
  <c r="Z29" i="3"/>
  <c r="Z30" i="3"/>
  <c r="AA30" i="3" s="1"/>
  <c r="Z31" i="3"/>
  <c r="V31" i="3" s="1"/>
  <c r="Z32" i="3"/>
  <c r="Z33" i="3"/>
  <c r="AA33" i="3" s="1"/>
  <c r="Z34" i="3"/>
  <c r="V34" i="3" s="1"/>
  <c r="Z35" i="3"/>
  <c r="AA35" i="3" s="1"/>
  <c r="Z36" i="3"/>
  <c r="AA36" i="3" s="1"/>
  <c r="Z37" i="3"/>
  <c r="V37" i="3" s="1"/>
  <c r="Z38" i="3"/>
  <c r="V38" i="3" s="1"/>
  <c r="Z39" i="3"/>
  <c r="AA39" i="3" s="1"/>
  <c r="Z40" i="3"/>
  <c r="Z41" i="3"/>
  <c r="AA41" i="3" s="1"/>
  <c r="Z42" i="3"/>
  <c r="V42" i="3" s="1"/>
  <c r="T26" i="3"/>
  <c r="P26" i="3" s="1"/>
  <c r="T27" i="3"/>
  <c r="P27" i="3" s="1"/>
  <c r="T28" i="3"/>
  <c r="P28" i="3" s="1"/>
  <c r="T29" i="3"/>
  <c r="P29" i="3" s="1"/>
  <c r="T30" i="3"/>
  <c r="P30" i="3" s="1"/>
  <c r="T31" i="3"/>
  <c r="T32" i="3"/>
  <c r="P32" i="3" s="1"/>
  <c r="T33" i="3"/>
  <c r="P33" i="3" s="1"/>
  <c r="T34" i="3"/>
  <c r="P34" i="3" s="1"/>
  <c r="T35" i="3"/>
  <c r="P35" i="3" s="1"/>
  <c r="T36" i="3"/>
  <c r="P36" i="3" s="1"/>
  <c r="T37" i="3"/>
  <c r="P37" i="3" s="1"/>
  <c r="T38" i="3"/>
  <c r="P38" i="3" s="1"/>
  <c r="T39" i="3"/>
  <c r="P39" i="3" s="1"/>
  <c r="T40" i="3"/>
  <c r="P40" i="3" s="1"/>
  <c r="T41" i="3"/>
  <c r="P41" i="3" s="1"/>
  <c r="T42" i="3"/>
  <c r="P42" i="3" s="1"/>
  <c r="T25" i="3"/>
  <c r="P25" i="3" s="1"/>
  <c r="Z25" i="3"/>
  <c r="AC25" i="3" s="1"/>
  <c r="AI25" i="3"/>
  <c r="AG25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G6" i="3"/>
  <c r="G5" i="3"/>
  <c r="G4" i="3"/>
  <c r="F5" i="3"/>
  <c r="F4" i="3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23" i="1"/>
  <c r="M24" i="1"/>
  <c r="M25" i="1"/>
  <c r="M26" i="1"/>
  <c r="M27" i="1"/>
  <c r="M28" i="1"/>
  <c r="M29" i="1"/>
  <c r="M30" i="1"/>
  <c r="M31" i="1"/>
  <c r="M32" i="1"/>
  <c r="M33" i="1"/>
  <c r="M14" i="1"/>
  <c r="M15" i="1"/>
  <c r="M16" i="1"/>
  <c r="M17" i="1"/>
  <c r="M18" i="1"/>
  <c r="M19" i="1"/>
  <c r="M20" i="1"/>
  <c r="M21" i="1"/>
  <c r="M22" i="1"/>
  <c r="M3" i="1"/>
  <c r="M4" i="1"/>
  <c r="M5" i="1"/>
  <c r="M6" i="1"/>
  <c r="M7" i="1"/>
  <c r="M8" i="1"/>
  <c r="M9" i="1"/>
  <c r="M10" i="1"/>
  <c r="M11" i="1"/>
  <c r="M12" i="1"/>
  <c r="M13" i="1"/>
  <c r="M2" i="1"/>
  <c r="U31" i="3" l="1"/>
  <c r="U32" i="3"/>
  <c r="U27" i="3"/>
  <c r="V36" i="3"/>
  <c r="AA34" i="3"/>
  <c r="U37" i="3"/>
  <c r="U29" i="3"/>
  <c r="U40" i="3"/>
  <c r="V29" i="3"/>
  <c r="V28" i="3"/>
  <c r="V40" i="3"/>
  <c r="AA31" i="3"/>
  <c r="U42" i="3"/>
  <c r="U34" i="3"/>
  <c r="U26" i="3"/>
  <c r="V39" i="3"/>
  <c r="AA32" i="3"/>
  <c r="AA29" i="3"/>
  <c r="U39" i="3"/>
  <c r="V30" i="3"/>
  <c r="AA40" i="3"/>
  <c r="U38" i="3"/>
  <c r="V25" i="3"/>
  <c r="V35" i="3"/>
  <c r="V27" i="3"/>
  <c r="P31" i="3"/>
  <c r="AA37" i="3"/>
  <c r="V41" i="3"/>
  <c r="V33" i="3"/>
  <c r="V32" i="3"/>
  <c r="AA38" i="3"/>
  <c r="U41" i="3"/>
  <c r="U33" i="3"/>
  <c r="AA42" i="3"/>
  <c r="AA26" i="3"/>
  <c r="U30" i="3"/>
  <c r="U36" i="3"/>
  <c r="U28" i="3"/>
  <c r="U35" i="3"/>
  <c r="AA25" i="3"/>
  <c r="U25" i="3"/>
</calcChain>
</file>

<file path=xl/sharedStrings.xml><?xml version="1.0" encoding="utf-8"?>
<sst xmlns="http://schemas.openxmlformats.org/spreadsheetml/2006/main" count="261" uniqueCount="61">
  <si>
    <t>lam</t>
  </si>
  <si>
    <t>x_i</t>
  </si>
  <si>
    <t>x_f</t>
  </si>
  <si>
    <t>seed</t>
  </si>
  <si>
    <t>best</t>
  </si>
  <si>
    <t>K_ml_re</t>
  </si>
  <si>
    <t>K_ml_im</t>
  </si>
  <si>
    <t>abs_K_ml</t>
  </si>
  <si>
    <t>std_err</t>
  </si>
  <si>
    <t>final_loss</t>
  </si>
  <si>
    <t>ess_n</t>
  </si>
  <si>
    <t>K_basis_re</t>
  </si>
  <si>
    <t>K_basis_im</t>
  </si>
  <si>
    <t>abs_K_basis</t>
  </si>
  <si>
    <t>K_basis_unc</t>
  </si>
  <si>
    <t>rel_diff_ml_basis</t>
  </si>
  <si>
    <t>K_mehler_re</t>
  </si>
  <si>
    <t>K_mehler_im</t>
  </si>
  <si>
    <t>N</t>
  </si>
  <si>
    <t>T</t>
  </si>
  <si>
    <t>m</t>
  </si>
  <si>
    <t>omega</t>
  </si>
  <si>
    <t>eps</t>
  </si>
  <si>
    <t>rank</t>
  </si>
  <si>
    <t>epochs</t>
  </si>
  <si>
    <t>time_s</t>
  </si>
  <si>
    <t>Y</t>
  </si>
  <si>
    <t>Basis Diff</t>
  </si>
  <si>
    <t>lambda</t>
  </si>
  <si>
    <t>Im_K</t>
  </si>
  <si>
    <t>abs_K</t>
  </si>
  <si>
    <t>Re_K_Ross</t>
  </si>
  <si>
    <t>K_basis_re check</t>
  </si>
  <si>
    <t>Omega</t>
  </si>
  <si>
    <t>epsilon 0.01</t>
  </si>
  <si>
    <t>epsilon 0.0001</t>
  </si>
  <si>
    <t>ep = 0</t>
  </si>
  <si>
    <t>ep = 0.01</t>
  </si>
  <si>
    <t>lam = 0.5</t>
  </si>
  <si>
    <t>lam = 0.6</t>
  </si>
  <si>
    <t>lam = 0.7</t>
  </si>
  <si>
    <t>Epsion check</t>
  </si>
  <si>
    <t>Carl Bender</t>
  </si>
  <si>
    <t>K_complex</t>
  </si>
  <si>
    <t>K_real</t>
  </si>
  <si>
    <t>K_imag</t>
  </si>
  <si>
    <t>0.307521507728162 - 0.307521507728162i</t>
  </si>
  <si>
    <t>0.307969197925209 - 0.307073817531114i</t>
  </si>
  <si>
    <t>0.308416888122257 - 0.306626127334067i</t>
  </si>
  <si>
    <t>0.308864578319305 - 0.306178437137019i</t>
  </si>
  <si>
    <t>0.309312268516352 - 0.305730746939972i</t>
  </si>
  <si>
    <t>0.418366676216620 - 0.418366676216620i</t>
  </si>
  <si>
    <t>0.419501579650881 - 0.417231772782358i</t>
  </si>
  <si>
    <t>0.420636483085143 - 0.416096869348097i</t>
  </si>
  <si>
    <t>0.421771386519404 - 0.414961965913835i</t>
  </si>
  <si>
    <t>0.422906289953666 - 0.413827062479573i</t>
  </si>
  <si>
    <t>Anna Okopińska</t>
  </si>
  <si>
    <t>ross</t>
  </si>
  <si>
    <t>ml</t>
  </si>
  <si>
    <t>tq basis</t>
  </si>
  <si>
    <t>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</si>
</sst>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6" formatCode="0.0000"/>
    <numFmt numFmtId="167" formatCode="0.0"/>
    <numFmt numFmtId="179" formatCode="0.00000000"/>
    <numFmt numFmtId="180" formatCode="0.0000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8">
    <xf numFmtId="0" fontId="0" fillId="0" borderId="0" xfId="0"/>
    <xf numFmtId="164" fontId="0" fillId="0" borderId="0" xfId="0" applyNumberFormat="1" applyAlignment="1">
      <alignment horizontal="center"/>
    </xf>
    <xf numFmtId="0" fontId="0" fillId="33" borderId="0" xfId="0" applyFill="1"/>
    <xf numFmtId="164" fontId="0" fillId="33" borderId="0" xfId="0" applyNumberFormat="1" applyFill="1" applyAlignment="1">
      <alignment horizontal="center"/>
    </xf>
    <xf numFmtId="0" fontId="0" fillId="34" borderId="0" xfId="0" applyFill="1"/>
    <xf numFmtId="164" fontId="0" fillId="34" borderId="0" xfId="0" applyNumberFormat="1" applyFill="1" applyAlignment="1">
      <alignment horizontal="center"/>
    </xf>
    <xf numFmtId="0" fontId="0" fillId="35" borderId="0" xfId="0" applyFill="1" applyAlignment="1">
      <alignment horizontal="center"/>
    </xf>
    <xf numFmtId="2" fontId="0" fillId="3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36" borderId="0" xfId="0" applyFill="1"/>
    <xf numFmtId="164" fontId="0" fillId="36" borderId="0" xfId="0" applyNumberFormat="1" applyFill="1" applyAlignment="1">
      <alignment horizontal="center"/>
    </xf>
    <xf numFmtId="164" fontId="0" fillId="35" borderId="0" xfId="0" applyNumberFormat="1" applyFill="1" applyAlignment="1">
      <alignment horizontal="center"/>
    </xf>
    <xf numFmtId="166" fontId="0" fillId="34" borderId="0" xfId="0" applyNumberFormat="1" applyFill="1" applyAlignment="1">
      <alignment horizontal="center"/>
    </xf>
    <xf numFmtId="0" fontId="0" fillId="37" borderId="0" xfId="0" applyFill="1"/>
    <xf numFmtId="164" fontId="0" fillId="37" borderId="0" xfId="0" applyNumberFormat="1" applyFill="1"/>
    <xf numFmtId="164" fontId="0" fillId="37" borderId="0" xfId="0" applyNumberFormat="1" applyFill="1" applyAlignment="1">
      <alignment horizontal="center"/>
    </xf>
    <xf numFmtId="2" fontId="0" fillId="37" borderId="0" xfId="0" applyNumberFormat="1" applyFill="1"/>
    <xf numFmtId="0" fontId="0" fillId="37" borderId="0" xfId="0" applyFill="1" applyAlignment="1">
      <alignment horizontal="center"/>
    </xf>
    <xf numFmtId="166" fontId="0" fillId="37" borderId="0" xfId="0" applyNumberFormat="1" applyFill="1"/>
    <xf numFmtId="0" fontId="0" fillId="38" borderId="0" xfId="0" applyFill="1"/>
    <xf numFmtId="164" fontId="0" fillId="38" borderId="0" xfId="0" applyNumberFormat="1" applyFill="1" applyAlignment="1">
      <alignment horizontal="center"/>
    </xf>
    <xf numFmtId="166" fontId="0" fillId="38" borderId="0" xfId="0" applyNumberFormat="1" applyFill="1" applyAlignment="1">
      <alignment horizontal="center"/>
    </xf>
    <xf numFmtId="0" fontId="0" fillId="37" borderId="0" xfId="0" applyFill="1" applyAlignment="1">
      <alignment horizontal="left"/>
    </xf>
    <xf numFmtId="166" fontId="0" fillId="37" borderId="0" xfId="0" applyNumberFormat="1" applyFill="1" applyAlignment="1">
      <alignment horizontal="center"/>
    </xf>
    <xf numFmtId="179" fontId="0" fillId="37" borderId="0" xfId="0" applyNumberFormat="1" applyFill="1" applyAlignment="1">
      <alignment horizontal="center"/>
    </xf>
    <xf numFmtId="0" fontId="0" fillId="34" borderId="0" xfId="0" applyFill="1" applyAlignment="1">
      <alignment horizontal="center"/>
    </xf>
    <xf numFmtId="180" fontId="0" fillId="34" borderId="0" xfId="0" applyNumberFormat="1" applyFill="1" applyAlignment="1">
      <alignment horizontal="center"/>
    </xf>
    <xf numFmtId="164" fontId="0" fillId="37" borderId="10" xfId="0" applyNumberFormat="1" applyFill="1" applyBorder="1" applyAlignment="1">
      <alignment horizontal="center"/>
    </xf>
    <xf numFmtId="164" fontId="0" fillId="37" borderId="11" xfId="0" applyNumberFormat="1" applyFill="1" applyBorder="1" applyAlignment="1">
      <alignment horizontal="center"/>
    </xf>
    <xf numFmtId="164" fontId="0" fillId="37" borderId="12" xfId="0" applyNumberFormat="1" applyFill="1" applyBorder="1" applyAlignment="1">
      <alignment horizontal="center"/>
    </xf>
    <xf numFmtId="164" fontId="0" fillId="37" borderId="13" xfId="0" applyNumberFormat="1" applyFill="1" applyBorder="1" applyAlignment="1">
      <alignment horizontal="center"/>
    </xf>
    <xf numFmtId="164" fontId="0" fillId="37" borderId="0" xfId="0" applyNumberFormat="1" applyFill="1" applyBorder="1" applyAlignment="1">
      <alignment horizontal="center"/>
    </xf>
    <xf numFmtId="164" fontId="0" fillId="37" borderId="14" xfId="0" applyNumberFormat="1" applyFill="1" applyBorder="1" applyAlignment="1">
      <alignment horizontal="center"/>
    </xf>
    <xf numFmtId="164" fontId="0" fillId="37" borderId="15" xfId="0" applyNumberFormat="1" applyFill="1" applyBorder="1" applyAlignment="1">
      <alignment horizontal="center"/>
    </xf>
    <xf numFmtId="164" fontId="0" fillId="37" borderId="16" xfId="0" applyNumberFormat="1" applyFill="1" applyBorder="1" applyAlignment="1">
      <alignment horizontal="center"/>
    </xf>
    <xf numFmtId="164" fontId="0" fillId="37" borderId="17" xfId="0" applyNumberFormat="1" applyFill="1" applyBorder="1" applyAlignment="1">
      <alignment horizontal="center"/>
    </xf>
    <xf numFmtId="0" fontId="0" fillId="39" borderId="0" xfId="0" applyFill="1"/>
    <xf numFmtId="167" fontId="0" fillId="37" borderId="0" xfId="0" applyNumberForma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331166766371864E-2"/>
          <c:y val="0.17171296296296298"/>
          <c:w val="0.92842379558817978"/>
          <c:h val="0.6153546952464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2'!$W$4:$W$21</c:f>
              <c:numCache>
                <c:formatCode>0.00</c:formatCode>
                <c:ptCount val="18"/>
                <c:pt idx="0">
                  <c:v>0.59624516970084096</c:v>
                </c:pt>
                <c:pt idx="1">
                  <c:v>1.3687785596868001</c:v>
                </c:pt>
                <c:pt idx="2">
                  <c:v>1.38160357841915</c:v>
                </c:pt>
                <c:pt idx="3">
                  <c:v>1.37483677750238</c:v>
                </c:pt>
                <c:pt idx="4">
                  <c:v>1.4514718294212601</c:v>
                </c:pt>
                <c:pt idx="5">
                  <c:v>1.33835514448324</c:v>
                </c:pt>
                <c:pt idx="6">
                  <c:v>1.8992360482995501</c:v>
                </c:pt>
                <c:pt idx="7">
                  <c:v>0.65391390762446</c:v>
                </c:pt>
                <c:pt idx="8">
                  <c:v>1.3581497532351201</c:v>
                </c:pt>
                <c:pt idx="9">
                  <c:v>1.92587597218924</c:v>
                </c:pt>
                <c:pt idx="10">
                  <c:v>1.95340280117527</c:v>
                </c:pt>
                <c:pt idx="11">
                  <c:v>1.7040848191759399</c:v>
                </c:pt>
                <c:pt idx="12">
                  <c:v>1.15241173375436</c:v>
                </c:pt>
                <c:pt idx="13">
                  <c:v>0.69023808548654197</c:v>
                </c:pt>
                <c:pt idx="14">
                  <c:v>0.97427751734879797</c:v>
                </c:pt>
                <c:pt idx="15">
                  <c:v>1.89373153617638</c:v>
                </c:pt>
                <c:pt idx="16">
                  <c:v>1.4777313144564399</c:v>
                </c:pt>
                <c:pt idx="17">
                  <c:v>1.2883756456019699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D-4847-887B-1C09F578877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2'!$AC$4:$AC$21</c:f>
              <c:numCache>
                <c:formatCode>0.000</c:formatCode>
                <c:ptCount val="18"/>
                <c:pt idx="0">
                  <c:v>0.59165810333163804</c:v>
                </c:pt>
                <c:pt idx="1">
                  <c:v>0.59163626309988404</c:v>
                </c:pt>
                <c:pt idx="2">
                  <c:v>0.58849341082683404</c:v>
                </c:pt>
                <c:pt idx="3">
                  <c:v>0.57689763195399302</c:v>
                </c:pt>
                <c:pt idx="4">
                  <c:v>0.65055636362743996</c:v>
                </c:pt>
                <c:pt idx="5">
                  <c:v>0.70571010801428802</c:v>
                </c:pt>
                <c:pt idx="6">
                  <c:v>1.30863535694415</c:v>
                </c:pt>
                <c:pt idx="7">
                  <c:v>0.36003741049462601</c:v>
                </c:pt>
                <c:pt idx="8">
                  <c:v>1.1988741549553299</c:v>
                </c:pt>
                <c:pt idx="9">
                  <c:v>1.6772070651233799</c:v>
                </c:pt>
                <c:pt idx="10">
                  <c:v>1.6013182372088399</c:v>
                </c:pt>
                <c:pt idx="11">
                  <c:v>1.2893939446603799</c:v>
                </c:pt>
                <c:pt idx="12">
                  <c:v>0.94564537706669805</c:v>
                </c:pt>
                <c:pt idx="13">
                  <c:v>0.70205066247133396</c:v>
                </c:pt>
                <c:pt idx="14">
                  <c:v>1.58861882934482</c:v>
                </c:pt>
                <c:pt idx="15">
                  <c:v>1.8099075291267801</c:v>
                </c:pt>
                <c:pt idx="16">
                  <c:v>1.68789335012242</c:v>
                </c:pt>
                <c:pt idx="17">
                  <c:v>1.2491175003471799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7D-4847-887B-1C09F5788778}"/>
            </c:ext>
          </c:extLst>
        </c:ser>
        <c:ser>
          <c:idx val="2"/>
          <c:order val="2"/>
          <c:tx>
            <c:v>ML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2'!$R$4:$R$21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7D-4847-887B-1C09F5788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50784"/>
        <c:axId val="1138251264"/>
      </c:lineChart>
      <c:catAx>
        <c:axId val="11382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1264"/>
        <c:crosses val="autoZero"/>
        <c:auto val="1"/>
        <c:lblAlgn val="ctr"/>
        <c:lblOffset val="100"/>
        <c:noMultiLvlLbl val="0"/>
      </c:catAx>
      <c:valAx>
        <c:axId val="1138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2'!$R$4:$R$21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87-4011-B07A-E70369F45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49824"/>
        <c:axId val="1032759072"/>
      </c:lineChart>
      <c:catAx>
        <c:axId val="113824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759072"/>
        <c:crosses val="autoZero"/>
        <c:auto val="1"/>
        <c:lblAlgn val="ctr"/>
        <c:lblOffset val="100"/>
        <c:noMultiLvlLbl val="0"/>
      </c:catAx>
      <c:valAx>
        <c:axId val="1032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2'!$T$25:$T$42</c:f>
              <c:numCache>
                <c:formatCode>0.000</c:formatCode>
                <c:ptCount val="18"/>
                <c:pt idx="0">
                  <c:v>0.43490554531123327</c:v>
                </c:pt>
                <c:pt idx="1">
                  <c:v>0.43482543381044619</c:v>
                </c:pt>
                <c:pt idx="2">
                  <c:v>0.43515201764466366</c:v>
                </c:pt>
                <c:pt idx="3">
                  <c:v>0.43459749790974883</c:v>
                </c:pt>
                <c:pt idx="4">
                  <c:v>0.47267566739290628</c:v>
                </c:pt>
                <c:pt idx="5">
                  <c:v>0.22982514421868352</c:v>
                </c:pt>
                <c:pt idx="6">
                  <c:v>0.70403834230919515</c:v>
                </c:pt>
                <c:pt idx="7">
                  <c:v>0.83591255340843329</c:v>
                </c:pt>
                <c:pt idx="8">
                  <c:v>1.0616437201266091</c:v>
                </c:pt>
                <c:pt idx="9">
                  <c:v>0.66957215043363927</c:v>
                </c:pt>
                <c:pt idx="10">
                  <c:v>0.90811712575113102</c:v>
                </c:pt>
                <c:pt idx="11">
                  <c:v>1.3975694820201809</c:v>
                </c:pt>
                <c:pt idx="12">
                  <c:v>1.1663987393847017</c:v>
                </c:pt>
                <c:pt idx="13">
                  <c:v>0.71952400092882085</c:v>
                </c:pt>
                <c:pt idx="14">
                  <c:v>1.2262545330866874</c:v>
                </c:pt>
                <c:pt idx="15">
                  <c:v>0.82177012827018814</c:v>
                </c:pt>
                <c:pt idx="16">
                  <c:v>1.2928041514124815</c:v>
                </c:pt>
                <c:pt idx="17">
                  <c:v>1.5910073250940648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7-4023-AB7F-E3AE1B8389D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2'!$Z$25:$Z$42</c:f>
              <c:numCache>
                <c:formatCode>0.000</c:formatCode>
                <c:ptCount val="18"/>
                <c:pt idx="0">
                  <c:v>0.43864067384780253</c:v>
                </c:pt>
                <c:pt idx="1">
                  <c:v>0.37665033879081233</c:v>
                </c:pt>
                <c:pt idx="2">
                  <c:v>0.73048392789363992</c:v>
                </c:pt>
                <c:pt idx="3">
                  <c:v>1.232467383855798</c:v>
                </c:pt>
                <c:pt idx="4">
                  <c:v>1.4522705374640426</c:v>
                </c:pt>
                <c:pt idx="5">
                  <c:v>0.66629833422839557</c:v>
                </c:pt>
                <c:pt idx="6">
                  <c:v>1.3929464782500844</c:v>
                </c:pt>
                <c:pt idx="7">
                  <c:v>1.4075746517308239</c:v>
                </c:pt>
                <c:pt idx="8">
                  <c:v>1.520653350649396</c:v>
                </c:pt>
                <c:pt idx="9">
                  <c:v>0.92633180936388015</c:v>
                </c:pt>
                <c:pt idx="10">
                  <c:v>1.0876473161748683</c:v>
                </c:pt>
                <c:pt idx="11">
                  <c:v>1.6141312801826777</c:v>
                </c:pt>
                <c:pt idx="12">
                  <c:v>1.2143341094346787</c:v>
                </c:pt>
                <c:pt idx="13">
                  <c:v>0.7122144914037658</c:v>
                </c:pt>
                <c:pt idx="14">
                  <c:v>1.5367925470763142</c:v>
                </c:pt>
                <c:pt idx="15">
                  <c:v>1.843181758097995</c:v>
                </c:pt>
                <c:pt idx="16">
                  <c:v>1.9341154867703683</c:v>
                </c:pt>
                <c:pt idx="17">
                  <c:v>1.6732755585234702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7-4023-AB7F-E3AE1B838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53199"/>
        <c:axId val="1404533519"/>
      </c:lineChart>
      <c:catAx>
        <c:axId val="140455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3519"/>
        <c:crosses val="autoZero"/>
        <c:auto val="1"/>
        <c:lblAlgn val="ctr"/>
        <c:lblOffset val="100"/>
        <c:noMultiLvlLbl val="0"/>
      </c:catAx>
      <c:valAx>
        <c:axId val="14045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5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577465</xdr:colOff>
      <xdr:row>7</xdr:row>
      <xdr:rowOff>126890</xdr:rowOff>
    </xdr:from>
    <xdr:to>
      <xdr:col>31</xdr:col>
      <xdr:colOff>211042</xdr:colOff>
      <xdr:row>21</xdr:row>
      <xdr:rowOff>138320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86C633-2B57-D724-1CA0-615842F8B3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896840</xdr:colOff>
      <xdr:row>50</xdr:row>
      <xdr:rowOff>113802</xdr:rowOff>
    </xdr:from>
    <xdr:to>
      <xdr:col>28</xdr:col>
      <xdr:colOff>319377</xdr:colOff>
      <xdr:row>66</xdr:row>
      <xdr:rowOff>61622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A3424B-59DE-11B7-94FA-1DD172676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87464</xdr:colOff>
      <xdr:row>50</xdr:row>
      <xdr:rowOff>31970</xdr:rowOff>
    </xdr:from>
    <xdr:to>
      <xdr:col>32</xdr:col>
      <xdr:colOff>392264</xdr:colOff>
      <xdr:row>65</xdr:row>
      <xdr:rowOff>31970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384444-2261-634A-1D89-9C8B8F621F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0B79-ECEB-4ED4-B865-F2A092ED25FC}">
  <dimension ref="A1:AS89"/>
  <sheetViews>
    <sheetView topLeftCell="A10" zoomScale="115" zoomScaleNormal="115" workbookViewId="0">
      <selection activeCell="C48" sqref="C48"/>
    </sheetView>
  </sheetViews>
  <sheetFormatPr defaultRowHeight="14.4" x14ac:dyDescent="0.3"/>
  <cols>
    <col min="1" max="3" width="8.88671875" style="17"/>
    <col min="4" max="4" width="8.88671875" style="17" customWidth="1"/>
    <col min="5" max="5" width="17.77734375" style="17" bestFit="1" customWidth="1"/>
    <col min="6" max="6" width="18.77734375" style="17" customWidth="1"/>
    <col min="7" max="12" width="8.88671875" style="17"/>
    <col min="13" max="13" width="11.6640625" style="17" customWidth="1"/>
    <col min="14" max="14" width="8.88671875" style="17"/>
    <col min="15" max="15" width="9.88671875" style="17" bestFit="1" customWidth="1"/>
    <col min="16" max="16" width="18.44140625" customWidth="1"/>
    <col min="19" max="19" width="11" style="13" customWidth="1"/>
    <col min="20" max="20" width="8.88671875" style="13"/>
    <col min="21" max="21" width="9.5546875" style="8" bestFit="1" customWidth="1"/>
    <col min="22" max="22" width="23.88671875" style="8" bestFit="1" customWidth="1"/>
    <col min="23" max="23" width="8.88671875" style="8"/>
    <col min="24" max="26" width="8.88671875" style="13"/>
    <col min="30" max="30" width="17.77734375" style="13" bestFit="1" customWidth="1"/>
    <col min="31" max="32" width="8.88671875" style="13"/>
    <col min="33" max="33" width="11.21875" style="13" bestFit="1" customWidth="1"/>
    <col min="34" max="34" width="16.6640625" bestFit="1" customWidth="1"/>
    <col min="35" max="35" width="8.88671875" customWidth="1"/>
    <col min="37" max="45" width="8.88671875" style="13"/>
  </cols>
  <sheetData>
    <row r="1" spans="1:45" s="13" customForma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U1" s="17"/>
      <c r="V1" s="17"/>
      <c r="W1" s="17"/>
    </row>
    <row r="2" spans="1:45" s="13" customFormat="1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25" t="s">
        <v>56</v>
      </c>
      <c r="N2" s="17"/>
      <c r="O2" s="17"/>
      <c r="U2" s="17"/>
      <c r="V2" s="17"/>
      <c r="W2" s="17"/>
    </row>
    <row r="3" spans="1:45" ht="15" thickBo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  <c r="H3" s="17" t="s">
        <v>58</v>
      </c>
      <c r="I3" s="17" t="s">
        <v>57</v>
      </c>
      <c r="J3" s="17" t="s">
        <v>59</v>
      </c>
      <c r="M3" s="25" t="s">
        <v>44</v>
      </c>
      <c r="N3" s="25" t="s">
        <v>45</v>
      </c>
      <c r="O3" s="25" t="s">
        <v>30</v>
      </c>
      <c r="P3" s="2" t="s">
        <v>5</v>
      </c>
      <c r="Q3" s="2" t="s">
        <v>6</v>
      </c>
      <c r="R3" s="2" t="s">
        <v>7</v>
      </c>
      <c r="S3" s="13" t="s">
        <v>8</v>
      </c>
      <c r="T3" s="13" t="s">
        <v>28</v>
      </c>
      <c r="U3" s="6" t="s">
        <v>31</v>
      </c>
      <c r="V3" s="6" t="s">
        <v>29</v>
      </c>
      <c r="W3" s="6" t="s">
        <v>30</v>
      </c>
      <c r="X3" s="13" t="s">
        <v>27</v>
      </c>
      <c r="Y3" s="13" t="s">
        <v>9</v>
      </c>
      <c r="Z3" s="13" t="s">
        <v>10</v>
      </c>
      <c r="AA3" s="4" t="s">
        <v>11</v>
      </c>
      <c r="AB3" s="4" t="s">
        <v>12</v>
      </c>
      <c r="AC3" s="4" t="s">
        <v>13</v>
      </c>
      <c r="AD3" s="13" t="s">
        <v>14</v>
      </c>
      <c r="AE3" s="13" t="s">
        <v>15</v>
      </c>
      <c r="AF3" s="19" t="s">
        <v>16</v>
      </c>
      <c r="AG3" s="19" t="s">
        <v>17</v>
      </c>
      <c r="AH3" s="9" t="s">
        <v>32</v>
      </c>
      <c r="AI3" s="9" t="s">
        <v>12</v>
      </c>
      <c r="AJ3" s="9" t="s">
        <v>13</v>
      </c>
      <c r="AL3" s="13" t="s">
        <v>18</v>
      </c>
      <c r="AM3" s="13" t="s">
        <v>19</v>
      </c>
      <c r="AN3" s="13" t="s">
        <v>20</v>
      </c>
      <c r="AO3" s="13" t="s">
        <v>21</v>
      </c>
      <c r="AP3" s="13" t="s">
        <v>22</v>
      </c>
      <c r="AQ3" s="13" t="s">
        <v>23</v>
      </c>
      <c r="AR3" s="13" t="s">
        <v>24</v>
      </c>
      <c r="AS3" s="13" t="s">
        <v>25</v>
      </c>
    </row>
    <row r="4" spans="1:45" x14ac:dyDescent="0.3">
      <c r="A4" s="17">
        <v>0</v>
      </c>
      <c r="B4" s="17">
        <v>0</v>
      </c>
      <c r="C4" s="17">
        <v>0</v>
      </c>
      <c r="D4" s="17">
        <v>42</v>
      </c>
      <c r="E4" s="17" t="s">
        <v>26</v>
      </c>
      <c r="F4" s="15">
        <f>R4-W4</f>
        <v>-4.9512172169989821E-3</v>
      </c>
      <c r="G4" s="15">
        <f>R4-AC4</f>
        <v>-3.641508477960631E-4</v>
      </c>
      <c r="H4" s="27">
        <f>O4-R4</f>
        <v>3.660475161579857E-4</v>
      </c>
      <c r="I4" s="28">
        <f>O4-W4</f>
        <v>-4.5851697008409964E-3</v>
      </c>
      <c r="J4" s="29">
        <f>M4-AA4</f>
        <v>2.958879462999775E-6</v>
      </c>
      <c r="K4" s="37">
        <f>M4-P4</f>
        <v>6.0864696860396528E-4</v>
      </c>
      <c r="L4" s="37">
        <f>N4-Q4</f>
        <v>9.028182989001543E-5</v>
      </c>
      <c r="M4" s="25">
        <v>0.41836699999999999</v>
      </c>
      <c r="N4" s="25">
        <v>-0.41836699999999999</v>
      </c>
      <c r="O4" s="26">
        <v>0.59165999999999996</v>
      </c>
      <c r="P4" s="3">
        <v>0.41775835303139602</v>
      </c>
      <c r="Q4" s="3">
        <v>-0.41845728182989</v>
      </c>
      <c r="R4" s="3">
        <v>0.59129395248384198</v>
      </c>
      <c r="S4" s="15">
        <v>3.7952230000000002E-9</v>
      </c>
      <c r="T4" s="16">
        <v>0</v>
      </c>
      <c r="U4" s="7">
        <v>0.43343554653224398</v>
      </c>
      <c r="V4" s="7">
        <v>-0.40944099623007901</v>
      </c>
      <c r="W4" s="7">
        <v>0.59624516970084096</v>
      </c>
      <c r="X4" s="15">
        <v>-3.641508477960631E-4</v>
      </c>
      <c r="Y4" s="15">
        <v>4.0188039999999997E-12</v>
      </c>
      <c r="Z4" s="15">
        <v>1</v>
      </c>
      <c r="AA4" s="5">
        <v>0.41836404112053699</v>
      </c>
      <c r="AB4" s="5">
        <v>-0.41836687289421598</v>
      </c>
      <c r="AC4" s="5">
        <v>0.59165810333163804</v>
      </c>
      <c r="AD4" s="15">
        <v>2.8853750000000001E-5</v>
      </c>
      <c r="AE4" s="15">
        <v>1.035055E-3</v>
      </c>
      <c r="AF4" s="20">
        <v>0.41836667621661899</v>
      </c>
      <c r="AG4" s="20">
        <v>-0.41836667621661899</v>
      </c>
      <c r="AH4" s="10">
        <v>0.41836404112053699</v>
      </c>
      <c r="AI4" s="10">
        <v>-0.41836687289421598</v>
      </c>
      <c r="AJ4" s="10">
        <v>0.59165810333163804</v>
      </c>
      <c r="AK4" s="15"/>
      <c r="AL4" s="13">
        <v>16</v>
      </c>
      <c r="AM4" s="13">
        <v>1</v>
      </c>
      <c r="AN4" s="13">
        <v>1</v>
      </c>
      <c r="AO4" s="13">
        <v>2</v>
      </c>
      <c r="AP4" s="13">
        <v>0.01</v>
      </c>
      <c r="AQ4" s="13">
        <v>8</v>
      </c>
      <c r="AR4" s="13">
        <v>15000</v>
      </c>
      <c r="AS4" s="13">
        <v>385.8</v>
      </c>
    </row>
    <row r="5" spans="1:45" x14ac:dyDescent="0.3">
      <c r="A5" s="17">
        <v>0.05</v>
      </c>
      <c r="B5" s="17">
        <v>0</v>
      </c>
      <c r="C5" s="17">
        <v>0</v>
      </c>
      <c r="D5" s="17">
        <v>99</v>
      </c>
      <c r="E5" s="17" t="s">
        <v>26</v>
      </c>
      <c r="F5" s="15">
        <f>R5-W5</f>
        <v>-0.77723825012090308</v>
      </c>
      <c r="G5" s="15">
        <f>R5-AC5</f>
        <v>-9.5953533987058748E-5</v>
      </c>
      <c r="H5" s="30">
        <f t="shared" ref="H5:H8" si="0">O5-R5</f>
        <v>1.2169043410303892E-4</v>
      </c>
      <c r="I5" s="31">
        <f t="shared" ref="I5:I8" si="1">O5-W5</f>
        <v>-0.77711655968680005</v>
      </c>
      <c r="J5" s="32">
        <f>M5-AA5</f>
        <v>2.5973623233976895E-5</v>
      </c>
      <c r="K5" s="37">
        <f t="shared" ref="K5:K9" si="2">M5-P5</f>
        <v>-1.3481898939898818E-4</v>
      </c>
      <c r="L5" s="37">
        <f t="shared" ref="L5:L9" si="3">N5-Q5</f>
        <v>-3.0889199352901464E-4</v>
      </c>
      <c r="M5" s="25">
        <v>0.41950199999999999</v>
      </c>
      <c r="N5" s="25">
        <v>-0.41723199999999999</v>
      </c>
      <c r="O5" s="26">
        <v>0.59166200000000002</v>
      </c>
      <c r="P5" s="3">
        <v>0.41963681898939897</v>
      </c>
      <c r="Q5" s="3">
        <v>-0.41692310800647098</v>
      </c>
      <c r="R5" s="3">
        <v>0.59154030956589698</v>
      </c>
      <c r="S5" s="15">
        <v>6.5112070000000004E-6</v>
      </c>
      <c r="T5" s="16">
        <v>0.05</v>
      </c>
      <c r="U5" s="7">
        <v>-0.848777584461895</v>
      </c>
      <c r="V5" s="7">
        <v>-1.07383953995618</v>
      </c>
      <c r="W5" s="7">
        <v>1.3687785596868001</v>
      </c>
      <c r="X5" s="15">
        <v>-9.5953533987058748E-5</v>
      </c>
      <c r="Y5" s="15">
        <v>1.272908E-5</v>
      </c>
      <c r="Z5" s="15">
        <v>0.99999000000000005</v>
      </c>
      <c r="AA5" s="5">
        <v>0.41947602637676601</v>
      </c>
      <c r="AB5" s="5">
        <v>-0.41722096197333303</v>
      </c>
      <c r="AC5" s="5">
        <v>0.59163626309988404</v>
      </c>
      <c r="AD5" s="15">
        <v>2.8197820000000001E-5</v>
      </c>
      <c r="AE5" s="15">
        <v>5.7211459999999997E-4</v>
      </c>
      <c r="AF5" s="20">
        <v>0.41836667621661899</v>
      </c>
      <c r="AG5" s="20">
        <v>-0.41836667621661899</v>
      </c>
      <c r="AH5" s="10">
        <v>0.41947602637676601</v>
      </c>
      <c r="AI5" s="10">
        <v>-0.41722096197333303</v>
      </c>
      <c r="AJ5" s="10">
        <v>0.59163626309988404</v>
      </c>
      <c r="AK5" s="15"/>
      <c r="AL5" s="13">
        <v>16</v>
      </c>
      <c r="AM5" s="13">
        <v>1</v>
      </c>
      <c r="AN5" s="13">
        <v>1</v>
      </c>
      <c r="AO5" s="13">
        <v>2</v>
      </c>
      <c r="AP5" s="13">
        <v>0.01</v>
      </c>
      <c r="AQ5" s="13">
        <v>8</v>
      </c>
      <c r="AR5" s="13">
        <v>15000</v>
      </c>
      <c r="AS5" s="13">
        <v>394</v>
      </c>
    </row>
    <row r="6" spans="1:45" x14ac:dyDescent="0.3">
      <c r="A6" s="17">
        <v>0.1</v>
      </c>
      <c r="B6" s="17">
        <v>0</v>
      </c>
      <c r="C6" s="17">
        <v>0</v>
      </c>
      <c r="D6" s="17">
        <v>45</v>
      </c>
      <c r="E6" s="17" t="s">
        <v>26</v>
      </c>
      <c r="F6" s="15">
        <f t="shared" ref="F6:F21" si="4">R6-W6</f>
        <v>-0.79577384758854808</v>
      </c>
      <c r="G6" s="15">
        <f>R6-AC6</f>
        <v>-2.6636799962320712E-3</v>
      </c>
      <c r="H6" s="30">
        <f t="shared" si="0"/>
        <v>5.8392691693980314E-3</v>
      </c>
      <c r="I6" s="31">
        <f t="shared" si="1"/>
        <v>-0.78993457841915005</v>
      </c>
      <c r="J6" s="32">
        <f>M6-AA6</f>
        <v>6.9751145884490162E-3</v>
      </c>
      <c r="K6" s="37">
        <f t="shared" si="2"/>
        <v>-9.7036626889901445E-4</v>
      </c>
      <c r="L6" s="37">
        <f t="shared" si="3"/>
        <v>-9.3482502212319796E-3</v>
      </c>
      <c r="M6" s="25">
        <v>0.42063600000000001</v>
      </c>
      <c r="N6" s="25">
        <v>-0.41609699999999999</v>
      </c>
      <c r="O6" s="26">
        <v>0.591669</v>
      </c>
      <c r="P6" s="3">
        <v>0.42160636626889902</v>
      </c>
      <c r="Q6" s="3">
        <v>-0.40674874977876802</v>
      </c>
      <c r="R6" s="3">
        <v>0.58582973083060197</v>
      </c>
      <c r="S6" s="15">
        <v>5.1723609999999998E-6</v>
      </c>
      <c r="T6" s="16">
        <v>0.1</v>
      </c>
      <c r="U6" s="7">
        <v>-0.58776712993599001</v>
      </c>
      <c r="V6" s="7">
        <v>-1.25034325241807</v>
      </c>
      <c r="W6" s="7">
        <v>1.38160357841915</v>
      </c>
      <c r="X6" s="15">
        <v>-2.6636799962320712E-3</v>
      </c>
      <c r="Y6" s="15">
        <v>1.063996E-5</v>
      </c>
      <c r="Z6" s="15">
        <v>0.99999199999999999</v>
      </c>
      <c r="AA6" s="5">
        <v>0.41366088541155099</v>
      </c>
      <c r="AB6" s="5">
        <v>-0.41857994035444701</v>
      </c>
      <c r="AC6" s="5">
        <v>0.58849341082683404</v>
      </c>
      <c r="AD6" s="15">
        <v>3.416428E-3</v>
      </c>
      <c r="AE6" s="15">
        <v>2.421707E-2</v>
      </c>
      <c r="AF6" s="20">
        <v>0.41836667621661899</v>
      </c>
      <c r="AG6" s="20">
        <v>-0.41836667621661899</v>
      </c>
      <c r="AH6" s="10">
        <v>0.41366088541155099</v>
      </c>
      <c r="AI6" s="10">
        <v>-0.41857994035444701</v>
      </c>
      <c r="AJ6" s="10">
        <v>0.58849341082683404</v>
      </c>
      <c r="AK6" s="15"/>
      <c r="AL6" s="13">
        <v>16</v>
      </c>
      <c r="AM6" s="13">
        <v>1</v>
      </c>
      <c r="AN6" s="13">
        <v>1</v>
      </c>
      <c r="AO6" s="13">
        <v>2</v>
      </c>
      <c r="AP6" s="13">
        <v>0.01</v>
      </c>
      <c r="AQ6" s="13">
        <v>8</v>
      </c>
      <c r="AR6" s="13">
        <v>15000</v>
      </c>
      <c r="AS6" s="13">
        <v>385.1</v>
      </c>
    </row>
    <row r="7" spans="1:45" x14ac:dyDescent="0.3">
      <c r="A7" s="17">
        <v>0.15</v>
      </c>
      <c r="B7" s="17">
        <v>0</v>
      </c>
      <c r="C7" s="17">
        <v>0</v>
      </c>
      <c r="D7" s="17">
        <v>42</v>
      </c>
      <c r="E7" s="17" t="s">
        <v>26</v>
      </c>
      <c r="F7" s="15">
        <f t="shared" si="4"/>
        <v>-0.798465666458817</v>
      </c>
      <c r="G7" s="15">
        <f t="shared" ref="G7:G21" si="5">R7-AC7</f>
        <v>-5.2652091043003946E-4</v>
      </c>
      <c r="H7" s="30">
        <f t="shared" si="0"/>
        <v>1.5307888956436977E-2</v>
      </c>
      <c r="I7" s="31">
        <f t="shared" si="1"/>
        <v>-0.78315777750238003</v>
      </c>
      <c r="J7" s="32">
        <f>M7-AA7</f>
        <v>5.4026693258464986E-2</v>
      </c>
      <c r="K7" s="37">
        <f t="shared" si="2"/>
        <v>-6.9369144795219939E-3</v>
      </c>
      <c r="L7" s="37">
        <f t="shared" si="3"/>
        <v>-2.9717685689964024E-2</v>
      </c>
      <c r="M7" s="25">
        <v>0.42177100000000001</v>
      </c>
      <c r="N7" s="25">
        <v>-0.414962</v>
      </c>
      <c r="O7" s="26">
        <v>0.59167899999999995</v>
      </c>
      <c r="P7" s="3">
        <v>0.428707914479522</v>
      </c>
      <c r="Q7" s="3">
        <v>-0.38524431431003597</v>
      </c>
      <c r="R7" s="3">
        <v>0.57637111104356298</v>
      </c>
      <c r="S7" s="15">
        <v>7.4347189999999996E-6</v>
      </c>
      <c r="T7" s="16">
        <v>0.15</v>
      </c>
      <c r="U7" s="7">
        <v>-0.57345809421691596</v>
      </c>
      <c r="V7" s="7">
        <v>-1.24952870273165</v>
      </c>
      <c r="W7" s="7">
        <v>1.37483677750238</v>
      </c>
      <c r="X7" s="15">
        <v>-5.2652091043003946E-4</v>
      </c>
      <c r="Y7" s="15">
        <v>1.7411469999999999E-5</v>
      </c>
      <c r="Z7" s="15">
        <v>0.99997800000000003</v>
      </c>
      <c r="AA7" s="5">
        <v>0.36774430674153502</v>
      </c>
      <c r="AB7" s="5">
        <v>-0.44449409738860701</v>
      </c>
      <c r="AC7" s="5">
        <v>0.57689763195399302</v>
      </c>
      <c r="AD7" s="15">
        <v>2.7174750000000001E-2</v>
      </c>
      <c r="AE7" s="15">
        <v>0.1473612</v>
      </c>
      <c r="AF7" s="20">
        <v>0.41836667621661899</v>
      </c>
      <c r="AG7" s="20">
        <v>-0.41836667621661899</v>
      </c>
      <c r="AH7" s="10">
        <v>0.36774430674153502</v>
      </c>
      <c r="AI7" s="10">
        <v>-0.44449409738860701</v>
      </c>
      <c r="AJ7" s="10">
        <v>0.57689763195399302</v>
      </c>
      <c r="AK7" s="15"/>
      <c r="AL7" s="13">
        <v>16</v>
      </c>
      <c r="AM7" s="13">
        <v>1</v>
      </c>
      <c r="AN7" s="13">
        <v>1</v>
      </c>
      <c r="AO7" s="13">
        <v>2</v>
      </c>
      <c r="AP7" s="13">
        <v>0.01</v>
      </c>
      <c r="AQ7" s="13">
        <v>8</v>
      </c>
      <c r="AR7" s="13">
        <v>15000</v>
      </c>
      <c r="AS7" s="13">
        <v>384.8</v>
      </c>
    </row>
    <row r="8" spans="1:45" x14ac:dyDescent="0.3">
      <c r="A8" s="17">
        <v>0.2</v>
      </c>
      <c r="B8" s="17">
        <v>0</v>
      </c>
      <c r="C8" s="17">
        <v>0</v>
      </c>
      <c r="D8" s="17">
        <v>42</v>
      </c>
      <c r="E8" s="17" t="s">
        <v>26</v>
      </c>
      <c r="F8" s="15">
        <f t="shared" si="4"/>
        <v>-0.88494332936368403</v>
      </c>
      <c r="G8" s="15">
        <f t="shared" si="5"/>
        <v>-8.4027863569863914E-2</v>
      </c>
      <c r="H8" s="30">
        <f t="shared" si="0"/>
        <v>2.5166499942423926E-2</v>
      </c>
      <c r="I8" s="31">
        <f t="shared" si="1"/>
        <v>-0.8597768294212601</v>
      </c>
      <c r="J8" s="32">
        <f>M8-AA8</f>
        <v>-0.14482747902228199</v>
      </c>
      <c r="K8" s="37">
        <f t="shared" si="2"/>
        <v>0.85387876610749602</v>
      </c>
      <c r="L8" s="37">
        <f t="shared" si="3"/>
        <v>-0.78154566454008101</v>
      </c>
      <c r="M8" s="25">
        <v>0.422906</v>
      </c>
      <c r="N8" s="25">
        <v>-0.413827</v>
      </c>
      <c r="O8" s="26">
        <v>0.59169499999999997</v>
      </c>
      <c r="P8" s="3">
        <v>-0.43097276610749602</v>
      </c>
      <c r="Q8" s="3">
        <v>0.36771866454008101</v>
      </c>
      <c r="R8" s="3">
        <v>0.56652850005757605</v>
      </c>
      <c r="S8" s="15">
        <v>9.2594210000000006E-6</v>
      </c>
      <c r="T8" s="16">
        <v>0.2</v>
      </c>
      <c r="U8" s="7">
        <v>1.3767820939667501</v>
      </c>
      <c r="V8" s="7">
        <v>0.45961020151430398</v>
      </c>
      <c r="W8" s="7">
        <v>1.4514718294212601</v>
      </c>
      <c r="X8" s="15">
        <v>-8.4027863569863914E-2</v>
      </c>
      <c r="Y8" s="15">
        <v>2.6227680000000002E-5</v>
      </c>
      <c r="Z8" s="15">
        <v>0.99996600000000002</v>
      </c>
      <c r="AA8" s="5">
        <v>0.56773347902228199</v>
      </c>
      <c r="AB8" s="5">
        <v>-0.31765119085785498</v>
      </c>
      <c r="AC8" s="5">
        <v>0.65055636362743996</v>
      </c>
      <c r="AD8" s="15">
        <v>7.1912489999999996E-2</v>
      </c>
      <c r="AE8" s="15">
        <v>1.86188</v>
      </c>
      <c r="AF8" s="20">
        <v>0.41836667621661899</v>
      </c>
      <c r="AG8" s="20">
        <v>-0.41836667621661899</v>
      </c>
      <c r="AH8" s="10">
        <v>0.56773347902228199</v>
      </c>
      <c r="AI8" s="10">
        <v>-0.31765119085785498</v>
      </c>
      <c r="AJ8" s="10">
        <v>0.65055636362743996</v>
      </c>
      <c r="AK8" s="15"/>
      <c r="AL8" s="13">
        <v>16</v>
      </c>
      <c r="AM8" s="13">
        <v>1</v>
      </c>
      <c r="AN8" s="13">
        <v>1</v>
      </c>
      <c r="AO8" s="13">
        <v>2</v>
      </c>
      <c r="AP8" s="13">
        <v>0.01</v>
      </c>
      <c r="AQ8" s="13">
        <v>8</v>
      </c>
      <c r="AR8" s="13">
        <v>15000</v>
      </c>
      <c r="AS8" s="13">
        <v>444.4</v>
      </c>
    </row>
    <row r="9" spans="1:45" x14ac:dyDescent="0.3">
      <c r="A9" s="17">
        <v>0.3</v>
      </c>
      <c r="B9" s="17">
        <v>0</v>
      </c>
      <c r="C9" s="17">
        <v>0</v>
      </c>
      <c r="D9" s="17">
        <v>42</v>
      </c>
      <c r="E9" s="17" t="s">
        <v>26</v>
      </c>
      <c r="F9" s="15">
        <f t="shared" si="4"/>
        <v>-0.78908072051528999</v>
      </c>
      <c r="G9" s="15">
        <f t="shared" si="5"/>
        <v>-0.15643568404633801</v>
      </c>
      <c r="H9" s="30">
        <f t="shared" ref="H9:H21" si="6">O9-R9</f>
        <v>4.2463768102708022E-2</v>
      </c>
      <c r="I9" s="31">
        <f t="shared" ref="I9:I21" si="7">O9-W9</f>
        <v>-0.74661695241258197</v>
      </c>
      <c r="J9" s="32">
        <f>M9-AA9</f>
        <v>0.36277871944921547</v>
      </c>
      <c r="K9" s="37">
        <f>M9-P9</f>
        <v>-4.3133930512679886E-3</v>
      </c>
      <c r="L9" s="37">
        <f>N9-Q9</f>
        <v>-6.9152274757150023E-2</v>
      </c>
      <c r="M9">
        <v>0.42517609682218899</v>
      </c>
      <c r="N9">
        <v>-0.411557255611051</v>
      </c>
      <c r="O9">
        <v>0.59173819207065803</v>
      </c>
      <c r="P9" s="3">
        <v>0.42948948987345698</v>
      </c>
      <c r="Q9" s="3">
        <v>-0.34240498085390098</v>
      </c>
      <c r="R9" s="3">
        <v>0.54927442396795001</v>
      </c>
      <c r="S9" s="15">
        <v>1.260662E-5</v>
      </c>
      <c r="T9" s="16">
        <v>0.3</v>
      </c>
      <c r="U9" s="7">
        <v>-0.51319640661020205</v>
      </c>
      <c r="V9" s="7">
        <v>-1.23605175498728</v>
      </c>
      <c r="W9" s="7">
        <v>1.33835514448324</v>
      </c>
      <c r="X9" s="15">
        <v>-0.15643568404633801</v>
      </c>
      <c r="Y9" s="15">
        <v>4.4370460000000002E-5</v>
      </c>
      <c r="Z9" s="15">
        <v>0.99992700000000001</v>
      </c>
      <c r="AA9" s="5">
        <v>6.2397377372973503E-2</v>
      </c>
      <c r="AB9" s="5">
        <v>-0.70294617421998395</v>
      </c>
      <c r="AC9" s="5">
        <v>0.70571010801428802</v>
      </c>
      <c r="AD9" s="15">
        <v>0.1634166</v>
      </c>
      <c r="AE9" s="15">
        <v>0.7291029</v>
      </c>
      <c r="AF9" s="20">
        <v>0.41836667621661899</v>
      </c>
      <c r="AG9" s="20">
        <v>-0.41836667621661899</v>
      </c>
      <c r="AH9" s="10">
        <v>6.2397377372973503E-2</v>
      </c>
      <c r="AI9" s="10">
        <v>-0.70294617421998395</v>
      </c>
      <c r="AJ9" s="10">
        <v>0.70571010801428802</v>
      </c>
      <c r="AK9" s="15"/>
      <c r="AL9" s="13">
        <v>16</v>
      </c>
      <c r="AM9" s="13">
        <v>1</v>
      </c>
      <c r="AN9" s="13">
        <v>1</v>
      </c>
      <c r="AO9" s="13">
        <v>2</v>
      </c>
      <c r="AP9" s="13">
        <v>0.01</v>
      </c>
      <c r="AQ9" s="13">
        <v>8</v>
      </c>
      <c r="AR9" s="13">
        <v>15000</v>
      </c>
      <c r="AS9" s="13">
        <v>506.8</v>
      </c>
    </row>
    <row r="10" spans="1:45" x14ac:dyDescent="0.3">
      <c r="A10" s="17">
        <v>0.4</v>
      </c>
      <c r="B10" s="17">
        <v>0</v>
      </c>
      <c r="C10" s="17">
        <v>0</v>
      </c>
      <c r="D10" s="17">
        <v>45</v>
      </c>
      <c r="E10" s="17" t="s">
        <v>26</v>
      </c>
      <c r="F10" s="15">
        <f t="shared" si="4"/>
        <v>-1.3594691812391981</v>
      </c>
      <c r="G10" s="15">
        <f t="shared" si="5"/>
        <v>-0.76886848988379797</v>
      </c>
      <c r="H10" s="30">
        <f t="shared" si="6"/>
        <v>5.2032268018549988E-2</v>
      </c>
      <c r="I10" s="31">
        <f t="shared" si="7"/>
        <v>-1.307436913220648</v>
      </c>
      <c r="J10" s="32">
        <f>M10-AA10</f>
        <v>-0.47763406431617295</v>
      </c>
      <c r="K10" s="37">
        <f t="shared" ref="K10" si="8">M10-P10</f>
        <v>-5.2667206278559919E-3</v>
      </c>
      <c r="L10" s="37">
        <f t="shared" ref="L10" si="9">N10-Q10</f>
        <v>-8.6629649314890977E-2</v>
      </c>
      <c r="M10">
        <v>0.427445903690712</v>
      </c>
      <c r="N10">
        <v>-0.40928744874252798</v>
      </c>
      <c r="O10">
        <v>0.59179913507890203</v>
      </c>
      <c r="P10" s="3">
        <v>0.432712624318568</v>
      </c>
      <c r="Q10" s="3">
        <v>-0.322657799427637</v>
      </c>
      <c r="R10" s="3">
        <v>0.53976686706035204</v>
      </c>
      <c r="S10" s="15">
        <v>1.0709689999999999E-5</v>
      </c>
      <c r="T10" s="16">
        <v>0.4</v>
      </c>
      <c r="U10" s="7">
        <v>1.3477248477236099</v>
      </c>
      <c r="V10" s="7">
        <v>-1.33818358306656</v>
      </c>
      <c r="W10" s="7">
        <v>1.8992360482995501</v>
      </c>
      <c r="X10" s="15">
        <v>-0.76886848988379797</v>
      </c>
      <c r="Y10" s="15">
        <v>5.9196040000000003E-5</v>
      </c>
      <c r="Z10" s="15">
        <v>0.99996499999999999</v>
      </c>
      <c r="AA10" s="5">
        <v>0.90507996800688495</v>
      </c>
      <c r="AB10" s="5">
        <v>-0.94517551224997798</v>
      </c>
      <c r="AC10" s="5">
        <v>1.30863535694415</v>
      </c>
      <c r="AD10" s="15">
        <v>0.2090562</v>
      </c>
      <c r="AE10" s="15">
        <v>0.59714639999999997</v>
      </c>
      <c r="AF10" s="20">
        <v>0.41836667621661899</v>
      </c>
      <c r="AG10" s="20">
        <v>-0.41836667621661899</v>
      </c>
      <c r="AH10" s="10">
        <v>0.90507996800688495</v>
      </c>
      <c r="AI10" s="10">
        <v>-0.94517551224997798</v>
      </c>
      <c r="AJ10" s="10">
        <v>1.30863535694415</v>
      </c>
      <c r="AK10" s="15"/>
      <c r="AL10" s="13">
        <v>16</v>
      </c>
      <c r="AM10" s="13">
        <v>1</v>
      </c>
      <c r="AN10" s="13">
        <v>1</v>
      </c>
      <c r="AO10" s="13">
        <v>2</v>
      </c>
      <c r="AP10" s="13">
        <v>0.01</v>
      </c>
      <c r="AQ10" s="13">
        <v>8</v>
      </c>
      <c r="AR10" s="13">
        <v>15000</v>
      </c>
      <c r="AS10" s="13">
        <v>538.4</v>
      </c>
    </row>
    <row r="11" spans="1:45" x14ac:dyDescent="0.3">
      <c r="A11" s="17">
        <v>0.5</v>
      </c>
      <c r="B11" s="17">
        <v>0</v>
      </c>
      <c r="C11" s="17">
        <v>0</v>
      </c>
      <c r="D11" s="17">
        <v>45</v>
      </c>
      <c r="E11" s="17" t="s">
        <v>26</v>
      </c>
      <c r="F11" s="15">
        <f t="shared" si="4"/>
        <v>-9.2164085226057013E-2</v>
      </c>
      <c r="G11" s="15">
        <f t="shared" si="5"/>
        <v>0.20171241190377698</v>
      </c>
      <c r="H11" s="30">
        <f t="shared" si="6"/>
        <v>3.0127658756357034E-2</v>
      </c>
      <c r="I11" s="31">
        <f t="shared" si="7"/>
        <v>-6.2036426469699979E-2</v>
      </c>
      <c r="J11" s="32">
        <f>M11-AA11</f>
        <v>0.78890325657994609</v>
      </c>
      <c r="K11" s="37">
        <f>M11-P11</f>
        <v>0.87107448655430808</v>
      </c>
      <c r="L11" s="37">
        <f>N11-Q11</f>
        <v>-0.75453065431637101</v>
      </c>
      <c r="M11">
        <v>0.42971571055923502</v>
      </c>
      <c r="N11">
        <v>-0.40701764187400502</v>
      </c>
      <c r="O11">
        <v>0.59187748115476002</v>
      </c>
      <c r="P11" s="3">
        <v>-0.441358775995073</v>
      </c>
      <c r="Q11" s="3">
        <v>0.34751301244236599</v>
      </c>
      <c r="R11" s="3">
        <v>0.56174982239840299</v>
      </c>
      <c r="S11" s="15">
        <v>1.116719E-5</v>
      </c>
      <c r="T11" s="16">
        <v>0.5</v>
      </c>
      <c r="U11" s="7">
        <v>-0.63414752803858399</v>
      </c>
      <c r="V11" s="7">
        <v>0.159562875592174</v>
      </c>
      <c r="W11" s="7">
        <v>0.65391390762446</v>
      </c>
      <c r="X11" s="15">
        <v>0.20171241190377698</v>
      </c>
      <c r="Y11" s="15">
        <v>5.5661439999999998E-5</v>
      </c>
      <c r="Z11" s="15">
        <v>0.99996399999999996</v>
      </c>
      <c r="AA11" s="5">
        <v>-0.35918754602071101</v>
      </c>
      <c r="AB11" s="5">
        <v>2.4723344015225201E-2</v>
      </c>
      <c r="AC11" s="5">
        <v>0.36003741049462601</v>
      </c>
      <c r="AD11" s="15">
        <v>0.21294950000000001</v>
      </c>
      <c r="AE11" s="15">
        <v>0.92513860000000003</v>
      </c>
      <c r="AF11" s="20">
        <v>0.41836667621661899</v>
      </c>
      <c r="AG11" s="20">
        <v>-0.41836667621661899</v>
      </c>
      <c r="AH11" s="10">
        <v>-0.35918754602071101</v>
      </c>
      <c r="AI11" s="10">
        <v>2.4723344015225201E-2</v>
      </c>
      <c r="AJ11" s="10">
        <v>0.36003741049462601</v>
      </c>
      <c r="AK11" s="15"/>
      <c r="AL11" s="13">
        <v>16</v>
      </c>
      <c r="AM11" s="13">
        <v>1</v>
      </c>
      <c r="AN11" s="13">
        <v>1</v>
      </c>
      <c r="AO11" s="13">
        <v>2</v>
      </c>
      <c r="AP11" s="13">
        <v>0.01</v>
      </c>
      <c r="AQ11" s="13">
        <v>8</v>
      </c>
      <c r="AR11" s="13">
        <v>15000</v>
      </c>
      <c r="AS11" s="13">
        <v>561.20000000000005</v>
      </c>
    </row>
    <row r="12" spans="1:45" x14ac:dyDescent="0.3">
      <c r="A12" s="17">
        <v>0.6</v>
      </c>
      <c r="B12" s="17">
        <v>0</v>
      </c>
      <c r="C12" s="17">
        <v>0</v>
      </c>
      <c r="D12" s="17">
        <v>42</v>
      </c>
      <c r="E12" s="17" t="s">
        <v>26</v>
      </c>
      <c r="F12" s="15">
        <f t="shared" si="4"/>
        <v>-0.84354539986524113</v>
      </c>
      <c r="G12" s="15">
        <f t="shared" si="5"/>
        <v>-0.68426980158545092</v>
      </c>
      <c r="H12" s="30">
        <f t="shared" si="6"/>
        <v>7.736887001860604E-2</v>
      </c>
      <c r="I12" s="31">
        <f t="shared" si="7"/>
        <v>-0.76617652984663509</v>
      </c>
      <c r="J12" s="32">
        <f>M12-AA12</f>
        <v>-0.72763073535445111</v>
      </c>
      <c r="K12" s="37">
        <f t="shared" ref="K12:K13" si="10">M12-P12</f>
        <v>0.86504763238912996</v>
      </c>
      <c r="L12" s="37">
        <f t="shared" ref="L12:L13" si="11">N12-Q12</f>
        <v>-0.68273136885670693</v>
      </c>
      <c r="M12">
        <v>0.43198551742775898</v>
      </c>
      <c r="N12">
        <v>-0.404747835005482</v>
      </c>
      <c r="O12">
        <v>0.59197322338848501</v>
      </c>
      <c r="P12" s="3">
        <v>-0.43306211496137098</v>
      </c>
      <c r="Q12" s="3">
        <v>0.27798353385122498</v>
      </c>
      <c r="R12" s="3">
        <v>0.51460435336987898</v>
      </c>
      <c r="S12" s="15">
        <v>1.134407E-5</v>
      </c>
      <c r="T12" s="16">
        <v>0.6</v>
      </c>
      <c r="U12" s="7">
        <v>1.29884440994618</v>
      </c>
      <c r="V12" s="7">
        <v>0.39695585518314602</v>
      </c>
      <c r="W12" s="7">
        <v>1.3581497532351201</v>
      </c>
      <c r="X12" s="15">
        <v>-0.68426980158545092</v>
      </c>
      <c r="Y12" s="15">
        <v>4.9417360000000003E-5</v>
      </c>
      <c r="Z12" s="15">
        <v>0.99993200000000004</v>
      </c>
      <c r="AA12" s="5">
        <v>1.15961625278221</v>
      </c>
      <c r="AB12" s="5">
        <v>0.30428504022248598</v>
      </c>
      <c r="AC12" s="5">
        <v>1.1988741549553299</v>
      </c>
      <c r="AD12" s="15">
        <v>0.19559570000000001</v>
      </c>
      <c r="AE12" s="15">
        <v>1.328659</v>
      </c>
      <c r="AF12" s="20">
        <v>0.41836667621661899</v>
      </c>
      <c r="AG12" s="20">
        <v>-0.41836667621661899</v>
      </c>
      <c r="AH12" s="10">
        <v>1.15961625278221</v>
      </c>
      <c r="AI12" s="10">
        <v>0.30428504022248598</v>
      </c>
      <c r="AJ12" s="10">
        <v>1.1988741549553299</v>
      </c>
      <c r="AK12" s="15"/>
      <c r="AL12" s="13">
        <v>16</v>
      </c>
      <c r="AM12" s="13">
        <v>1</v>
      </c>
      <c r="AN12" s="13">
        <v>1</v>
      </c>
      <c r="AO12" s="13">
        <v>2</v>
      </c>
      <c r="AP12" s="13">
        <v>0.01</v>
      </c>
      <c r="AQ12" s="13">
        <v>8</v>
      </c>
      <c r="AR12" s="13">
        <v>15000</v>
      </c>
      <c r="AS12" s="13">
        <v>564.4</v>
      </c>
    </row>
    <row r="13" spans="1:45" x14ac:dyDescent="0.3">
      <c r="A13" s="17">
        <v>0.7</v>
      </c>
      <c r="B13" s="17">
        <v>0</v>
      </c>
      <c r="C13" s="17">
        <v>0</v>
      </c>
      <c r="D13" s="17">
        <v>42</v>
      </c>
      <c r="E13" s="17" t="s">
        <v>26</v>
      </c>
      <c r="F13" s="15">
        <f t="shared" si="4"/>
        <v>-1.4145697130045529</v>
      </c>
      <c r="G13" s="15">
        <f t="shared" si="5"/>
        <v>-1.1659008059386928</v>
      </c>
      <c r="H13" s="30">
        <f t="shared" si="6"/>
        <v>8.0780094156347015E-2</v>
      </c>
      <c r="I13" s="31">
        <f t="shared" si="7"/>
        <v>-1.3337896188482059</v>
      </c>
      <c r="J13" s="32">
        <f>M13-AA13</f>
        <v>-0.91896404012691801</v>
      </c>
      <c r="K13" s="37">
        <f t="shared" si="10"/>
        <v>5.2653408476490138E-3</v>
      </c>
      <c r="L13" s="37">
        <f t="shared" si="11"/>
        <v>-0.12426644537632198</v>
      </c>
      <c r="M13">
        <v>0.434255324296282</v>
      </c>
      <c r="N13">
        <v>-0.40247802813695999</v>
      </c>
      <c r="O13">
        <v>0.59208635334103399</v>
      </c>
      <c r="P13" s="3">
        <v>0.42898998344863298</v>
      </c>
      <c r="Q13" s="3">
        <v>-0.27821158276063801</v>
      </c>
      <c r="R13" s="3">
        <v>0.51130625918468697</v>
      </c>
      <c r="S13" s="15">
        <v>1.3134060000000001E-5</v>
      </c>
      <c r="T13" s="16">
        <v>0.7</v>
      </c>
      <c r="U13" s="7">
        <v>1.47819152095449</v>
      </c>
      <c r="V13" s="7">
        <v>-1.2344829231844801</v>
      </c>
      <c r="W13" s="7">
        <v>1.92587597218924</v>
      </c>
      <c r="X13" s="15">
        <v>-1.1659008059386928</v>
      </c>
      <c r="Y13" s="15">
        <v>6.0528790000000002E-5</v>
      </c>
      <c r="Z13" s="15">
        <v>0.99991200000000002</v>
      </c>
      <c r="AA13" s="5">
        <v>1.3532193644232</v>
      </c>
      <c r="AB13" s="5">
        <v>-0.99086875571381905</v>
      </c>
      <c r="AC13" s="5">
        <v>1.6772070651233799</v>
      </c>
      <c r="AD13" s="15">
        <v>0.17096130000000001</v>
      </c>
      <c r="AE13" s="15">
        <v>0.69584840000000003</v>
      </c>
      <c r="AF13" s="20">
        <v>0.41836667621661899</v>
      </c>
      <c r="AG13" s="20">
        <v>-0.41836667621661899</v>
      </c>
      <c r="AH13" s="10">
        <v>1.3532193644232</v>
      </c>
      <c r="AI13" s="10">
        <v>-0.99086875571381905</v>
      </c>
      <c r="AJ13" s="10">
        <v>1.6772070651233799</v>
      </c>
      <c r="AK13" s="15"/>
      <c r="AL13" s="13">
        <v>16</v>
      </c>
      <c r="AM13" s="13">
        <v>1</v>
      </c>
      <c r="AN13" s="13">
        <v>1</v>
      </c>
      <c r="AO13" s="13">
        <v>2</v>
      </c>
      <c r="AP13" s="13">
        <v>0.01</v>
      </c>
      <c r="AQ13" s="13">
        <v>8</v>
      </c>
      <c r="AR13" s="13">
        <v>15000</v>
      </c>
      <c r="AS13" s="13">
        <v>588</v>
      </c>
    </row>
    <row r="14" spans="1:45" x14ac:dyDescent="0.3">
      <c r="A14" s="17">
        <v>0.8</v>
      </c>
      <c r="B14" s="17">
        <v>0</v>
      </c>
      <c r="C14" s="17">
        <v>0</v>
      </c>
      <c r="D14" s="17">
        <v>42</v>
      </c>
      <c r="E14" s="17" t="s">
        <v>26</v>
      </c>
      <c r="F14" s="15">
        <f t="shared" si="4"/>
        <v>-1.5429140289728069</v>
      </c>
      <c r="G14" s="15">
        <f t="shared" si="5"/>
        <v>-1.1908294650063769</v>
      </c>
      <c r="H14" s="30">
        <f t="shared" si="6"/>
        <v>0.18172808884532604</v>
      </c>
      <c r="I14" s="31">
        <f t="shared" si="7"/>
        <v>-1.3611859401274811</v>
      </c>
      <c r="J14" s="32">
        <f>M14-AA14</f>
        <v>1.0560073451687024E-2</v>
      </c>
      <c r="K14" s="31"/>
      <c r="L14" s="31"/>
      <c r="M14">
        <v>0.43652513116480501</v>
      </c>
      <c r="N14">
        <v>-0.40020822126843703</v>
      </c>
      <c r="O14">
        <v>0.59221686104778903</v>
      </c>
      <c r="P14" s="3">
        <v>0.40284725419550899</v>
      </c>
      <c r="Q14" s="3">
        <v>-7.8836044366930799E-2</v>
      </c>
      <c r="R14" s="3">
        <v>0.41048877220246299</v>
      </c>
      <c r="S14" s="15">
        <v>1.322406E-5</v>
      </c>
      <c r="T14" s="16">
        <v>0.8</v>
      </c>
      <c r="U14" s="7">
        <v>0.36500845508625501</v>
      </c>
      <c r="V14" s="7">
        <v>-1.9189974808099499</v>
      </c>
      <c r="W14" s="7">
        <v>1.95340280117527</v>
      </c>
      <c r="X14" s="15">
        <v>-1.1908294650063769</v>
      </c>
      <c r="Y14" s="15">
        <v>1.054128E-4</v>
      </c>
      <c r="Z14" s="15">
        <v>0.99988500000000002</v>
      </c>
      <c r="AA14" s="5">
        <v>0.42596505771311799</v>
      </c>
      <c r="AB14" s="5">
        <v>-1.5436236155310299</v>
      </c>
      <c r="AC14" s="5">
        <v>1.6013182372088399</v>
      </c>
      <c r="AD14" s="15">
        <v>0.14611350000000001</v>
      </c>
      <c r="AE14" s="15">
        <v>0.91485249999999996</v>
      </c>
      <c r="AF14" s="20">
        <v>0.41836667621661899</v>
      </c>
      <c r="AG14" s="20">
        <v>-0.41836667621661899</v>
      </c>
      <c r="AH14" s="10">
        <v>0.42596505771311799</v>
      </c>
      <c r="AI14" s="10">
        <v>-1.5436236155310299</v>
      </c>
      <c r="AJ14" s="10">
        <v>1.6013182372088399</v>
      </c>
      <c r="AK14" s="15"/>
      <c r="AL14" s="13">
        <v>16</v>
      </c>
      <c r="AM14" s="13">
        <v>1</v>
      </c>
      <c r="AN14" s="13">
        <v>1</v>
      </c>
      <c r="AO14" s="13">
        <v>2</v>
      </c>
      <c r="AP14" s="13">
        <v>0.01</v>
      </c>
      <c r="AQ14" s="13">
        <v>8</v>
      </c>
      <c r="AR14" s="13">
        <v>15000</v>
      </c>
      <c r="AS14" s="13">
        <v>582.9</v>
      </c>
    </row>
    <row r="15" spans="1:45" x14ac:dyDescent="0.3">
      <c r="A15" s="17">
        <v>0.9</v>
      </c>
      <c r="B15" s="17">
        <v>0</v>
      </c>
      <c r="C15" s="17">
        <v>0</v>
      </c>
      <c r="D15" s="17">
        <v>99</v>
      </c>
      <c r="E15" s="17" t="s">
        <v>26</v>
      </c>
      <c r="F15" s="15">
        <f t="shared" si="4"/>
        <v>-1.166235658952806</v>
      </c>
      <c r="G15" s="15">
        <f t="shared" si="5"/>
        <v>-0.75154478443724593</v>
      </c>
      <c r="H15" s="30">
        <f t="shared" si="6"/>
        <v>5.451557479979896E-2</v>
      </c>
      <c r="I15" s="31">
        <f t="shared" si="7"/>
        <v>-1.1117200841530068</v>
      </c>
      <c r="J15" s="32">
        <f>M15-AA15</f>
        <v>0.84393645245891991</v>
      </c>
      <c r="K15" s="31"/>
      <c r="L15" s="31"/>
      <c r="M15">
        <v>0.43879493803332797</v>
      </c>
      <c r="N15">
        <v>-0.39793841439991401</v>
      </c>
      <c r="O15">
        <v>0.59236473502293296</v>
      </c>
      <c r="P15" s="3">
        <v>-0.44753086447989698</v>
      </c>
      <c r="Q15" s="3">
        <v>0.29832506513969997</v>
      </c>
      <c r="R15" s="3">
        <v>0.537849160223134</v>
      </c>
      <c r="S15" s="15">
        <v>2.0992099999999998E-5</v>
      </c>
      <c r="T15" s="16">
        <v>0.9</v>
      </c>
      <c r="U15" s="7">
        <v>-1.09647851053595</v>
      </c>
      <c r="V15" s="7">
        <v>-1.30446922036466</v>
      </c>
      <c r="W15" s="7">
        <v>1.7040848191759399</v>
      </c>
      <c r="X15" s="15">
        <v>-0.75154478443724593</v>
      </c>
      <c r="Y15" s="15">
        <v>2.008685E-4</v>
      </c>
      <c r="Z15" s="15">
        <v>0.99987599999999999</v>
      </c>
      <c r="AA15" s="5">
        <v>-0.40514151442559199</v>
      </c>
      <c r="AB15" s="5">
        <v>-1.22409031440323</v>
      </c>
      <c r="AC15" s="5">
        <v>1.2893939446603799</v>
      </c>
      <c r="AD15" s="15">
        <v>0.12389749999999999</v>
      </c>
      <c r="AE15" s="15">
        <v>1.181179</v>
      </c>
      <c r="AF15" s="20">
        <v>0.41836667621661899</v>
      </c>
      <c r="AG15" s="20">
        <v>-0.41836667621661899</v>
      </c>
      <c r="AH15" s="10">
        <v>-0.40514151442559199</v>
      </c>
      <c r="AI15" s="10">
        <v>-1.22409031440323</v>
      </c>
      <c r="AJ15" s="10">
        <v>1.2893939446603799</v>
      </c>
      <c r="AK15" s="15"/>
      <c r="AL15" s="13">
        <v>16</v>
      </c>
      <c r="AM15" s="13">
        <v>1</v>
      </c>
      <c r="AN15" s="13">
        <v>1</v>
      </c>
      <c r="AO15" s="13">
        <v>2</v>
      </c>
      <c r="AP15" s="13">
        <v>0.01</v>
      </c>
      <c r="AQ15" s="13">
        <v>8</v>
      </c>
      <c r="AR15" s="13">
        <v>15000</v>
      </c>
      <c r="AS15" s="13">
        <v>587.9</v>
      </c>
    </row>
    <row r="16" spans="1:45" x14ac:dyDescent="0.3">
      <c r="A16" s="17">
        <v>1</v>
      </c>
      <c r="B16" s="17">
        <v>0</v>
      </c>
      <c r="C16" s="17">
        <v>0</v>
      </c>
      <c r="D16" s="17">
        <v>45</v>
      </c>
      <c r="E16" s="17" t="s">
        <v>26</v>
      </c>
      <c r="F16" s="15">
        <f t="shared" si="4"/>
        <v>-0.72293426116734394</v>
      </c>
      <c r="G16" s="15">
        <f t="shared" si="5"/>
        <v>-0.51616790447968208</v>
      </c>
      <c r="H16" s="30">
        <f t="shared" si="6"/>
        <v>0.16305248967747893</v>
      </c>
      <c r="I16" s="31">
        <f t="shared" si="7"/>
        <v>-0.55988177148986507</v>
      </c>
      <c r="J16" s="32">
        <f>M16-AA16</f>
        <v>1.194906694961106</v>
      </c>
      <c r="K16" s="31"/>
      <c r="L16" s="31"/>
      <c r="M16">
        <v>0.44106474490185099</v>
      </c>
      <c r="N16">
        <v>-0.39566860753139099</v>
      </c>
      <c r="O16">
        <v>0.59252996226449495</v>
      </c>
      <c r="P16" s="3">
        <v>0.38875603774941703</v>
      </c>
      <c r="Q16" s="3">
        <v>-0.18253668829335301</v>
      </c>
      <c r="R16" s="3">
        <v>0.42947747258701602</v>
      </c>
      <c r="S16" s="15">
        <v>1.370807E-5</v>
      </c>
      <c r="T16" s="16">
        <v>1</v>
      </c>
      <c r="U16" s="7">
        <v>0.23895537712982301</v>
      </c>
      <c r="V16" s="7">
        <v>-1.1273655715141699</v>
      </c>
      <c r="W16" s="7">
        <v>1.15241173375436</v>
      </c>
      <c r="X16" s="15">
        <v>-0.51616790447968208</v>
      </c>
      <c r="Y16" s="15">
        <v>1.005259E-4</v>
      </c>
      <c r="Z16" s="15">
        <v>0.99990699999999999</v>
      </c>
      <c r="AA16" s="5">
        <v>-0.75384195005925503</v>
      </c>
      <c r="AB16" s="5">
        <v>-0.57093562990802804</v>
      </c>
      <c r="AC16" s="5">
        <v>0.94564537706669805</v>
      </c>
      <c r="AD16" s="15">
        <v>0.1050461</v>
      </c>
      <c r="AE16" s="15">
        <v>1.276173</v>
      </c>
      <c r="AF16" s="20">
        <v>0.41836667621661899</v>
      </c>
      <c r="AG16" s="20">
        <v>-0.41836667621661899</v>
      </c>
      <c r="AH16" s="10">
        <v>-0.75384195005925503</v>
      </c>
      <c r="AI16" s="10">
        <v>-0.57093562990802804</v>
      </c>
      <c r="AJ16" s="10">
        <v>0.94564537706669805</v>
      </c>
      <c r="AK16" s="15"/>
      <c r="AL16" s="13">
        <v>16</v>
      </c>
      <c r="AM16" s="13">
        <v>1</v>
      </c>
      <c r="AN16" s="13">
        <v>1</v>
      </c>
      <c r="AO16" s="13">
        <v>2</v>
      </c>
      <c r="AP16" s="13">
        <v>0.01</v>
      </c>
      <c r="AQ16" s="13">
        <v>8</v>
      </c>
      <c r="AR16" s="13">
        <v>15000</v>
      </c>
      <c r="AS16" s="13">
        <v>594.29999999999995</v>
      </c>
    </row>
    <row r="17" spans="1:45" x14ac:dyDescent="0.3">
      <c r="A17" s="17">
        <v>1.1000000000000001</v>
      </c>
      <c r="B17" s="17">
        <v>0</v>
      </c>
      <c r="C17" s="17">
        <v>0</v>
      </c>
      <c r="D17" s="17">
        <v>99</v>
      </c>
      <c r="E17" s="17" t="s">
        <v>26</v>
      </c>
      <c r="F17" s="15">
        <f t="shared" si="4"/>
        <v>-0.19082299014612497</v>
      </c>
      <c r="G17" s="15">
        <f t="shared" si="5"/>
        <v>-0.20263556713091696</v>
      </c>
      <c r="H17" s="30">
        <f t="shared" si="6"/>
        <v>9.329743291963305E-2</v>
      </c>
      <c r="I17" s="31">
        <f t="shared" si="7"/>
        <v>-9.7525557226491921E-2</v>
      </c>
      <c r="J17" s="32">
        <f>M17-AA17</f>
        <v>1.1437122908510671</v>
      </c>
      <c r="K17" s="31"/>
      <c r="L17" s="31"/>
      <c r="M17">
        <v>0.44333455177037401</v>
      </c>
      <c r="N17">
        <v>-0.39339880066286798</v>
      </c>
      <c r="O17">
        <v>0.59271252826005005</v>
      </c>
      <c r="P17" s="3">
        <v>0.43364537005112902</v>
      </c>
      <c r="Q17" s="3">
        <v>-0.24772389970912501</v>
      </c>
      <c r="R17" s="3">
        <v>0.499415095340417</v>
      </c>
      <c r="S17" s="15">
        <v>1.947085E-5</v>
      </c>
      <c r="T17" s="16">
        <v>1.1000000000000001</v>
      </c>
      <c r="U17" s="7">
        <v>0.298975925923744</v>
      </c>
      <c r="V17" s="7">
        <v>-0.62212700501920504</v>
      </c>
      <c r="W17" s="7">
        <v>0.69023808548654197</v>
      </c>
      <c r="X17" s="15">
        <v>-0.20263556713091696</v>
      </c>
      <c r="Y17" s="15">
        <v>1.9880749999999999E-4</v>
      </c>
      <c r="Z17" s="15">
        <v>0.99987099999999995</v>
      </c>
      <c r="AA17" s="5">
        <v>-0.70037773908069301</v>
      </c>
      <c r="AB17" s="5">
        <v>4.8437127047911602E-2</v>
      </c>
      <c r="AC17" s="5">
        <v>0.70205066247133396</v>
      </c>
      <c r="AD17" s="15">
        <v>8.9406239999999998E-2</v>
      </c>
      <c r="AE17" s="15">
        <v>1.669478</v>
      </c>
      <c r="AF17" s="20">
        <v>0.41836667621661899</v>
      </c>
      <c r="AG17" s="20">
        <v>-0.41836667621661899</v>
      </c>
      <c r="AH17" s="10">
        <v>-0.70037773908069301</v>
      </c>
      <c r="AI17" s="10">
        <v>4.8437127047911602E-2</v>
      </c>
      <c r="AJ17" s="10">
        <v>0.70205066247133396</v>
      </c>
      <c r="AK17" s="15"/>
      <c r="AL17" s="13">
        <v>16</v>
      </c>
      <c r="AM17" s="13">
        <v>1</v>
      </c>
      <c r="AN17" s="13">
        <v>1</v>
      </c>
      <c r="AO17" s="13">
        <v>2</v>
      </c>
      <c r="AP17" s="13">
        <v>0.01</v>
      </c>
      <c r="AQ17" s="13">
        <v>8</v>
      </c>
      <c r="AR17" s="13">
        <v>15000</v>
      </c>
      <c r="AS17" s="13">
        <v>567.6</v>
      </c>
    </row>
    <row r="18" spans="1:45" x14ac:dyDescent="0.3">
      <c r="A18" s="17">
        <v>2</v>
      </c>
      <c r="B18" s="17">
        <v>0</v>
      </c>
      <c r="C18" s="17">
        <v>0</v>
      </c>
      <c r="D18" s="17">
        <v>42</v>
      </c>
      <c r="E18" s="17" t="s">
        <v>26</v>
      </c>
      <c r="F18" s="15">
        <f t="shared" si="4"/>
        <v>-0.66740646093593603</v>
      </c>
      <c r="G18" s="15">
        <f t="shared" si="5"/>
        <v>-1.281747772931958</v>
      </c>
      <c r="H18" s="30">
        <f t="shared" si="6"/>
        <v>0.28826167677646702</v>
      </c>
      <c r="I18" s="31">
        <f t="shared" si="7"/>
        <v>-0.37914478415946895</v>
      </c>
      <c r="J18" s="32">
        <f>M18-AA18</f>
        <v>-1.116417224803828</v>
      </c>
      <c r="K18" s="31"/>
      <c r="L18" s="31"/>
      <c r="M18">
        <v>0.46376281358708199</v>
      </c>
      <c r="N18">
        <v>-0.37297053884615999</v>
      </c>
      <c r="O18">
        <v>0.59513273318932902</v>
      </c>
      <c r="P18" s="3">
        <v>-0.27992729188315002</v>
      </c>
      <c r="Q18" s="3">
        <v>0.12574003548159199</v>
      </c>
      <c r="R18" s="3">
        <v>0.306871056412862</v>
      </c>
      <c r="S18" s="15">
        <v>1.4754719999999999E-5</v>
      </c>
      <c r="T18" s="16">
        <v>2</v>
      </c>
      <c r="U18" s="7">
        <v>0.76259002379749896</v>
      </c>
      <c r="V18" s="7">
        <v>-0.60636056634305102</v>
      </c>
      <c r="W18" s="7">
        <v>0.97427751734879797</v>
      </c>
      <c r="X18" s="15">
        <v>-1.281747772931958</v>
      </c>
      <c r="Y18" s="15">
        <v>2.605253E-4</v>
      </c>
      <c r="Z18" s="15">
        <v>0.99976299999999996</v>
      </c>
      <c r="AA18" s="5">
        <v>1.5801800383909099</v>
      </c>
      <c r="AB18" s="5">
        <v>0.16352624015679401</v>
      </c>
      <c r="AC18" s="5">
        <v>1.58861882934482</v>
      </c>
      <c r="AD18" s="15">
        <v>2.6561689999999999E-2</v>
      </c>
      <c r="AE18" s="15">
        <v>1.171138</v>
      </c>
      <c r="AF18" s="20">
        <v>0.41836667621661899</v>
      </c>
      <c r="AG18" s="20">
        <v>-0.41836667621661899</v>
      </c>
      <c r="AH18" s="10">
        <v>1.5801800383909099</v>
      </c>
      <c r="AI18" s="10">
        <v>0.16352624015679401</v>
      </c>
      <c r="AJ18" s="10">
        <v>1.58861882934482</v>
      </c>
      <c r="AK18" s="15"/>
      <c r="AL18" s="13">
        <v>16</v>
      </c>
      <c r="AM18" s="13">
        <v>1</v>
      </c>
      <c r="AN18" s="13">
        <v>1</v>
      </c>
      <c r="AO18" s="13">
        <v>2</v>
      </c>
      <c r="AP18" s="13">
        <v>0.01</v>
      </c>
      <c r="AQ18" s="13">
        <v>8</v>
      </c>
      <c r="AR18" s="13">
        <v>15000</v>
      </c>
      <c r="AS18" s="13">
        <v>571.70000000000005</v>
      </c>
    </row>
    <row r="19" spans="1:45" x14ac:dyDescent="0.3">
      <c r="A19" s="17">
        <v>3</v>
      </c>
      <c r="B19" s="17">
        <v>0</v>
      </c>
      <c r="C19" s="17">
        <v>0</v>
      </c>
      <c r="D19" s="17">
        <v>42</v>
      </c>
      <c r="E19" s="17" t="s">
        <v>26</v>
      </c>
      <c r="F19" s="15">
        <f t="shared" si="4"/>
        <v>-1.363905243264959</v>
      </c>
      <c r="G19" s="15">
        <f t="shared" si="5"/>
        <v>-1.2800812362153591</v>
      </c>
      <c r="H19" s="30">
        <f t="shared" si="6"/>
        <v>6.9619278707717003E-2</v>
      </c>
      <c r="I19" s="31">
        <f t="shared" si="7"/>
        <v>-1.294285964557242</v>
      </c>
      <c r="J19" s="32">
        <f>M19-AA19</f>
        <v>-1.064998484757508</v>
      </c>
      <c r="K19" s="31"/>
      <c r="L19" s="31"/>
      <c r="M19">
        <v>0.48646088227231199</v>
      </c>
      <c r="N19">
        <v>-0.35027247016092999</v>
      </c>
      <c r="O19">
        <v>0.59944557161913803</v>
      </c>
      <c r="P19" s="3">
        <v>0.44467422076545299</v>
      </c>
      <c r="Q19" s="3">
        <v>-0.28806377427037899</v>
      </c>
      <c r="R19" s="3">
        <v>0.52982629291142103</v>
      </c>
      <c r="S19" s="15">
        <v>4.128381E-5</v>
      </c>
      <c r="T19" s="16">
        <v>3</v>
      </c>
      <c r="U19" s="7">
        <v>1.88712470203465</v>
      </c>
      <c r="V19" s="7">
        <v>0.15804901163740101</v>
      </c>
      <c r="W19" s="7">
        <v>1.89373153617638</v>
      </c>
      <c r="X19" s="15">
        <v>-1.2800812362153591</v>
      </c>
      <c r="Y19" s="15">
        <v>5.4041460000000001E-4</v>
      </c>
      <c r="Z19" s="15">
        <v>0.99931599999999998</v>
      </c>
      <c r="AA19" s="5">
        <v>1.55145936702982</v>
      </c>
      <c r="AB19" s="5">
        <v>-0.93206174497467897</v>
      </c>
      <c r="AC19" s="5">
        <v>1.8099075291267801</v>
      </c>
      <c r="AD19" s="15">
        <v>9.7190530000000001E-3</v>
      </c>
      <c r="AE19" s="15">
        <v>0.70750040000000003</v>
      </c>
      <c r="AF19" s="20">
        <v>0.41836667621661899</v>
      </c>
      <c r="AG19" s="20">
        <v>-0.41836667621661899</v>
      </c>
      <c r="AH19" s="10">
        <v>1.55145936702982</v>
      </c>
      <c r="AI19" s="10">
        <v>-0.93206174497467897</v>
      </c>
      <c r="AJ19" s="10">
        <v>1.8099075291267801</v>
      </c>
      <c r="AK19" s="15"/>
      <c r="AL19" s="13">
        <v>16</v>
      </c>
      <c r="AM19" s="13">
        <v>1</v>
      </c>
      <c r="AN19" s="13">
        <v>1</v>
      </c>
      <c r="AO19" s="13">
        <v>2</v>
      </c>
      <c r="AP19" s="13">
        <v>0.01</v>
      </c>
      <c r="AQ19" s="13">
        <v>8</v>
      </c>
      <c r="AR19" s="13">
        <v>15000</v>
      </c>
      <c r="AS19" s="13">
        <v>569</v>
      </c>
    </row>
    <row r="20" spans="1:45" x14ac:dyDescent="0.3">
      <c r="A20" s="17">
        <v>4</v>
      </c>
      <c r="B20" s="17">
        <v>0</v>
      </c>
      <c r="C20" s="17">
        <v>0</v>
      </c>
      <c r="D20" s="17">
        <v>42</v>
      </c>
      <c r="E20" s="17" t="s">
        <v>26</v>
      </c>
      <c r="F20" s="15">
        <f t="shared" si="4"/>
        <v>-1.3271502024764159</v>
      </c>
      <c r="G20" s="15">
        <f t="shared" si="5"/>
        <v>-1.537312238142396</v>
      </c>
      <c r="H20" s="30">
        <f t="shared" si="6"/>
        <v>0.45485082130591303</v>
      </c>
      <c r="I20" s="31">
        <f t="shared" si="7"/>
        <v>-0.87229938117050287</v>
      </c>
      <c r="J20" s="32">
        <f>M20-AA20</f>
        <v>-0.49461237992392693</v>
      </c>
      <c r="K20" s="31"/>
      <c r="L20" s="31"/>
      <c r="M20">
        <v>0.50915895095754304</v>
      </c>
      <c r="N20">
        <v>-0.327574401475699</v>
      </c>
      <c r="O20">
        <v>0.60543193328593703</v>
      </c>
      <c r="P20" s="3">
        <v>8.9165534081367695E-2</v>
      </c>
      <c r="Q20" s="3">
        <v>-0.12134322732285099</v>
      </c>
      <c r="R20" s="3">
        <v>0.150581111980024</v>
      </c>
      <c r="S20" s="36">
        <v>0.36657911413458599</v>
      </c>
      <c r="T20" s="16">
        <v>4</v>
      </c>
      <c r="U20" s="7">
        <v>0.13921922245985499</v>
      </c>
      <c r="V20" s="7">
        <v>-1.4711586745904801</v>
      </c>
      <c r="W20" s="7">
        <v>1.4777313144564399</v>
      </c>
      <c r="X20" s="15">
        <v>-1.537312238142396</v>
      </c>
      <c r="Y20" s="15">
        <v>2.982808E-4</v>
      </c>
      <c r="Z20" s="15">
        <v>0.999668</v>
      </c>
      <c r="AA20" s="5">
        <v>1.00377133088147</v>
      </c>
      <c r="AB20" s="5">
        <v>-1.3569919221159401</v>
      </c>
      <c r="AC20" s="5">
        <v>1.68789335012242</v>
      </c>
      <c r="AD20" s="15">
        <v>5.3214699999999997E-2</v>
      </c>
      <c r="AE20" s="15">
        <v>0.91078800000000004</v>
      </c>
      <c r="AF20" s="20">
        <v>0.41836667621661899</v>
      </c>
      <c r="AG20" s="20">
        <v>-0.41836667621661899</v>
      </c>
      <c r="AH20" s="10">
        <v>1.00377133088147</v>
      </c>
      <c r="AI20" s="10">
        <v>-1.3569919221159401</v>
      </c>
      <c r="AJ20" s="10">
        <v>1.68789335012242</v>
      </c>
      <c r="AK20" s="15"/>
      <c r="AL20" s="13">
        <v>16</v>
      </c>
      <c r="AM20" s="13">
        <v>1</v>
      </c>
      <c r="AN20" s="13">
        <v>1</v>
      </c>
      <c r="AO20" s="13">
        <v>2</v>
      </c>
      <c r="AP20" s="13">
        <v>0.01</v>
      </c>
      <c r="AQ20" s="13">
        <v>8</v>
      </c>
      <c r="AR20" s="13">
        <v>15000</v>
      </c>
      <c r="AS20" s="13">
        <v>637.5</v>
      </c>
    </row>
    <row r="21" spans="1:45" ht="15" thickBot="1" x14ac:dyDescent="0.35">
      <c r="A21" s="17">
        <v>8</v>
      </c>
      <c r="B21" s="17">
        <v>0</v>
      </c>
      <c r="C21" s="17">
        <v>0</v>
      </c>
      <c r="D21" s="17">
        <v>45</v>
      </c>
      <c r="E21" s="17" t="s">
        <v>26</v>
      </c>
      <c r="F21" s="15">
        <f t="shared" si="4"/>
        <v>-0.99676046677572394</v>
      </c>
      <c r="G21" s="15">
        <f t="shared" si="5"/>
        <v>-0.95750232152093395</v>
      </c>
      <c r="H21" s="33">
        <f t="shared" si="6"/>
        <v>0.35337106037435506</v>
      </c>
      <c r="I21" s="34">
        <f t="shared" si="7"/>
        <v>-0.64338940640136888</v>
      </c>
      <c r="J21" s="35">
        <f>M21-AA21</f>
        <v>0.87984731705269204</v>
      </c>
      <c r="K21" s="31"/>
      <c r="L21" s="31"/>
      <c r="M21">
        <v>0.59995122569846604</v>
      </c>
      <c r="N21">
        <v>-0.236782126734776</v>
      </c>
      <c r="O21">
        <v>0.64498623920060105</v>
      </c>
      <c r="P21" s="3">
        <v>0.28774808947310299</v>
      </c>
      <c r="Q21" s="3">
        <v>4.73333870163824E-2</v>
      </c>
      <c r="R21" s="3">
        <v>0.29161517882624599</v>
      </c>
      <c r="S21" s="15">
        <v>2.2044449999999999E-5</v>
      </c>
      <c r="T21" s="16">
        <v>8</v>
      </c>
      <c r="U21" s="7">
        <v>-1.28663475804626</v>
      </c>
      <c r="V21" s="7">
        <v>-6.6953741998137903E-2</v>
      </c>
      <c r="W21" s="7">
        <v>1.2883756456019699</v>
      </c>
      <c r="X21" s="15">
        <v>-0.95750232152093395</v>
      </c>
      <c r="Y21" s="15">
        <v>6.1093859999999999E-4</v>
      </c>
      <c r="Z21" s="15">
        <v>0.99940200000000001</v>
      </c>
      <c r="AA21" s="5">
        <v>-0.279896091354226</v>
      </c>
      <c r="AB21" s="5">
        <v>-1.21735479943943</v>
      </c>
      <c r="AC21" s="5">
        <v>1.2491175003471799</v>
      </c>
      <c r="AD21" s="15">
        <v>0.18083740000000001</v>
      </c>
      <c r="AE21" s="15">
        <v>1.109774</v>
      </c>
      <c r="AF21" s="20">
        <v>0.41836667621661899</v>
      </c>
      <c r="AG21" s="20">
        <v>-0.41836667621661899</v>
      </c>
      <c r="AH21" s="10">
        <v>-0.279896091354226</v>
      </c>
      <c r="AI21" s="10">
        <v>-1.21735479943943</v>
      </c>
      <c r="AJ21" s="10">
        <v>1.2491175003471799</v>
      </c>
      <c r="AK21" s="15"/>
      <c r="AL21" s="13">
        <v>16</v>
      </c>
      <c r="AM21" s="13">
        <v>1</v>
      </c>
      <c r="AN21" s="13">
        <v>1</v>
      </c>
      <c r="AO21" s="13">
        <v>2</v>
      </c>
      <c r="AP21" s="13">
        <v>0.01</v>
      </c>
      <c r="AQ21" s="13">
        <v>8</v>
      </c>
      <c r="AR21" s="13">
        <v>15000</v>
      </c>
      <c r="AS21" s="13">
        <v>562.9</v>
      </c>
    </row>
    <row r="22" spans="1:45" s="13" customForma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/>
      <c r="N22"/>
      <c r="O22" s="17"/>
      <c r="U22" s="17"/>
      <c r="V22" s="17"/>
      <c r="W22" s="17"/>
    </row>
    <row r="23" spans="1:45" s="13" customForma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25" t="s">
        <v>56</v>
      </c>
      <c r="N23" s="17"/>
      <c r="O23" s="17"/>
      <c r="R23" s="22" t="s">
        <v>35</v>
      </c>
      <c r="X23" s="17"/>
      <c r="Y23" s="17"/>
      <c r="AC23" s="17" t="s">
        <v>34</v>
      </c>
    </row>
    <row r="24" spans="1:45" x14ac:dyDescent="0.3">
      <c r="D24" s="17" t="s">
        <v>33</v>
      </c>
      <c r="L24" s="17" t="s">
        <v>60</v>
      </c>
      <c r="M24" s="25" t="s">
        <v>44</v>
      </c>
      <c r="N24" s="25" t="s">
        <v>45</v>
      </c>
      <c r="O24" s="25" t="s">
        <v>30</v>
      </c>
      <c r="P24" s="13"/>
      <c r="Q24" s="13"/>
      <c r="R24" s="4" t="s">
        <v>11</v>
      </c>
      <c r="S24" s="4" t="s">
        <v>12</v>
      </c>
      <c r="U24" s="17"/>
      <c r="V24" s="17"/>
      <c r="X24" s="6" t="s">
        <v>31</v>
      </c>
      <c r="Y24" s="6" t="s">
        <v>29</v>
      </c>
      <c r="Z24" s="6" t="s">
        <v>30</v>
      </c>
      <c r="AA24" s="13"/>
      <c r="AB24" s="13"/>
      <c r="AC24" s="13"/>
      <c r="AD24" s="4" t="s">
        <v>11</v>
      </c>
      <c r="AE24" s="4" t="s">
        <v>12</v>
      </c>
      <c r="AF24" s="4" t="s">
        <v>13</v>
      </c>
      <c r="AH24" s="19" t="s">
        <v>17</v>
      </c>
      <c r="AI24" s="13"/>
      <c r="AJ24" s="13"/>
    </row>
    <row r="25" spans="1:45" x14ac:dyDescent="0.3">
      <c r="D25" s="17">
        <v>1</v>
      </c>
      <c r="E25" s="17">
        <v>0</v>
      </c>
      <c r="L25" s="17">
        <v>0</v>
      </c>
      <c r="M25" s="25">
        <v>0.30752200000000002</v>
      </c>
      <c r="N25" s="25">
        <v>-0.30752200000000002</v>
      </c>
      <c r="O25" s="25">
        <v>0.43490099999999998</v>
      </c>
      <c r="P25" s="24">
        <f>T25-AF25</f>
        <v>-7.2164496600635175E-16</v>
      </c>
      <c r="Q25" s="13"/>
      <c r="R25" s="17">
        <v>0.30751371411386302</v>
      </c>
      <c r="S25" s="13">
        <v>-0.30753560602694202</v>
      </c>
      <c r="T25" s="15">
        <f>SQRT(S25^2+R25^2)</f>
        <v>0.43490554531123327</v>
      </c>
      <c r="U25" s="15">
        <f>T25-Z25</f>
        <v>-3.7351285365692655E-3</v>
      </c>
      <c r="V25" s="23">
        <f>Z25-AF25</f>
        <v>3.7351285365685438E-3</v>
      </c>
      <c r="X25" s="11">
        <v>0.30090772494607898</v>
      </c>
      <c r="Y25" s="11">
        <v>-0.319155419539492</v>
      </c>
      <c r="Z25" s="15">
        <f>SQRT(Y25^2+X25^2)</f>
        <v>0.43864067384780253</v>
      </c>
      <c r="AA25" s="18">
        <f>Z25-AF25</f>
        <v>3.7351285365685438E-3</v>
      </c>
      <c r="AB25" s="14"/>
      <c r="AC25" s="18">
        <f>AF25-Z25</f>
        <v>-3.7351285365685438E-3</v>
      </c>
      <c r="AD25" s="12">
        <v>0.30751371411386302</v>
      </c>
      <c r="AE25" s="12">
        <v>-0.30753560602694202</v>
      </c>
      <c r="AF25" s="12">
        <v>0.43490554531123399</v>
      </c>
      <c r="AG25" s="15">
        <f>SQRT(AD25^2+AE25^2)</f>
        <v>0.43490554531123327</v>
      </c>
      <c r="AH25" s="21">
        <v>-0.30752150772800002</v>
      </c>
      <c r="AI25" s="14" t="e">
        <f>SQRT(AH25^2+#REF!^2)</f>
        <v>#REF!</v>
      </c>
      <c r="AJ25" s="13"/>
    </row>
    <row r="26" spans="1:45" x14ac:dyDescent="0.3">
      <c r="D26" s="17">
        <v>1</v>
      </c>
      <c r="E26" s="17">
        <v>0.05</v>
      </c>
      <c r="L26" s="17">
        <v>0.05</v>
      </c>
      <c r="M26" s="25">
        <v>0.30796899999999999</v>
      </c>
      <c r="N26" s="25">
        <v>-0.30707400000000001</v>
      </c>
      <c r="O26" s="25">
        <v>0.43490200000000001</v>
      </c>
      <c r="P26" s="24">
        <f t="shared" ref="P26:P42" si="12">T26-AF26</f>
        <v>-8.3266726846886741E-16</v>
      </c>
      <c r="Q26" s="13"/>
      <c r="R26" s="17">
        <v>0.30792449970265701</v>
      </c>
      <c r="S26" s="13">
        <v>-0.30701084731864298</v>
      </c>
      <c r="T26" s="15">
        <f t="shared" ref="T26:T42" si="13">SQRT(S26^2+R26^2)</f>
        <v>0.43482543381044619</v>
      </c>
      <c r="U26" s="15">
        <f>T26-Z26</f>
        <v>5.817509501963386E-2</v>
      </c>
      <c r="V26" s="23">
        <f t="shared" ref="V26:V42" si="14">Z26-AF26</f>
        <v>-5.8175095019634693E-2</v>
      </c>
      <c r="X26" s="11">
        <v>0.26842235108495399</v>
      </c>
      <c r="Y26" s="11">
        <v>-0.26422512967024803</v>
      </c>
      <c r="Z26" s="15">
        <f t="shared" ref="Z26:Z42" si="15">SQRT(Y26^2+X26^2)</f>
        <v>0.37665033879081233</v>
      </c>
      <c r="AA26" s="18">
        <f t="shared" ref="AA26:AA42" si="16">Z26-AF26</f>
        <v>-5.8175095019634693E-2</v>
      </c>
      <c r="AB26" s="13"/>
      <c r="AC26" s="13"/>
      <c r="AD26" s="12">
        <v>0.30792449970265701</v>
      </c>
      <c r="AE26" s="12">
        <v>-0.30701084731864298</v>
      </c>
      <c r="AF26" s="12">
        <v>0.43482543381044703</v>
      </c>
      <c r="AH26" s="13"/>
      <c r="AI26" s="13"/>
      <c r="AJ26" s="13"/>
    </row>
    <row r="27" spans="1:45" x14ac:dyDescent="0.3">
      <c r="D27" s="17">
        <v>1</v>
      </c>
      <c r="E27" s="17">
        <v>0.1</v>
      </c>
      <c r="L27" s="17">
        <v>0.1</v>
      </c>
      <c r="M27" s="25">
        <v>0.308417</v>
      </c>
      <c r="N27" s="25">
        <v>-0.30662600000000001</v>
      </c>
      <c r="O27" s="25">
        <v>0.43490299999999998</v>
      </c>
      <c r="P27" s="24">
        <f t="shared" si="12"/>
        <v>0</v>
      </c>
      <c r="Q27" s="13"/>
      <c r="R27" s="17">
        <v>0.30827036180782402</v>
      </c>
      <c r="S27" s="13">
        <v>-0.30712646009599198</v>
      </c>
      <c r="T27" s="15">
        <f t="shared" si="13"/>
        <v>0.43515201764466366</v>
      </c>
      <c r="U27" s="15">
        <f>T27-Z27</f>
        <v>-0.29533191024897626</v>
      </c>
      <c r="V27" s="23">
        <f t="shared" si="14"/>
        <v>0.29533191024897593</v>
      </c>
      <c r="X27" s="11">
        <v>0.366782507997157</v>
      </c>
      <c r="Y27" s="11">
        <v>-0.63172570055225397</v>
      </c>
      <c r="Z27" s="15">
        <f t="shared" si="15"/>
        <v>0.73048392789363992</v>
      </c>
      <c r="AA27" s="18">
        <f t="shared" si="16"/>
        <v>0.29533191024897593</v>
      </c>
      <c r="AB27" s="13"/>
      <c r="AC27" s="13"/>
      <c r="AD27" s="12">
        <v>0.30827036180782402</v>
      </c>
      <c r="AE27" s="12">
        <v>-0.30712646009599198</v>
      </c>
      <c r="AF27" s="12">
        <v>0.43515201764466399</v>
      </c>
      <c r="AH27" s="13"/>
      <c r="AI27" s="13"/>
      <c r="AJ27" s="13"/>
    </row>
    <row r="28" spans="1:45" x14ac:dyDescent="0.3">
      <c r="D28" s="17">
        <v>1</v>
      </c>
      <c r="E28" s="17">
        <v>0.15</v>
      </c>
      <c r="L28" s="17">
        <v>0.15</v>
      </c>
      <c r="M28" s="25">
        <v>0.308865</v>
      </c>
      <c r="N28" s="25">
        <v>-0.30617800000000001</v>
      </c>
      <c r="O28" s="25">
        <v>0.43490499999999999</v>
      </c>
      <c r="P28" s="24">
        <f t="shared" si="12"/>
        <v>0</v>
      </c>
      <c r="Q28" s="13"/>
      <c r="R28" s="17">
        <v>0.31689877136455002</v>
      </c>
      <c r="S28" s="13">
        <v>-0.29740570589188903</v>
      </c>
      <c r="T28" s="15">
        <f t="shared" si="13"/>
        <v>0.43459749790974883</v>
      </c>
      <c r="U28" s="15">
        <f>T28-Z28</f>
        <v>-0.79786988594604913</v>
      </c>
      <c r="V28" s="23">
        <f t="shared" si="14"/>
        <v>0.79786988594604902</v>
      </c>
      <c r="X28" s="11">
        <v>1.01946119786818</v>
      </c>
      <c r="Y28" s="11">
        <v>0.69258553140354495</v>
      </c>
      <c r="Z28" s="15">
        <f t="shared" si="15"/>
        <v>1.232467383855798</v>
      </c>
      <c r="AA28" s="18">
        <f t="shared" si="16"/>
        <v>0.79786988594604902</v>
      </c>
      <c r="AB28" s="13"/>
      <c r="AC28" s="13"/>
      <c r="AD28" s="12">
        <v>0.31689877136455002</v>
      </c>
      <c r="AE28" s="12">
        <v>-0.29740570589188903</v>
      </c>
      <c r="AF28" s="12">
        <v>0.434597497909749</v>
      </c>
      <c r="AH28" s="13"/>
      <c r="AI28" s="13"/>
      <c r="AJ28" s="13"/>
    </row>
    <row r="29" spans="1:45" x14ac:dyDescent="0.3">
      <c r="D29" s="17">
        <v>1</v>
      </c>
      <c r="E29" s="17">
        <v>0.2</v>
      </c>
      <c r="L29" s="17">
        <v>0.2</v>
      </c>
      <c r="M29" s="25">
        <v>0.30931199999999998</v>
      </c>
      <c r="N29" s="25">
        <v>-0.30573099999999998</v>
      </c>
      <c r="O29" s="25">
        <v>0.43490800000000002</v>
      </c>
      <c r="P29" s="24">
        <f t="shared" si="12"/>
        <v>-7.2164496600635175E-16</v>
      </c>
      <c r="Q29" s="13"/>
      <c r="R29" s="17">
        <v>0.31162963488251999</v>
      </c>
      <c r="S29" s="13">
        <v>-0.35540013675900101</v>
      </c>
      <c r="T29" s="15">
        <f t="shared" si="13"/>
        <v>0.47267566739290628</v>
      </c>
      <c r="U29" s="15">
        <f>T29-Z29</f>
        <v>-0.97959487007113633</v>
      </c>
      <c r="V29" s="23">
        <f t="shared" si="14"/>
        <v>0.97959487007113555</v>
      </c>
      <c r="X29" s="11">
        <v>0.57007728970818705</v>
      </c>
      <c r="Y29" s="11">
        <v>-1.3357026606790401</v>
      </c>
      <c r="Z29" s="15">
        <f t="shared" si="15"/>
        <v>1.4522705374640426</v>
      </c>
      <c r="AA29" s="18">
        <f t="shared" si="16"/>
        <v>0.97959487007113555</v>
      </c>
      <c r="AB29" s="13"/>
      <c r="AC29" s="13"/>
      <c r="AD29" s="12">
        <v>0.31162963488251999</v>
      </c>
      <c r="AE29" s="12">
        <v>-0.35540013675900101</v>
      </c>
      <c r="AF29" s="12">
        <v>0.47267566739290701</v>
      </c>
      <c r="AH29" s="13"/>
      <c r="AI29" s="13"/>
      <c r="AJ29" s="13"/>
    </row>
    <row r="30" spans="1:45" x14ac:dyDescent="0.3">
      <c r="D30" s="17">
        <v>1</v>
      </c>
      <c r="E30" s="17">
        <v>0.3</v>
      </c>
      <c r="P30" s="24">
        <f t="shared" si="12"/>
        <v>5.2735593669694936E-16</v>
      </c>
      <c r="Q30" s="13"/>
      <c r="R30" s="17">
        <v>0.158238165852533</v>
      </c>
      <c r="S30" s="13">
        <v>-0.16667417251261499</v>
      </c>
      <c r="T30" s="15">
        <f t="shared" si="13"/>
        <v>0.22982514421868352</v>
      </c>
      <c r="U30" s="15">
        <f>T30-Z30</f>
        <v>-0.43647319000971208</v>
      </c>
      <c r="V30" s="23">
        <f t="shared" si="14"/>
        <v>0.43647319000971257</v>
      </c>
      <c r="X30" s="11">
        <v>-0.54868454991467397</v>
      </c>
      <c r="Y30" s="11">
        <v>0.378019490080163</v>
      </c>
      <c r="Z30" s="15">
        <f t="shared" si="15"/>
        <v>0.66629833422839557</v>
      </c>
      <c r="AA30" s="18">
        <f t="shared" si="16"/>
        <v>0.43647319000971257</v>
      </c>
      <c r="AB30" s="13"/>
      <c r="AC30" s="13"/>
      <c r="AD30" s="12">
        <v>0.158238165852533</v>
      </c>
      <c r="AE30" s="12">
        <v>-0.16667417251261499</v>
      </c>
      <c r="AF30" s="12">
        <v>0.229825144218683</v>
      </c>
      <c r="AH30" s="13"/>
      <c r="AI30" s="13"/>
      <c r="AJ30" s="13"/>
    </row>
    <row r="31" spans="1:45" x14ac:dyDescent="0.3">
      <c r="D31" s="17">
        <v>1</v>
      </c>
      <c r="E31" s="17">
        <v>0.4</v>
      </c>
      <c r="P31" s="24">
        <f t="shared" si="12"/>
        <v>0</v>
      </c>
      <c r="Q31" s="13"/>
      <c r="R31" s="17">
        <v>0.178161431444501</v>
      </c>
      <c r="S31" s="13">
        <v>-0.68112296377902704</v>
      </c>
      <c r="T31" s="15">
        <f t="shared" si="13"/>
        <v>0.70403834230919515</v>
      </c>
      <c r="U31" s="15">
        <f>T31-Z31</f>
        <v>-0.68890813594088929</v>
      </c>
      <c r="V31" s="23">
        <f t="shared" si="14"/>
        <v>0.6889081359408894</v>
      </c>
      <c r="X31" s="11">
        <v>5.7301930705959802E-3</v>
      </c>
      <c r="Y31" s="11">
        <v>-1.39293469199266</v>
      </c>
      <c r="Z31" s="15">
        <f t="shared" si="15"/>
        <v>1.3929464782500844</v>
      </c>
      <c r="AA31" s="18">
        <f t="shared" si="16"/>
        <v>0.6889081359408894</v>
      </c>
      <c r="AB31" s="13"/>
      <c r="AC31" s="13"/>
      <c r="AD31" s="12">
        <v>0.178161431444501</v>
      </c>
      <c r="AE31" s="12">
        <v>-0.68112296377902704</v>
      </c>
      <c r="AF31" s="12">
        <v>0.70403834230919504</v>
      </c>
      <c r="AH31" s="13"/>
      <c r="AI31" s="13"/>
      <c r="AJ31" s="13"/>
    </row>
    <row r="32" spans="1:45" x14ac:dyDescent="0.3">
      <c r="D32" s="17">
        <v>1</v>
      </c>
      <c r="E32" s="17">
        <v>0.5</v>
      </c>
      <c r="P32" s="24">
        <f t="shared" si="12"/>
        <v>0</v>
      </c>
      <c r="Q32" s="13"/>
      <c r="R32" s="17">
        <v>8.1018078323665796E-2</v>
      </c>
      <c r="S32" s="13">
        <v>-0.83197708377727997</v>
      </c>
      <c r="T32" s="15">
        <f t="shared" si="13"/>
        <v>0.83591255340843329</v>
      </c>
      <c r="U32" s="15">
        <f>T32-Z32</f>
        <v>-0.57166209832239057</v>
      </c>
      <c r="V32" s="23">
        <f t="shared" si="14"/>
        <v>0.5716620983223909</v>
      </c>
      <c r="X32" s="11">
        <v>-8.7526255146810894E-2</v>
      </c>
      <c r="Y32" s="11">
        <v>-1.40485072333509</v>
      </c>
      <c r="Z32" s="15">
        <f t="shared" si="15"/>
        <v>1.4075746517308239</v>
      </c>
      <c r="AA32" s="18">
        <f t="shared" si="16"/>
        <v>0.5716620983223909</v>
      </c>
      <c r="AB32" s="13"/>
      <c r="AC32" s="13"/>
      <c r="AD32" s="12">
        <v>8.1018078323665796E-2</v>
      </c>
      <c r="AE32" s="12">
        <v>-0.83197708377727997</v>
      </c>
      <c r="AF32" s="12">
        <v>0.83591255340843296</v>
      </c>
      <c r="AH32" s="13"/>
      <c r="AI32" s="13"/>
      <c r="AJ32" s="13"/>
    </row>
    <row r="33" spans="1:36" x14ac:dyDescent="0.3">
      <c r="D33" s="17">
        <v>1</v>
      </c>
      <c r="E33" s="17">
        <v>0.6</v>
      </c>
      <c r="P33" s="24">
        <f t="shared" si="12"/>
        <v>0</v>
      </c>
      <c r="Q33" s="13"/>
      <c r="R33" s="17">
        <v>1.03015285007262</v>
      </c>
      <c r="S33" s="13">
        <v>-0.25665637333119901</v>
      </c>
      <c r="T33" s="15">
        <f t="shared" si="13"/>
        <v>1.0616437201266091</v>
      </c>
      <c r="U33" s="15">
        <f>T33-Z33</f>
        <v>-0.45900963052278687</v>
      </c>
      <c r="V33" s="23">
        <f t="shared" si="14"/>
        <v>0.45900963052278598</v>
      </c>
      <c r="X33" s="11">
        <v>1.49989809412664</v>
      </c>
      <c r="Y33" s="11">
        <v>-0.250384344711301</v>
      </c>
      <c r="Z33" s="15">
        <f t="shared" si="15"/>
        <v>1.520653350649396</v>
      </c>
      <c r="AA33" s="18">
        <f t="shared" si="16"/>
        <v>0.45900963052278598</v>
      </c>
      <c r="AB33" s="13"/>
      <c r="AC33" s="13"/>
      <c r="AD33" s="12">
        <v>1.03015285007262</v>
      </c>
      <c r="AE33" s="12">
        <v>-0.25665637333119901</v>
      </c>
      <c r="AF33" s="12">
        <v>1.06164372012661</v>
      </c>
      <c r="AH33" s="13"/>
      <c r="AI33" s="13"/>
      <c r="AJ33" s="13"/>
    </row>
    <row r="34" spans="1:36" x14ac:dyDescent="0.3">
      <c r="D34" s="17">
        <v>1</v>
      </c>
      <c r="E34" s="17">
        <v>0.7</v>
      </c>
      <c r="P34" s="24">
        <f t="shared" si="12"/>
        <v>0</v>
      </c>
      <c r="Q34" s="13"/>
      <c r="R34" s="17">
        <v>-0.49989492822739301</v>
      </c>
      <c r="S34" s="13">
        <v>-0.44545698486931101</v>
      </c>
      <c r="T34" s="15">
        <f t="shared" si="13"/>
        <v>0.66957215043363927</v>
      </c>
      <c r="U34" s="15">
        <f>T34-Z34</f>
        <v>-0.25675965893024089</v>
      </c>
      <c r="V34" s="23">
        <f t="shared" si="14"/>
        <v>0.25675965893024111</v>
      </c>
      <c r="X34" s="11">
        <v>-0.77237447931389402</v>
      </c>
      <c r="Y34" s="11">
        <v>-0.51139836208571399</v>
      </c>
      <c r="Z34" s="15">
        <f t="shared" si="15"/>
        <v>0.92633180936388015</v>
      </c>
      <c r="AA34" s="18">
        <f t="shared" si="16"/>
        <v>0.25675965893024111</v>
      </c>
      <c r="AB34" s="13"/>
      <c r="AC34" s="13"/>
      <c r="AD34" s="12">
        <v>-0.49989492822739301</v>
      </c>
      <c r="AE34" s="12">
        <v>-0.44545698486931101</v>
      </c>
      <c r="AF34" s="12">
        <v>0.66957215043363905</v>
      </c>
      <c r="AH34" s="13"/>
      <c r="AI34" s="13"/>
      <c r="AJ34" s="13"/>
    </row>
    <row r="35" spans="1:36" x14ac:dyDescent="0.3">
      <c r="D35" s="17">
        <v>1</v>
      </c>
      <c r="E35" s="17">
        <v>0.8</v>
      </c>
      <c r="P35" s="24">
        <f t="shared" si="12"/>
        <v>0</v>
      </c>
      <c r="Q35" s="13"/>
      <c r="R35" s="17">
        <v>0.76934193755625901</v>
      </c>
      <c r="S35" s="13">
        <v>0.48248284653412998</v>
      </c>
      <c r="T35" s="15">
        <f t="shared" si="13"/>
        <v>0.90811712575113102</v>
      </c>
      <c r="U35" s="15">
        <f>T35-Z35</f>
        <v>-0.1795301904237373</v>
      </c>
      <c r="V35" s="23">
        <f t="shared" si="14"/>
        <v>0.1795301904237373</v>
      </c>
      <c r="X35" s="11">
        <v>0.871324703964382</v>
      </c>
      <c r="Y35" s="11">
        <v>0.65097614752291499</v>
      </c>
      <c r="Z35" s="15">
        <f t="shared" si="15"/>
        <v>1.0876473161748683</v>
      </c>
      <c r="AA35" s="18">
        <f t="shared" si="16"/>
        <v>0.1795301904237373</v>
      </c>
      <c r="AB35" s="13"/>
      <c r="AC35" s="13"/>
      <c r="AD35" s="12">
        <v>0.76934193755625901</v>
      </c>
      <c r="AE35" s="12">
        <v>0.48248284653412998</v>
      </c>
      <c r="AF35" s="12">
        <v>0.90811712575113102</v>
      </c>
      <c r="AH35" s="13"/>
      <c r="AI35" s="13"/>
      <c r="AJ35" s="13"/>
    </row>
    <row r="36" spans="1:36" x14ac:dyDescent="0.3">
      <c r="D36" s="17">
        <v>1</v>
      </c>
      <c r="E36" s="17">
        <v>0.9</v>
      </c>
      <c r="P36" s="24">
        <f t="shared" si="12"/>
        <v>0</v>
      </c>
      <c r="Q36" s="13"/>
      <c r="R36" s="17">
        <v>1.0352627315682701</v>
      </c>
      <c r="S36" s="13">
        <v>-0.93884585193734604</v>
      </c>
      <c r="T36" s="15">
        <f t="shared" si="13"/>
        <v>1.3975694820201809</v>
      </c>
      <c r="U36" s="15">
        <f>T36-Z36</f>
        <v>-0.21656179816249677</v>
      </c>
      <c r="V36" s="23">
        <f t="shared" si="14"/>
        <v>0.21656179816249765</v>
      </c>
      <c r="X36" s="11">
        <v>1.13447902401245</v>
      </c>
      <c r="Y36" s="11">
        <v>-1.1482060502104701</v>
      </c>
      <c r="Z36" s="15">
        <f t="shared" si="15"/>
        <v>1.6141312801826777</v>
      </c>
      <c r="AA36" s="18">
        <f t="shared" si="16"/>
        <v>0.21656179816249765</v>
      </c>
      <c r="AB36" s="13"/>
      <c r="AC36" s="13"/>
      <c r="AD36" s="12">
        <v>1.0352627315682701</v>
      </c>
      <c r="AE36" s="12">
        <v>-0.93884585193734604</v>
      </c>
      <c r="AF36" s="12">
        <v>1.3975694820201801</v>
      </c>
      <c r="AH36" s="13"/>
      <c r="AI36" s="13"/>
      <c r="AJ36" s="13"/>
    </row>
    <row r="37" spans="1:36" x14ac:dyDescent="0.3">
      <c r="D37" s="17">
        <v>1</v>
      </c>
      <c r="E37" s="17">
        <v>1</v>
      </c>
      <c r="P37" s="24">
        <f t="shared" si="12"/>
        <v>1.7763568394002505E-15</v>
      </c>
      <c r="Q37" s="13"/>
      <c r="R37" s="17">
        <v>-0.22992529647193599</v>
      </c>
      <c r="S37" s="13">
        <v>-1.14351229870103</v>
      </c>
      <c r="T37" s="15">
        <f t="shared" si="13"/>
        <v>1.1663987393847017</v>
      </c>
      <c r="U37" s="15">
        <f>T37-Z37</f>
        <v>-4.7935370049976944E-2</v>
      </c>
      <c r="V37" s="23">
        <f t="shared" si="14"/>
        <v>4.7935370049978721E-2</v>
      </c>
      <c r="X37" s="11">
        <v>-0.32873328891953002</v>
      </c>
      <c r="Y37" s="11">
        <v>-1.16899176818858</v>
      </c>
      <c r="Z37" s="15">
        <f t="shared" si="15"/>
        <v>1.2143341094346787</v>
      </c>
      <c r="AA37" s="18">
        <f t="shared" si="16"/>
        <v>4.7935370049978721E-2</v>
      </c>
      <c r="AB37" s="13"/>
      <c r="AC37" s="13"/>
      <c r="AD37" s="12">
        <v>-0.22992529647193599</v>
      </c>
      <c r="AE37" s="12">
        <v>-1.14351229870103</v>
      </c>
      <c r="AF37" s="12">
        <v>1.1663987393847</v>
      </c>
      <c r="AH37" s="13"/>
      <c r="AI37" s="13"/>
      <c r="AJ37" s="13"/>
    </row>
    <row r="38" spans="1:36" x14ac:dyDescent="0.3">
      <c r="D38" s="17">
        <v>1</v>
      </c>
      <c r="E38" s="17">
        <v>1.1000000000000001</v>
      </c>
      <c r="P38" s="24">
        <f t="shared" si="12"/>
        <v>0</v>
      </c>
      <c r="Q38" s="13"/>
      <c r="R38" s="17">
        <v>-0.70798155275093599</v>
      </c>
      <c r="S38" s="13">
        <v>-0.128362412243583</v>
      </c>
      <c r="T38" s="15">
        <f t="shared" si="13"/>
        <v>0.71952400092882085</v>
      </c>
      <c r="U38" s="15">
        <f>T38-Z38</f>
        <v>7.3095095250550468E-3</v>
      </c>
      <c r="V38" s="23">
        <f t="shared" si="14"/>
        <v>-7.3095095250551578E-3</v>
      </c>
      <c r="X38" s="11">
        <v>-0.70793641888744996</v>
      </c>
      <c r="Y38" s="11">
        <v>-7.7945548803877704E-2</v>
      </c>
      <c r="Z38" s="15">
        <f t="shared" si="15"/>
        <v>0.7122144914037658</v>
      </c>
      <c r="AA38" s="18">
        <f t="shared" si="16"/>
        <v>-7.3095095250551578E-3</v>
      </c>
      <c r="AB38" s="13"/>
      <c r="AC38" s="13"/>
      <c r="AD38" s="12">
        <v>-0.70798155275093599</v>
      </c>
      <c r="AE38" s="12">
        <v>-0.128362412243583</v>
      </c>
      <c r="AF38" s="12">
        <v>0.71952400092882096</v>
      </c>
      <c r="AH38" s="13"/>
      <c r="AI38" s="13"/>
      <c r="AJ38" s="13"/>
    </row>
    <row r="39" spans="1:36" x14ac:dyDescent="0.3">
      <c r="D39" s="17">
        <v>1</v>
      </c>
      <c r="E39" s="17">
        <v>2</v>
      </c>
      <c r="P39" s="24">
        <f t="shared" si="12"/>
        <v>7.3274719625260332E-15</v>
      </c>
      <c r="Q39" s="13"/>
      <c r="R39" s="17">
        <v>-0.399900989440299</v>
      </c>
      <c r="S39" s="13">
        <v>-1.15921498375423</v>
      </c>
      <c r="T39" s="15">
        <f t="shared" si="13"/>
        <v>1.2262545330866874</v>
      </c>
      <c r="U39" s="15">
        <f>T39-Z39</f>
        <v>-0.31053801398962677</v>
      </c>
      <c r="V39" s="23">
        <f t="shared" si="14"/>
        <v>0.3105380139896341</v>
      </c>
      <c r="X39" s="11">
        <v>-1.0870786505907299</v>
      </c>
      <c r="Y39" s="11">
        <v>-1.08627406310707</v>
      </c>
      <c r="Z39" s="15">
        <f t="shared" si="15"/>
        <v>1.5367925470763142</v>
      </c>
      <c r="AA39" s="18">
        <f t="shared" si="16"/>
        <v>0.3105380139896341</v>
      </c>
      <c r="AB39" s="13"/>
      <c r="AC39" s="13"/>
      <c r="AD39" s="12">
        <v>-0.399900989440299</v>
      </c>
      <c r="AE39" s="12">
        <v>-1.15921498375423</v>
      </c>
      <c r="AF39" s="12">
        <v>1.2262545330866801</v>
      </c>
      <c r="AH39" s="13"/>
      <c r="AI39" s="13"/>
      <c r="AJ39" s="13"/>
    </row>
    <row r="40" spans="1:36" x14ac:dyDescent="0.3">
      <c r="D40" s="17">
        <v>1</v>
      </c>
      <c r="E40" s="17">
        <v>3</v>
      </c>
      <c r="P40" s="24">
        <f t="shared" si="12"/>
        <v>0</v>
      </c>
      <c r="Q40" s="13"/>
      <c r="R40" s="17">
        <v>4.7864493687262404E-3</v>
      </c>
      <c r="S40" s="13">
        <v>0.82175618867133704</v>
      </c>
      <c r="T40" s="15">
        <f t="shared" si="13"/>
        <v>0.82177012827018814</v>
      </c>
      <c r="U40" s="15">
        <f>T40-Z40</f>
        <v>-1.0214116298278069</v>
      </c>
      <c r="V40" s="23">
        <f t="shared" si="14"/>
        <v>1.0214116298278069</v>
      </c>
      <c r="X40" s="11">
        <v>0.92736744840374896</v>
      </c>
      <c r="Y40" s="11">
        <v>1.59289315681446</v>
      </c>
      <c r="Z40" s="15">
        <f t="shared" si="15"/>
        <v>1.843181758097995</v>
      </c>
      <c r="AA40" s="18">
        <f t="shared" si="16"/>
        <v>1.0214116298278069</v>
      </c>
      <c r="AB40" s="13"/>
      <c r="AC40" s="13"/>
      <c r="AD40" s="12">
        <v>4.7864493687262404E-3</v>
      </c>
      <c r="AE40" s="12">
        <v>0.82175618867133704</v>
      </c>
      <c r="AF40" s="12">
        <v>0.82177012827018803</v>
      </c>
      <c r="AH40" s="13"/>
      <c r="AI40" s="13"/>
      <c r="AJ40" s="13"/>
    </row>
    <row r="41" spans="1:36" x14ac:dyDescent="0.3">
      <c r="D41" s="17">
        <v>1</v>
      </c>
      <c r="E41" s="17">
        <v>4</v>
      </c>
      <c r="P41" s="24">
        <f t="shared" si="12"/>
        <v>-8.4376949871511897E-15</v>
      </c>
      <c r="Q41" s="13"/>
      <c r="R41" s="17">
        <v>1.19360888306646</v>
      </c>
      <c r="S41" s="13">
        <v>0.496629044835463</v>
      </c>
      <c r="T41" s="15">
        <f t="shared" si="13"/>
        <v>1.2928041514124815</v>
      </c>
      <c r="U41" s="15">
        <f>T41-Z41</f>
        <v>-0.64131133535788676</v>
      </c>
      <c r="V41" s="23">
        <f t="shared" si="14"/>
        <v>0.64131133535787832</v>
      </c>
      <c r="X41" s="11">
        <v>1.9325228893370201</v>
      </c>
      <c r="Y41" s="11">
        <v>-7.8472914776207103E-2</v>
      </c>
      <c r="Z41" s="15">
        <f t="shared" si="15"/>
        <v>1.9341154867703683</v>
      </c>
      <c r="AA41" s="18">
        <f t="shared" si="16"/>
        <v>0.64131133535787832</v>
      </c>
      <c r="AB41" s="13"/>
      <c r="AC41" s="13"/>
      <c r="AD41" s="12">
        <v>1.19360888306646</v>
      </c>
      <c r="AE41" s="12">
        <v>0.496629044835463</v>
      </c>
      <c r="AF41" s="12">
        <v>1.2928041514124899</v>
      </c>
      <c r="AH41" s="13"/>
      <c r="AI41" s="13"/>
      <c r="AJ41" s="13"/>
    </row>
    <row r="42" spans="1:36" x14ac:dyDescent="0.3">
      <c r="D42" s="17">
        <v>1</v>
      </c>
      <c r="E42" s="17">
        <v>8</v>
      </c>
      <c r="P42" s="24">
        <f t="shared" si="12"/>
        <v>4.8849813083506888E-15</v>
      </c>
      <c r="Q42" s="13"/>
      <c r="R42" s="17">
        <v>1.45090533050273</v>
      </c>
      <c r="S42" s="13">
        <v>-0.65282312338162096</v>
      </c>
      <c r="T42" s="15">
        <f t="shared" si="13"/>
        <v>1.5910073250940648</v>
      </c>
      <c r="U42" s="15">
        <f>T42-Z42</f>
        <v>-8.2268233429405369E-2</v>
      </c>
      <c r="V42" s="23">
        <f t="shared" si="14"/>
        <v>8.2268233429410254E-2</v>
      </c>
      <c r="X42" s="11">
        <v>1.6651192096282099</v>
      </c>
      <c r="Y42" s="11">
        <v>-0.16501246158747199</v>
      </c>
      <c r="Z42" s="15">
        <f t="shared" si="15"/>
        <v>1.6732755585234702</v>
      </c>
      <c r="AA42" s="18">
        <f t="shared" si="16"/>
        <v>8.2268233429410254E-2</v>
      </c>
      <c r="AB42" s="13"/>
      <c r="AC42" s="13"/>
      <c r="AD42" s="12">
        <v>1.45090533050273</v>
      </c>
      <c r="AE42" s="12">
        <v>-0.65282312338162096</v>
      </c>
      <c r="AF42" s="12">
        <v>1.59100732509406</v>
      </c>
      <c r="AH42" s="13"/>
      <c r="AI42" s="13"/>
      <c r="AJ42" s="13"/>
    </row>
    <row r="43" spans="1:36" s="13" customForma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U43" s="17"/>
      <c r="V43" s="17"/>
      <c r="W43" s="8"/>
      <c r="X43" s="17"/>
    </row>
    <row r="44" spans="1:36" s="13" customForma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U44" s="17"/>
      <c r="V44" s="17"/>
      <c r="W44" s="17"/>
    </row>
    <row r="45" spans="1:36" s="13" customFormat="1" x14ac:dyDescent="0.3">
      <c r="A45" s="17"/>
      <c r="B45" s="17"/>
      <c r="C45" s="17"/>
      <c r="D45" s="17" t="s">
        <v>42</v>
      </c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U45" s="13" t="s">
        <v>41</v>
      </c>
      <c r="Y45" s="17"/>
      <c r="Z45" s="17"/>
    </row>
    <row r="46" spans="1:36" s="13" customForma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Y46" s="17"/>
      <c r="Z46" s="17"/>
    </row>
    <row r="47" spans="1:36" s="13" customFormat="1" x14ac:dyDescent="0.3">
      <c r="A47" s="25" t="s">
        <v>21</v>
      </c>
      <c r="B47" s="25" t="s">
        <v>28</v>
      </c>
      <c r="C47" s="25" t="s">
        <v>43</v>
      </c>
      <c r="D47" s="25" t="s">
        <v>44</v>
      </c>
      <c r="E47" s="25" t="s">
        <v>45</v>
      </c>
      <c r="F47" s="25" t="s">
        <v>30</v>
      </c>
      <c r="G47" s="25"/>
      <c r="H47" s="25"/>
      <c r="I47" s="25"/>
      <c r="J47" s="25"/>
      <c r="K47" s="25"/>
      <c r="L47" s="25"/>
      <c r="U47" s="13" t="s">
        <v>38</v>
      </c>
      <c r="V47" s="13" t="s">
        <v>37</v>
      </c>
      <c r="W47" s="3">
        <v>0.59154030956589698</v>
      </c>
      <c r="Y47" s="17"/>
      <c r="Z47" s="17"/>
    </row>
    <row r="48" spans="1:36" s="13" customFormat="1" x14ac:dyDescent="0.3">
      <c r="A48" s="25">
        <v>1</v>
      </c>
      <c r="B48" s="25">
        <v>0</v>
      </c>
      <c r="C48" s="25" t="s">
        <v>46</v>
      </c>
      <c r="D48" s="25">
        <v>0.30752200000000002</v>
      </c>
      <c r="E48" s="25">
        <v>-0.30752200000000002</v>
      </c>
      <c r="F48" s="25">
        <v>0.43490099999999998</v>
      </c>
      <c r="G48" s="25"/>
      <c r="H48" s="25"/>
      <c r="I48" s="25"/>
      <c r="J48" s="25"/>
      <c r="K48" s="25"/>
      <c r="L48" s="25"/>
      <c r="U48" s="13" t="s">
        <v>39</v>
      </c>
      <c r="W48" s="13">
        <v>0.59199999999999997</v>
      </c>
      <c r="Y48" s="17"/>
      <c r="Z48" s="17"/>
    </row>
    <row r="49" spans="1:26" s="13" customFormat="1" x14ac:dyDescent="0.3">
      <c r="A49" s="25">
        <v>1</v>
      </c>
      <c r="B49" s="25">
        <v>0.05</v>
      </c>
      <c r="C49" s="25" t="s">
        <v>47</v>
      </c>
      <c r="D49" s="25">
        <v>0.30796899999999999</v>
      </c>
      <c r="E49" s="25">
        <v>-0.30707400000000001</v>
      </c>
      <c r="F49" s="25">
        <v>0.43490200000000001</v>
      </c>
      <c r="G49" s="25"/>
      <c r="H49" s="25"/>
      <c r="I49" s="25"/>
      <c r="J49" s="25"/>
      <c r="K49" s="25"/>
      <c r="L49" s="25"/>
      <c r="U49" s="13" t="s">
        <v>40</v>
      </c>
      <c r="V49" s="13" t="s">
        <v>36</v>
      </c>
      <c r="W49" s="13">
        <v>0.59242910402239002</v>
      </c>
      <c r="Y49" s="17"/>
      <c r="Z49" s="17"/>
    </row>
    <row r="50" spans="1:26" s="13" customFormat="1" x14ac:dyDescent="0.3">
      <c r="A50" s="25">
        <v>1</v>
      </c>
      <c r="B50" s="25">
        <v>0.1</v>
      </c>
      <c r="C50" s="25" t="s">
        <v>48</v>
      </c>
      <c r="D50" s="25">
        <v>0.308417</v>
      </c>
      <c r="E50" s="25">
        <v>-0.30662600000000001</v>
      </c>
      <c r="F50" s="25">
        <v>0.43490299999999998</v>
      </c>
      <c r="G50" s="25"/>
      <c r="H50" s="25"/>
      <c r="I50" s="25"/>
      <c r="J50" s="25"/>
      <c r="K50" s="25"/>
      <c r="L50" s="25"/>
      <c r="W50" s="13">
        <v>-0.364877719018873</v>
      </c>
      <c r="X50" s="13">
        <v>3.5277430225033601E-2</v>
      </c>
      <c r="Y50" s="13">
        <v>0.36657911413458599</v>
      </c>
      <c r="Z50" s="17"/>
    </row>
    <row r="51" spans="1:26" s="13" customFormat="1" x14ac:dyDescent="0.3">
      <c r="A51" s="25">
        <v>1</v>
      </c>
      <c r="B51" s="25">
        <v>0.15</v>
      </c>
      <c r="C51" s="25" t="s">
        <v>49</v>
      </c>
      <c r="D51" s="25">
        <v>0.308865</v>
      </c>
      <c r="E51" s="25">
        <v>-0.30617800000000001</v>
      </c>
      <c r="F51" s="25">
        <v>0.43490499999999999</v>
      </c>
      <c r="G51" s="25"/>
      <c r="H51" s="25"/>
      <c r="I51" s="25"/>
      <c r="J51" s="25"/>
      <c r="K51" s="25"/>
      <c r="L51" s="25"/>
      <c r="U51" s="17"/>
      <c r="V51" s="17"/>
      <c r="W51" s="17"/>
    </row>
    <row r="52" spans="1:26" s="13" customFormat="1" x14ac:dyDescent="0.3">
      <c r="A52" s="25">
        <v>1</v>
      </c>
      <c r="B52" s="25">
        <v>0.2</v>
      </c>
      <c r="C52" s="25" t="s">
        <v>50</v>
      </c>
      <c r="D52" s="25">
        <v>0.30931199999999998</v>
      </c>
      <c r="E52" s="25">
        <v>-0.30573099999999998</v>
      </c>
      <c r="F52" s="25">
        <v>0.43490800000000002</v>
      </c>
      <c r="G52" s="25"/>
      <c r="H52" s="25"/>
      <c r="I52" s="25"/>
      <c r="J52" s="25"/>
      <c r="K52" s="25"/>
      <c r="L52" s="25"/>
      <c r="U52" s="17"/>
      <c r="V52" s="17"/>
      <c r="W52" s="17"/>
    </row>
    <row r="53" spans="1:26" s="13" customFormat="1" x14ac:dyDescent="0.3">
      <c r="A53" s="25">
        <v>2</v>
      </c>
      <c r="B53" s="25">
        <v>0</v>
      </c>
      <c r="C53" s="25" t="s">
        <v>51</v>
      </c>
      <c r="D53" s="25">
        <v>0.41836699999999999</v>
      </c>
      <c r="E53" s="25">
        <v>-0.41836699999999999</v>
      </c>
      <c r="F53" s="25">
        <v>0.59165999999999996</v>
      </c>
      <c r="G53" s="25"/>
      <c r="H53" s="25"/>
      <c r="I53" s="25"/>
      <c r="J53" s="25"/>
      <c r="K53" s="25"/>
      <c r="L53" s="25"/>
      <c r="U53" s="17"/>
      <c r="V53" s="17"/>
      <c r="W53" s="17"/>
    </row>
    <row r="54" spans="1:26" s="13" customFormat="1" x14ac:dyDescent="0.3">
      <c r="A54" s="25">
        <v>2</v>
      </c>
      <c r="B54" s="25">
        <v>0.05</v>
      </c>
      <c r="C54" s="25" t="s">
        <v>52</v>
      </c>
      <c r="D54" s="25">
        <v>0.41950199999999999</v>
      </c>
      <c r="E54" s="25">
        <v>-0.41723199999999999</v>
      </c>
      <c r="F54" s="25">
        <v>0.59166200000000002</v>
      </c>
      <c r="G54" s="25"/>
      <c r="H54" s="25"/>
      <c r="I54" s="25"/>
      <c r="J54" s="25"/>
      <c r="K54" s="25"/>
      <c r="L54" s="25"/>
      <c r="U54" s="17"/>
      <c r="V54" s="17"/>
      <c r="W54" s="17"/>
    </row>
    <row r="55" spans="1:26" s="13" customFormat="1" x14ac:dyDescent="0.3">
      <c r="A55" s="25">
        <v>2</v>
      </c>
      <c r="B55" s="25">
        <v>0.1</v>
      </c>
      <c r="C55" s="25" t="s">
        <v>53</v>
      </c>
      <c r="D55" s="25">
        <v>0.42063600000000001</v>
      </c>
      <c r="E55" s="25">
        <v>-0.41609699999999999</v>
      </c>
      <c r="F55" s="25">
        <v>0.591669</v>
      </c>
      <c r="G55" s="25"/>
      <c r="H55" s="25"/>
      <c r="I55" s="25"/>
      <c r="J55" s="25"/>
      <c r="K55" s="25"/>
      <c r="L55" s="25"/>
      <c r="U55" s="17"/>
      <c r="V55" s="17"/>
      <c r="W55" s="17"/>
    </row>
    <row r="56" spans="1:26" s="13" customFormat="1" x14ac:dyDescent="0.3">
      <c r="A56" s="25">
        <v>2</v>
      </c>
      <c r="B56" s="25">
        <v>0.15</v>
      </c>
      <c r="C56" s="25" t="s">
        <v>54</v>
      </c>
      <c r="D56" s="25">
        <v>0.42177100000000001</v>
      </c>
      <c r="E56" s="25">
        <v>-0.414962</v>
      </c>
      <c r="F56" s="25">
        <v>0.59167899999999995</v>
      </c>
      <c r="G56" s="25"/>
      <c r="H56" s="25"/>
      <c r="I56" s="25"/>
      <c r="J56" s="25"/>
      <c r="K56" s="25"/>
      <c r="L56" s="25"/>
      <c r="U56" s="17"/>
      <c r="V56" s="17"/>
      <c r="W56" s="17"/>
    </row>
    <row r="57" spans="1:26" s="13" customFormat="1" x14ac:dyDescent="0.3">
      <c r="A57" s="25">
        <v>2</v>
      </c>
      <c r="B57" s="25">
        <v>0.2</v>
      </c>
      <c r="C57" s="25" t="s">
        <v>55</v>
      </c>
      <c r="D57" s="25">
        <v>0.422906</v>
      </c>
      <c r="E57" s="25">
        <v>-0.413827</v>
      </c>
      <c r="F57" s="25">
        <v>0.59169499999999997</v>
      </c>
      <c r="G57" s="25"/>
      <c r="H57" s="25"/>
      <c r="I57" s="25"/>
      <c r="J57" s="25"/>
      <c r="K57" s="25"/>
      <c r="L57" s="25"/>
      <c r="U57" s="17"/>
      <c r="V57" s="17"/>
      <c r="W57" s="17"/>
    </row>
    <row r="58" spans="1:26" s="13" customFormat="1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U58" s="17"/>
      <c r="V58" s="17"/>
      <c r="W58" s="17"/>
    </row>
    <row r="59" spans="1:26" s="13" customFormat="1" x14ac:dyDescent="0.3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U59" s="17"/>
      <c r="V59" s="17"/>
      <c r="W59" s="17"/>
    </row>
    <row r="60" spans="1:26" s="13" customFormat="1" x14ac:dyDescent="0.3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U60" s="17"/>
      <c r="V60" s="17"/>
      <c r="W60" s="17"/>
    </row>
    <row r="61" spans="1:26" s="13" customFormat="1" x14ac:dyDescent="0.3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U61" s="17"/>
      <c r="V61" s="17"/>
      <c r="W61" s="17"/>
    </row>
    <row r="62" spans="1:26" s="13" customFormat="1" x14ac:dyDescent="0.3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U62" s="17"/>
      <c r="V62" s="17"/>
      <c r="W62" s="17"/>
    </row>
    <row r="63" spans="1:26" s="13" customFormat="1" x14ac:dyDescent="0.3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U63" s="17"/>
      <c r="V63" s="17"/>
      <c r="W63" s="17"/>
    </row>
    <row r="64" spans="1:26" s="13" customFormat="1" x14ac:dyDescent="0.3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U64" s="17"/>
      <c r="V64" s="17"/>
      <c r="W64" s="17"/>
    </row>
    <row r="65" spans="1:23" s="13" customFormat="1" x14ac:dyDescent="0.3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U65" s="17"/>
      <c r="V65" s="17"/>
      <c r="W65" s="17"/>
    </row>
    <row r="66" spans="1:23" s="13" customFormat="1" x14ac:dyDescent="0.3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U66" s="17"/>
      <c r="V66" s="17"/>
      <c r="W66" s="17"/>
    </row>
    <row r="67" spans="1:23" s="13" customFormat="1" x14ac:dyDescent="0.3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U67" s="17"/>
      <c r="V67" s="17"/>
      <c r="W67" s="17"/>
    </row>
    <row r="68" spans="1:23" s="13" customFormat="1" x14ac:dyDescent="0.3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U68" s="17"/>
      <c r="V68" s="17"/>
      <c r="W68" s="17"/>
    </row>
    <row r="69" spans="1:23" s="13" customFormat="1" x14ac:dyDescent="0.3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U69" s="17"/>
      <c r="V69" s="17"/>
      <c r="W69" s="17"/>
    </row>
    <row r="70" spans="1:23" s="13" customFormat="1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U70" s="17"/>
      <c r="V70" s="17"/>
      <c r="W70" s="17"/>
    </row>
    <row r="71" spans="1:23" s="13" customFormat="1" x14ac:dyDescent="0.3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U71" s="17"/>
      <c r="V71" s="17"/>
      <c r="W71" s="17"/>
    </row>
    <row r="72" spans="1:23" s="13" customFormat="1" x14ac:dyDescent="0.3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U72" s="17"/>
      <c r="V72" s="17"/>
      <c r="W72" s="17"/>
    </row>
    <row r="73" spans="1:23" s="13" customFormat="1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U73" s="17"/>
      <c r="V73" s="17"/>
      <c r="W73" s="17"/>
    </row>
    <row r="74" spans="1:23" s="13" customFormat="1" x14ac:dyDescent="0.3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U74" s="17"/>
      <c r="V74" s="17"/>
      <c r="W74" s="17"/>
    </row>
    <row r="75" spans="1:23" s="13" customFormat="1" x14ac:dyDescent="0.3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U75" s="17"/>
      <c r="V75" s="17"/>
      <c r="W75" s="17"/>
    </row>
    <row r="76" spans="1:23" s="13" customFormat="1" x14ac:dyDescent="0.3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U76" s="17"/>
      <c r="V76" s="17"/>
      <c r="W76" s="17"/>
    </row>
    <row r="77" spans="1:23" s="13" customFormat="1" x14ac:dyDescent="0.3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U77" s="17"/>
      <c r="V77" s="17"/>
      <c r="W77" s="17"/>
    </row>
    <row r="78" spans="1:23" x14ac:dyDescent="0.3">
      <c r="P78" s="13"/>
      <c r="Q78" s="13"/>
      <c r="R78" s="13"/>
    </row>
    <row r="79" spans="1:23" x14ac:dyDescent="0.3">
      <c r="P79" s="13"/>
      <c r="Q79" s="13"/>
      <c r="R79" s="13"/>
    </row>
    <row r="80" spans="1:23" x14ac:dyDescent="0.3">
      <c r="P80" s="13"/>
      <c r="Q80" s="13"/>
      <c r="R80" s="13"/>
    </row>
    <row r="81" spans="16:18" x14ac:dyDescent="0.3">
      <c r="P81" s="13"/>
      <c r="Q81" s="13"/>
      <c r="R81" s="13"/>
    </row>
    <row r="82" spans="16:18" x14ac:dyDescent="0.3">
      <c r="P82" s="13"/>
      <c r="Q82" s="13"/>
      <c r="R82" s="13"/>
    </row>
    <row r="83" spans="16:18" x14ac:dyDescent="0.3">
      <c r="P83" s="13"/>
      <c r="Q83" s="13"/>
      <c r="R83" s="13"/>
    </row>
    <row r="84" spans="16:18" x14ac:dyDescent="0.3">
      <c r="P84" s="13"/>
      <c r="Q84" s="13"/>
      <c r="R84" s="13"/>
    </row>
    <row r="85" spans="16:18" x14ac:dyDescent="0.3">
      <c r="P85" s="13"/>
      <c r="Q85" s="13"/>
      <c r="R85" s="13"/>
    </row>
    <row r="86" spans="16:18" x14ac:dyDescent="0.3">
      <c r="P86" s="13"/>
      <c r="Q86" s="13"/>
      <c r="R86" s="13"/>
    </row>
    <row r="87" spans="16:18" x14ac:dyDescent="0.3">
      <c r="P87" s="13"/>
      <c r="Q87" s="13"/>
      <c r="R87" s="13"/>
    </row>
    <row r="88" spans="16:18" x14ac:dyDescent="0.3">
      <c r="P88" s="13"/>
      <c r="Q88" s="13"/>
      <c r="R88" s="13"/>
    </row>
    <row r="89" spans="16:18" x14ac:dyDescent="0.3">
      <c r="P89" s="13"/>
      <c r="Q89" s="13"/>
      <c r="R89" s="13"/>
    </row>
  </sheetData>
  <phoneticPr fontId="1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7BBA0-0265-4ED1-84CC-3F7871A06E9C}">
  <sheetPr filterMode="1"/>
  <dimension ref="A1:AD55"/>
  <sheetViews>
    <sheetView workbookViewId="0">
      <selection activeCell="AD54" sqref="A1:AD54"/>
    </sheetView>
  </sheetViews>
  <sheetFormatPr defaultRowHeight="14.4" x14ac:dyDescent="0.3"/>
  <cols>
    <col min="6" max="6" width="10.21875" style="2" bestFit="1" customWidth="1"/>
    <col min="7" max="8" width="8.88671875" style="2"/>
    <col min="13" max="13" width="11.109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3">
        <v>0.41775835303139602</v>
      </c>
      <c r="G2" s="3">
        <v>-0.41845728182989</v>
      </c>
      <c r="H2" s="3">
        <v>0.59129395248384198</v>
      </c>
      <c r="I2" s="1">
        <v>3.7952230000000002E-9</v>
      </c>
      <c r="J2" s="1"/>
      <c r="K2" s="1"/>
      <c r="L2" s="1"/>
      <c r="M2" s="1">
        <f>H2-R2</f>
        <v>-3.641508477960631E-4</v>
      </c>
      <c r="N2" s="1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hidden="1" x14ac:dyDescent="0.3">
      <c r="A3">
        <v>0</v>
      </c>
      <c r="B3">
        <v>0</v>
      </c>
      <c r="C3">
        <v>0</v>
      </c>
      <c r="D3">
        <v>45</v>
      </c>
      <c r="E3" t="s">
        <v>18</v>
      </c>
      <c r="F3" s="3">
        <v>-0.41785368229436198</v>
      </c>
      <c r="G3" s="3">
        <v>0.41861575752434799</v>
      </c>
      <c r="H3" s="3">
        <v>0.59147345862231404</v>
      </c>
      <c r="I3" s="1">
        <v>3.8840919999999998E-9</v>
      </c>
      <c r="J3" s="1"/>
      <c r="K3" s="1"/>
      <c r="L3" s="1"/>
      <c r="M3" s="1">
        <f t="shared" ref="M3:M55" si="0">H3-R3</f>
        <v>-1.8464470932400001E-4</v>
      </c>
      <c r="N3" s="1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hidden="1" x14ac:dyDescent="0.3">
      <c r="A4">
        <v>0</v>
      </c>
      <c r="B4">
        <v>0</v>
      </c>
      <c r="C4">
        <v>0</v>
      </c>
      <c r="D4">
        <v>99</v>
      </c>
      <c r="E4" t="s">
        <v>18</v>
      </c>
      <c r="F4" s="3">
        <v>-0.41760494651178798</v>
      </c>
      <c r="G4" s="3">
        <v>0.41855326901747397</v>
      </c>
      <c r="H4" s="3">
        <v>0.59125352460372504</v>
      </c>
      <c r="I4" s="1">
        <v>3.6890510000000001E-9</v>
      </c>
      <c r="J4" s="1"/>
      <c r="K4" s="1"/>
      <c r="L4" s="1"/>
      <c r="M4" s="1">
        <f t="shared" si="0"/>
        <v>-4.0457872791299643E-4</v>
      </c>
      <c r="N4" s="1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hidden="1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3">
        <v>-0.42117703484873398</v>
      </c>
      <c r="G5" s="3">
        <v>0.41615945003722599</v>
      </c>
      <c r="H5" s="3">
        <v>0.59209693677577702</v>
      </c>
      <c r="I5" s="1">
        <v>6.8381520000000004E-6</v>
      </c>
      <c r="J5" s="1"/>
      <c r="K5" s="1"/>
      <c r="L5" s="1"/>
      <c r="M5" s="1">
        <f t="shared" si="0"/>
        <v>4.6067367589297525E-4</v>
      </c>
      <c r="N5" s="1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hidden="1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3">
        <v>-0.41907586994882401</v>
      </c>
      <c r="G6" s="3">
        <v>0.417345859864308</v>
      </c>
      <c r="H6" s="3">
        <v>0.59144074218745102</v>
      </c>
      <c r="I6" s="1">
        <v>6.462594E-6</v>
      </c>
      <c r="J6" s="1"/>
      <c r="K6" s="1"/>
      <c r="L6" s="1"/>
      <c r="M6" s="1">
        <f t="shared" si="0"/>
        <v>-1.9552091243302261E-4</v>
      </c>
      <c r="N6" s="1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3">
        <v>0.41963681898939897</v>
      </c>
      <c r="G7" s="3">
        <v>-0.41692310800647098</v>
      </c>
      <c r="H7" s="3">
        <v>0.59154030956589698</v>
      </c>
      <c r="I7" s="1">
        <v>6.5112070000000004E-6</v>
      </c>
      <c r="J7" s="1"/>
      <c r="K7" s="1"/>
      <c r="L7" s="1"/>
      <c r="M7" s="1">
        <f t="shared" si="0"/>
        <v>-9.5953533987058748E-5</v>
      </c>
      <c r="N7" s="1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hidden="1" x14ac:dyDescent="0.3">
      <c r="A8">
        <v>0.1</v>
      </c>
      <c r="B8">
        <v>0</v>
      </c>
      <c r="C8">
        <v>0</v>
      </c>
      <c r="D8">
        <v>42</v>
      </c>
      <c r="E8" t="s">
        <v>18</v>
      </c>
      <c r="F8" s="3">
        <v>0.42362609015358699</v>
      </c>
      <c r="G8" s="3">
        <v>-0.41425595728869902</v>
      </c>
      <c r="H8" s="3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1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3">
        <v>0.42160636626889902</v>
      </c>
      <c r="G9" s="3">
        <v>-0.40674874977876802</v>
      </c>
      <c r="H9" s="3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1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hidden="1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3">
        <v>0.42501052300576297</v>
      </c>
      <c r="G10" s="3">
        <v>-0.41415725722987701</v>
      </c>
      <c r="H10" s="3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1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3">
        <v>0.428707914479522</v>
      </c>
      <c r="G11" s="3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1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hidden="1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3">
        <v>0.42887176385735898</v>
      </c>
      <c r="G12" s="3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1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hidden="1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3">
        <v>-0.421554354531534</v>
      </c>
      <c r="G13" s="3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1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3">
        <v>-0.43097276610749602</v>
      </c>
      <c r="G14" s="3">
        <v>0.36771866454008101</v>
      </c>
      <c r="H14" s="3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1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hidden="1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3">
        <v>0.43316492739521101</v>
      </c>
      <c r="G15" s="3">
        <v>-0.41213577276419999</v>
      </c>
      <c r="H15" s="3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1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hidden="1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3">
        <v>0.422779652242463</v>
      </c>
      <c r="G16" s="3">
        <v>-0.41364440212949699</v>
      </c>
      <c r="H16" s="3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1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3">
        <v>0.42948948987345698</v>
      </c>
      <c r="G17" s="3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1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hidden="1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3">
        <v>0.44167671796432401</v>
      </c>
      <c r="G18" s="3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1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hidden="1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3">
        <v>-0.42904637874163098</v>
      </c>
      <c r="G19" s="3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1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hidden="1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3">
        <v>0.43447872656870301</v>
      </c>
      <c r="G20" s="3">
        <v>-0.28735576903575299</v>
      </c>
      <c r="H20" s="3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1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3">
        <v>0.432712624318568</v>
      </c>
      <c r="G21" s="3">
        <v>-0.322657799427637</v>
      </c>
      <c r="H21" s="3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1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hidden="1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3">
        <v>0.43513703968689699</v>
      </c>
      <c r="G22" s="3">
        <v>-0.35222644984106699</v>
      </c>
      <c r="H22" s="3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1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hidden="1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3">
        <v>1.10500221497013</v>
      </c>
      <c r="G23" s="3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1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3">
        <v>-0.441358775995073</v>
      </c>
      <c r="G24" s="3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1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hidden="1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3">
        <v>-0.43906727337715101</v>
      </c>
      <c r="G25" s="3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1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3">
        <v>-0.43306211496137098</v>
      </c>
      <c r="G26" s="3">
        <v>0.27798353385122498</v>
      </c>
      <c r="H26" s="3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1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hidden="1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3">
        <v>-0.632934496398049</v>
      </c>
      <c r="G27" s="3">
        <v>-0.20728309741505099</v>
      </c>
      <c r="H27" s="3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1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hidden="1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3">
        <v>0.439673905538146</v>
      </c>
      <c r="G28" s="3">
        <v>-0.252272658152836</v>
      </c>
      <c r="H28" s="3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1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3">
        <v>0.42898998344863298</v>
      </c>
      <c r="G29" s="3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1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hidden="1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3">
        <v>0.43013981718821498</v>
      </c>
      <c r="G30" s="3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1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hidden="1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3">
        <v>-0.441515997630191</v>
      </c>
      <c r="G31" s="3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1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3">
        <v>0.40284725419550899</v>
      </c>
      <c r="G32" s="3">
        <v>-7.8836044366930799E-2</v>
      </c>
      <c r="H32" s="3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1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hidden="1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3">
        <v>-0.43286965517553999</v>
      </c>
      <c r="G33" s="3">
        <v>0.53639272718551301</v>
      </c>
      <c r="H33" s="3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1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hidden="1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3">
        <v>-0.44345781507742998</v>
      </c>
      <c r="G34" s="3">
        <v>0.26844629637560202</v>
      </c>
      <c r="H34" s="3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1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hidden="1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3">
        <v>0.34111336882891702</v>
      </c>
      <c r="G35" s="3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1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hidden="1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3">
        <v>-0.49939487189447102</v>
      </c>
      <c r="G36" s="3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1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3">
        <v>-0.44753086447989698</v>
      </c>
      <c r="G37" s="3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1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hidden="1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3">
        <v>2.0533890624311102</v>
      </c>
      <c r="G38" s="3">
        <v>0.338717222635674</v>
      </c>
      <c r="H38" s="3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1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3">
        <v>0.38875603774941703</v>
      </c>
      <c r="G39" s="3">
        <v>-0.18253668829335301</v>
      </c>
      <c r="H39" s="3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1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hidden="1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3">
        <v>-0.39580043246682001</v>
      </c>
      <c r="G40" s="3">
        <v>0.16185105293874</v>
      </c>
      <c r="H40" s="3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1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hidden="1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3">
        <v>0.71890564638125098</v>
      </c>
      <c r="G41" s="3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1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hidden="1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3">
        <v>0.458220440771819</v>
      </c>
      <c r="G42" s="3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1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3">
        <v>0.43364537005112902</v>
      </c>
      <c r="G43" s="3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1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3">
        <v>-0.27992729188315002</v>
      </c>
      <c r="G44" s="3">
        <v>0.12574003548159199</v>
      </c>
      <c r="H44" s="3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1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hidden="1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3">
        <v>-0.33105506082549102</v>
      </c>
      <c r="G45" s="3">
        <v>5.0014672478682902E-2</v>
      </c>
      <c r="H45" s="3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1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hidden="1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3">
        <v>-0.41630155072723501</v>
      </c>
      <c r="G46" s="3">
        <v>0.13287502594477099</v>
      </c>
      <c r="H46" s="3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1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3">
        <v>0.44467422076545299</v>
      </c>
      <c r="G47" s="3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1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hidden="1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3">
        <v>0.29923569080071399</v>
      </c>
      <c r="G48" s="3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1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hidden="1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3">
        <v>0.97432581904182802</v>
      </c>
      <c r="G49" s="3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1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3">
        <v>8.9165534081367695E-2</v>
      </c>
      <c r="G50" s="3">
        <v>-0.12134322732285099</v>
      </c>
      <c r="H50" s="3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1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hidden="1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3">
        <v>0.190003751384313</v>
      </c>
      <c r="G51" s="3">
        <v>-7.5393716807126004E-2</v>
      </c>
      <c r="H51" s="3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1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hidden="1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3">
        <v>-0.114025896146698</v>
      </c>
      <c r="G52" s="3">
        <v>-0.132418384039168</v>
      </c>
      <c r="H52" s="3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1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hidden="1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3">
        <v>0.17679566077806</v>
      </c>
      <c r="G53" s="3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1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3">
        <v>0.28774808947310299</v>
      </c>
      <c r="G54" s="3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1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hidden="1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3">
        <v>-7.2729668710166298E-2</v>
      </c>
      <c r="G55" s="3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1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autoFilter ref="A1:AD55" xr:uid="{2177BBA0-0265-4ED1-84CC-3F7871A06E9C}">
    <filterColumn colId="4">
      <filters>
        <filter val="Y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E21-565E-421D-94A3-079C7F86B7B1}">
  <dimension ref="A1:AD55"/>
  <sheetViews>
    <sheetView tabSelected="1" topLeftCell="A31" zoomScale="115" zoomScaleNormal="115" workbookViewId="0">
      <selection activeCell="F41" sqref="F41:F43"/>
    </sheetView>
  </sheetViews>
  <sheetFormatPr defaultRowHeight="14.4" x14ac:dyDescent="0.3"/>
  <cols>
    <col min="6" max="6" width="10.21875" style="2" bestFit="1" customWidth="1"/>
    <col min="7" max="8" width="8.88671875" style="2"/>
    <col min="13" max="13" width="11.109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3">
        <v>0.41775835303139602</v>
      </c>
      <c r="G2" s="3">
        <v>-0.41845728182989</v>
      </c>
      <c r="H2" s="3">
        <v>0.59129395248384198</v>
      </c>
      <c r="I2" s="1">
        <v>3.7952230000000002E-9</v>
      </c>
      <c r="J2" s="1"/>
      <c r="K2" s="1"/>
      <c r="L2" s="1"/>
      <c r="M2" s="1">
        <f>H2-R2</f>
        <v>-3.641508477960631E-4</v>
      </c>
      <c r="N2" s="1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x14ac:dyDescent="0.3">
      <c r="A3">
        <v>0</v>
      </c>
      <c r="B3">
        <v>0</v>
      </c>
      <c r="C3">
        <v>0</v>
      </c>
      <c r="D3">
        <v>45</v>
      </c>
      <c r="E3" t="s">
        <v>18</v>
      </c>
      <c r="F3" s="3">
        <v>-0.41785368229436198</v>
      </c>
      <c r="G3" s="3">
        <v>0.41861575752434799</v>
      </c>
      <c r="H3" s="3">
        <v>0.59147345862231404</v>
      </c>
      <c r="I3" s="1">
        <v>3.8840919999999998E-9</v>
      </c>
      <c r="J3" s="1"/>
      <c r="K3" s="1"/>
      <c r="L3" s="1"/>
      <c r="M3" s="1">
        <f t="shared" ref="M3:M55" si="0">H3-R3</f>
        <v>-1.8464470932400001E-4</v>
      </c>
      <c r="N3" s="1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x14ac:dyDescent="0.3">
      <c r="A4">
        <v>0</v>
      </c>
      <c r="B4">
        <v>0</v>
      </c>
      <c r="C4">
        <v>0</v>
      </c>
      <c r="D4">
        <v>99</v>
      </c>
      <c r="E4" t="s">
        <v>18</v>
      </c>
      <c r="F4" s="3">
        <v>-0.41760494651178798</v>
      </c>
      <c r="G4" s="3">
        <v>0.41855326901747397</v>
      </c>
      <c r="H4" s="3">
        <v>0.59125352460372504</v>
      </c>
      <c r="I4" s="1">
        <v>3.6890510000000001E-9</v>
      </c>
      <c r="J4" s="1"/>
      <c r="K4" s="1"/>
      <c r="L4" s="1"/>
      <c r="M4" s="1">
        <f t="shared" si="0"/>
        <v>-4.0457872791299643E-4</v>
      </c>
      <c r="N4" s="1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3">
        <v>-0.42117703484873398</v>
      </c>
      <c r="G5" s="3">
        <v>0.41615945003722599</v>
      </c>
      <c r="H5" s="3">
        <v>0.59209693677577702</v>
      </c>
      <c r="I5" s="1">
        <v>6.8381520000000004E-6</v>
      </c>
      <c r="J5" s="1"/>
      <c r="K5" s="1"/>
      <c r="L5" s="1"/>
      <c r="M5" s="1">
        <f t="shared" si="0"/>
        <v>4.6067367589297525E-4</v>
      </c>
      <c r="N5" s="1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3">
        <v>-0.41907586994882401</v>
      </c>
      <c r="G6" s="3">
        <v>0.417345859864308</v>
      </c>
      <c r="H6" s="3">
        <v>0.59144074218745102</v>
      </c>
      <c r="I6" s="1">
        <v>6.462594E-6</v>
      </c>
      <c r="J6" s="1"/>
      <c r="K6" s="1"/>
      <c r="L6" s="1"/>
      <c r="M6" s="1">
        <f t="shared" si="0"/>
        <v>-1.9552091243302261E-4</v>
      </c>
      <c r="N6" s="1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3">
        <v>0.41963681898939897</v>
      </c>
      <c r="G7" s="3">
        <v>-0.41692310800647098</v>
      </c>
      <c r="H7" s="3">
        <v>0.59154030956589698</v>
      </c>
      <c r="I7" s="1">
        <v>6.5112070000000004E-6</v>
      </c>
      <c r="J7" s="1"/>
      <c r="K7" s="1"/>
      <c r="L7" s="1"/>
      <c r="M7" s="1">
        <f t="shared" si="0"/>
        <v>-9.5953533987058748E-5</v>
      </c>
      <c r="N7" s="1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x14ac:dyDescent="0.3">
      <c r="A8">
        <v>0.1</v>
      </c>
      <c r="B8">
        <v>0</v>
      </c>
      <c r="C8">
        <v>0</v>
      </c>
      <c r="D8">
        <v>42</v>
      </c>
      <c r="E8" t="s">
        <v>18</v>
      </c>
      <c r="F8" s="3">
        <v>0.42362609015358699</v>
      </c>
      <c r="G8" s="3">
        <v>-0.41425595728869902</v>
      </c>
      <c r="H8" s="3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1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3">
        <v>0.42160636626889902</v>
      </c>
      <c r="G9" s="3">
        <v>-0.40674874977876802</v>
      </c>
      <c r="H9" s="3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1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3">
        <v>0.42501052300576297</v>
      </c>
      <c r="G10" s="3">
        <v>-0.41415725722987701</v>
      </c>
      <c r="H10" s="3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1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3">
        <v>0.428707914479522</v>
      </c>
      <c r="G11" s="3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1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3">
        <v>0.42887176385735898</v>
      </c>
      <c r="G12" s="3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1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3">
        <v>-0.421554354531534</v>
      </c>
      <c r="G13" s="3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1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3">
        <v>-0.43097276610749602</v>
      </c>
      <c r="G14" s="3">
        <v>0.36771866454008101</v>
      </c>
      <c r="H14" s="3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1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3">
        <v>0.43316492739521101</v>
      </c>
      <c r="G15" s="3">
        <v>-0.41213577276419999</v>
      </c>
      <c r="H15" s="3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1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3">
        <v>0.422779652242463</v>
      </c>
      <c r="G16" s="3">
        <v>-0.41364440212949699</v>
      </c>
      <c r="H16" s="3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1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3">
        <v>0.42948948987345698</v>
      </c>
      <c r="G17" s="3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1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3">
        <v>0.44167671796432401</v>
      </c>
      <c r="G18" s="3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1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3">
        <v>-0.42904637874163098</v>
      </c>
      <c r="G19" s="3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1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3">
        <v>0.43447872656870301</v>
      </c>
      <c r="G20" s="3">
        <v>-0.28735576903575299</v>
      </c>
      <c r="H20" s="3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1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3">
        <v>0.432712624318568</v>
      </c>
      <c r="G21" s="3">
        <v>-0.322657799427637</v>
      </c>
      <c r="H21" s="3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1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3">
        <v>0.43513703968689699</v>
      </c>
      <c r="G22" s="3">
        <v>-0.35222644984106699</v>
      </c>
      <c r="H22" s="3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1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3">
        <v>1.10500221497013</v>
      </c>
      <c r="G23" s="3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1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3">
        <v>-0.441358775995073</v>
      </c>
      <c r="G24" s="3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1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3">
        <v>-0.43906727337715101</v>
      </c>
      <c r="G25" s="3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1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3">
        <v>-0.43306211496137098</v>
      </c>
      <c r="G26" s="3">
        <v>0.27798353385122498</v>
      </c>
      <c r="H26" s="3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1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3">
        <v>-0.632934496398049</v>
      </c>
      <c r="G27" s="3">
        <v>-0.20728309741505099</v>
      </c>
      <c r="H27" s="3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1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3">
        <v>0.439673905538146</v>
      </c>
      <c r="G28" s="3">
        <v>-0.252272658152836</v>
      </c>
      <c r="H28" s="3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1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3">
        <v>0.42898998344863298</v>
      </c>
      <c r="G29" s="3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1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3">
        <v>0.43013981718821498</v>
      </c>
      <c r="G30" s="3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1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3">
        <v>-0.441515997630191</v>
      </c>
      <c r="G31" s="3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1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3">
        <v>0.40284725419550899</v>
      </c>
      <c r="G32" s="3">
        <v>-7.8836044366930799E-2</v>
      </c>
      <c r="H32" s="3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1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3">
        <v>-0.43286965517553999</v>
      </c>
      <c r="G33" s="3">
        <v>0.53639272718551301</v>
      </c>
      <c r="H33" s="3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1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3">
        <v>-0.44345781507742998</v>
      </c>
      <c r="G34" s="3">
        <v>0.26844629637560202</v>
      </c>
      <c r="H34" s="3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1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3">
        <v>0.34111336882891702</v>
      </c>
      <c r="G35" s="3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1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3">
        <v>-0.49939487189447102</v>
      </c>
      <c r="G36" s="3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1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3">
        <v>-0.44753086447989698</v>
      </c>
      <c r="G37" s="3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1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3">
        <v>2.0533890624311102</v>
      </c>
      <c r="G38" s="3">
        <v>0.338717222635674</v>
      </c>
      <c r="H38" s="3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1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3">
        <v>0.38875603774941703</v>
      </c>
      <c r="G39" s="3">
        <v>-0.18253668829335301</v>
      </c>
      <c r="H39" s="3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1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3">
        <v>-0.39580043246682001</v>
      </c>
      <c r="G40" s="3">
        <v>0.16185105293874</v>
      </c>
      <c r="H40" s="3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1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3">
        <v>0.71890564638125098</v>
      </c>
      <c r="G41" s="3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1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3">
        <v>0.458220440771819</v>
      </c>
      <c r="G42" s="3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1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3">
        <v>0.43364537005112902</v>
      </c>
      <c r="G43" s="3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1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3">
        <v>-0.27992729188315002</v>
      </c>
      <c r="G44" s="3">
        <v>0.12574003548159199</v>
      </c>
      <c r="H44" s="3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1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3">
        <v>-0.33105506082549102</v>
      </c>
      <c r="G45" s="3">
        <v>5.0014672478682902E-2</v>
      </c>
      <c r="H45" s="3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1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3">
        <v>-0.41630155072723501</v>
      </c>
      <c r="G46" s="3">
        <v>0.13287502594477099</v>
      </c>
      <c r="H46" s="3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1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3">
        <v>0.44467422076545299</v>
      </c>
      <c r="G47" s="3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1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3">
        <v>0.29923569080071399</v>
      </c>
      <c r="G48" s="3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1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3">
        <v>0.97432581904182802</v>
      </c>
      <c r="G49" s="3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1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3">
        <v>8.9165534081367695E-2</v>
      </c>
      <c r="G50" s="3">
        <v>-0.12134322732285099</v>
      </c>
      <c r="H50" s="3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1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3">
        <v>0.190003751384313</v>
      </c>
      <c r="G51" s="3">
        <v>-7.5393716807126004E-2</v>
      </c>
      <c r="H51" s="3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1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3">
        <v>-0.114025896146698</v>
      </c>
      <c r="G52" s="3">
        <v>-0.132418384039168</v>
      </c>
      <c r="H52" s="3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1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3">
        <v>0.17679566077806</v>
      </c>
      <c r="G53" s="3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1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3">
        <v>0.28774808947310299</v>
      </c>
      <c r="G54" s="3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1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3">
        <v>-7.2729668710166298E-2</v>
      </c>
      <c r="G55" s="3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1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Omega is 2</vt:lpstr>
      <vt:lpstr>nn_loop_startfinish0 (2)</vt:lpstr>
      <vt:lpstr>nn_loop_startfinish0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2026-04-12T12:10:34Z</dcterms:created>
  <dcterms:modified xsi:type="dcterms:W3CDTF">2026-04-18T07:29:00Z</dcterms:modified>
</cp:coreProperties>
</file>