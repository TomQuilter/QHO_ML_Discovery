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xampp1\Quantum\"/>
    </mc:Choice>
  </mc:AlternateContent>
  <xr:revisionPtr revIDLastSave="0" documentId="8_{2B5CD632-9EE2-421C-B0E3-2ACE03CECD76}" xr6:coauthVersionLast="47" xr6:coauthVersionMax="47" xr10:uidLastSave="{00000000-0000-0000-0000-000000000000}"/>
  <bookViews>
    <workbookView xWindow="-2880" yWindow="-17388" windowWidth="30936" windowHeight="16896" tabRatio="500" activeTab="1" xr2:uid="{00000000-000D-0000-FFFF-FFFF00000000}"/>
  </bookViews>
  <sheets>
    <sheet name="Theory &amp; Parameters" sheetId="1" r:id="rId1"/>
    <sheet name="Numerical Results" sheetId="2" r:id="rId2"/>
    <sheet name="Worked Examp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82" i="3" l="1"/>
  <c r="E82" i="3"/>
  <c r="D82" i="3"/>
  <c r="F79" i="3"/>
  <c r="E79" i="3"/>
  <c r="D79" i="3"/>
  <c r="F78" i="3"/>
  <c r="E78" i="3"/>
  <c r="F81" i="3" s="1"/>
  <c r="D78" i="3"/>
  <c r="F77" i="3"/>
  <c r="E77" i="3"/>
  <c r="D77" i="3"/>
  <c r="F64" i="3"/>
  <c r="E64" i="3"/>
  <c r="D64" i="3"/>
  <c r="E63" i="3"/>
  <c r="D62" i="3"/>
  <c r="F61" i="3"/>
  <c r="E61" i="3"/>
  <c r="F62" i="3" s="1"/>
  <c r="D61" i="3"/>
  <c r="F60" i="3"/>
  <c r="E60" i="3"/>
  <c r="E62" i="3" s="1"/>
  <c r="D60" i="3"/>
  <c r="F59" i="3"/>
  <c r="E59" i="3"/>
  <c r="D59" i="3"/>
  <c r="F46" i="3"/>
  <c r="E46" i="3"/>
  <c r="D46" i="3"/>
  <c r="F45" i="3"/>
  <c r="F44" i="3"/>
  <c r="F43" i="3"/>
  <c r="E43" i="3"/>
  <c r="D43" i="3"/>
  <c r="F42" i="3"/>
  <c r="E42" i="3"/>
  <c r="E45" i="3" s="1"/>
  <c r="D42" i="3"/>
  <c r="F41" i="3"/>
  <c r="E41" i="3"/>
  <c r="D41" i="3"/>
  <c r="F28" i="3"/>
  <c r="E28" i="3"/>
  <c r="D28" i="3"/>
  <c r="F27" i="3"/>
  <c r="E27" i="3"/>
  <c r="F26" i="3"/>
  <c r="D26" i="3"/>
  <c r="F25" i="3"/>
  <c r="E25" i="3"/>
  <c r="E26" i="3" s="1"/>
  <c r="D25" i="3"/>
  <c r="F24" i="3"/>
  <c r="E24" i="3"/>
  <c r="D27" i="3" s="1"/>
  <c r="D24" i="3"/>
  <c r="F23" i="3"/>
  <c r="E23" i="3"/>
  <c r="D23" i="3"/>
  <c r="F10" i="3"/>
  <c r="E10" i="3"/>
  <c r="D10" i="3"/>
  <c r="E9" i="3"/>
  <c r="F7" i="3"/>
  <c r="E7" i="3"/>
  <c r="D7" i="3"/>
  <c r="F6" i="3"/>
  <c r="E6" i="3"/>
  <c r="F9" i="3" s="1"/>
  <c r="D6" i="3"/>
  <c r="F5" i="3"/>
  <c r="E5" i="3"/>
  <c r="D5" i="3"/>
  <c r="D44" i="2"/>
  <c r="B42" i="2"/>
  <c r="E39" i="2"/>
  <c r="B38" i="2"/>
  <c r="F34" i="2"/>
  <c r="G29" i="2"/>
  <c r="H29" i="2" s="1"/>
  <c r="E27" i="2"/>
  <c r="F26" i="2"/>
  <c r="F22" i="2"/>
  <c r="F18" i="2"/>
  <c r="E18" i="2"/>
  <c r="B17" i="2"/>
  <c r="B16" i="2"/>
  <c r="F15" i="2"/>
  <c r="E15" i="2"/>
  <c r="G14" i="2"/>
  <c r="H14" i="2" s="1"/>
  <c r="B14" i="2"/>
  <c r="F12" i="2"/>
  <c r="E11" i="2"/>
  <c r="F10" i="2"/>
  <c r="E8" i="2"/>
  <c r="B7" i="2"/>
  <c r="F6" i="2"/>
  <c r="E6" i="2"/>
  <c r="C28" i="1"/>
  <c r="C27" i="1"/>
  <c r="F42" i="2" s="1"/>
  <c r="C26" i="1"/>
  <c r="E19" i="2" s="1"/>
  <c r="C25" i="1"/>
  <c r="D17" i="2" s="1"/>
  <c r="C24" i="1"/>
  <c r="C14" i="2" s="1"/>
  <c r="C23" i="1"/>
  <c r="I42" i="2" l="1"/>
  <c r="I12" i="2"/>
  <c r="I6" i="2"/>
  <c r="K6" i="2" s="1"/>
  <c r="G43" i="2"/>
  <c r="H43" i="2" s="1"/>
  <c r="G35" i="2"/>
  <c r="H35" i="2" s="1"/>
  <c r="G27" i="2"/>
  <c r="H27" i="2" s="1"/>
  <c r="G19" i="2"/>
  <c r="H19" i="2" s="1"/>
  <c r="G11" i="2"/>
  <c r="H11" i="2" s="1"/>
  <c r="G46" i="2"/>
  <c r="H46" i="2" s="1"/>
  <c r="G38" i="2"/>
  <c r="H38" i="2" s="1"/>
  <c r="G30" i="2"/>
  <c r="H30" i="2" s="1"/>
  <c r="G22" i="2"/>
  <c r="H22" i="2" s="1"/>
  <c r="I22" i="2" s="1"/>
  <c r="G44" i="2"/>
  <c r="H44" i="2" s="1"/>
  <c r="G36" i="2"/>
  <c r="H36" i="2" s="1"/>
  <c r="G28" i="2"/>
  <c r="H28" i="2" s="1"/>
  <c r="G20" i="2"/>
  <c r="H20" i="2" s="1"/>
  <c r="G12" i="2"/>
  <c r="H12" i="2" s="1"/>
  <c r="G39" i="2"/>
  <c r="H39" i="2" s="1"/>
  <c r="G31" i="2"/>
  <c r="H31" i="2" s="1"/>
  <c r="G23" i="2"/>
  <c r="H23" i="2" s="1"/>
  <c r="G42" i="2"/>
  <c r="H42" i="2" s="1"/>
  <c r="G34" i="2"/>
  <c r="H34" i="2" s="1"/>
  <c r="G26" i="2"/>
  <c r="H26" i="2" s="1"/>
  <c r="I26" i="2" s="1"/>
  <c r="G40" i="2"/>
  <c r="H40" i="2" s="1"/>
  <c r="G32" i="2"/>
  <c r="H32" i="2" s="1"/>
  <c r="B44" i="2"/>
  <c r="B36" i="2"/>
  <c r="B28" i="2"/>
  <c r="B20" i="2"/>
  <c r="B12" i="2"/>
  <c r="B39" i="2"/>
  <c r="B31" i="2"/>
  <c r="B23" i="2"/>
  <c r="B45" i="2"/>
  <c r="B37" i="2"/>
  <c r="B29" i="2"/>
  <c r="B21" i="2"/>
  <c r="B13" i="2"/>
  <c r="B40" i="2"/>
  <c r="B32" i="2"/>
  <c r="B24" i="2"/>
  <c r="B43" i="2"/>
  <c r="B35" i="2"/>
  <c r="B27" i="2"/>
  <c r="B41" i="2"/>
  <c r="B33" i="2"/>
  <c r="D6" i="2"/>
  <c r="G9" i="2"/>
  <c r="H9" i="2" s="1"/>
  <c r="E10" i="2"/>
  <c r="B11" i="2"/>
  <c r="F14" i="2"/>
  <c r="I14" i="2" s="1"/>
  <c r="D15" i="2"/>
  <c r="B18" i="2"/>
  <c r="B22" i="2"/>
  <c r="G25" i="2"/>
  <c r="H25" i="2" s="1"/>
  <c r="C29" i="2"/>
  <c r="B34" i="2"/>
  <c r="G41" i="2"/>
  <c r="H41" i="2" s="1"/>
  <c r="F46" i="2"/>
  <c r="C11" i="2"/>
  <c r="G10" i="2"/>
  <c r="H10" i="2" s="1"/>
  <c r="I10" i="2" s="1"/>
  <c r="C12" i="2"/>
  <c r="C17" i="2"/>
  <c r="E45" i="2"/>
  <c r="E37" i="2"/>
  <c r="E29" i="2"/>
  <c r="E21" i="2"/>
  <c r="E13" i="2"/>
  <c r="E40" i="2"/>
  <c r="E32" i="2"/>
  <c r="E24" i="2"/>
  <c r="E46" i="2"/>
  <c r="E38" i="2"/>
  <c r="E30" i="2"/>
  <c r="E22" i="2"/>
  <c r="E14" i="2"/>
  <c r="E41" i="2"/>
  <c r="E33" i="2"/>
  <c r="E25" i="2"/>
  <c r="E17" i="2"/>
  <c r="E44" i="2"/>
  <c r="E36" i="2"/>
  <c r="E28" i="2"/>
  <c r="E42" i="2"/>
  <c r="E34" i="2"/>
  <c r="G6" i="2"/>
  <c r="H6" i="2" s="1"/>
  <c r="E7" i="2"/>
  <c r="B8" i="2"/>
  <c r="F11" i="2"/>
  <c r="D12" i="2"/>
  <c r="G15" i="2"/>
  <c r="H15" i="2" s="1"/>
  <c r="I15" i="2" s="1"/>
  <c r="E16" i="2"/>
  <c r="G18" i="2"/>
  <c r="H18" i="2" s="1"/>
  <c r="C21" i="2"/>
  <c r="G24" i="2"/>
  <c r="H24" i="2" s="1"/>
  <c r="B26" i="2"/>
  <c r="B30" i="2"/>
  <c r="G37" i="2"/>
  <c r="H37" i="2" s="1"/>
  <c r="L18" i="2"/>
  <c r="I34" i="2"/>
  <c r="D42" i="2"/>
  <c r="D34" i="2"/>
  <c r="D26" i="2"/>
  <c r="D18" i="2"/>
  <c r="D10" i="2"/>
  <c r="D45" i="2"/>
  <c r="D37" i="2"/>
  <c r="D29" i="2"/>
  <c r="D21" i="2"/>
  <c r="D43" i="2"/>
  <c r="D35" i="2"/>
  <c r="D27" i="2"/>
  <c r="D19" i="2"/>
  <c r="D11" i="2"/>
  <c r="D46" i="2"/>
  <c r="D38" i="2"/>
  <c r="D30" i="2"/>
  <c r="D22" i="2"/>
  <c r="D41" i="2"/>
  <c r="D33" i="2"/>
  <c r="D25" i="2"/>
  <c r="D39" i="2"/>
  <c r="D31" i="2"/>
  <c r="D7" i="2"/>
  <c r="D16" i="2"/>
  <c r="I18" i="2"/>
  <c r="K18" i="2" s="1"/>
  <c r="D24" i="2"/>
  <c r="D32" i="2"/>
  <c r="C37" i="2"/>
  <c r="D8" i="3"/>
  <c r="E8" i="3"/>
  <c r="F40" i="2"/>
  <c r="F32" i="2"/>
  <c r="I32" i="2" s="1"/>
  <c r="F24" i="2"/>
  <c r="F16" i="2"/>
  <c r="F8" i="2"/>
  <c r="I8" i="2" s="1"/>
  <c r="L8" i="2" s="1"/>
  <c r="F43" i="2"/>
  <c r="I43" i="2" s="1"/>
  <c r="F35" i="2"/>
  <c r="I35" i="2" s="1"/>
  <c r="F27" i="2"/>
  <c r="I27" i="2" s="1"/>
  <c r="F19" i="2"/>
  <c r="F41" i="2"/>
  <c r="I41" i="2" s="1"/>
  <c r="F33" i="2"/>
  <c r="F25" i="2"/>
  <c r="I25" i="2" s="1"/>
  <c r="F17" i="2"/>
  <c r="I17" i="2" s="1"/>
  <c r="F9" i="2"/>
  <c r="I9" i="2" s="1"/>
  <c r="F44" i="2"/>
  <c r="I44" i="2" s="1"/>
  <c r="F36" i="2"/>
  <c r="I36" i="2" s="1"/>
  <c r="F28" i="2"/>
  <c r="F20" i="2"/>
  <c r="F39" i="2"/>
  <c r="I39" i="2" s="1"/>
  <c r="K39" i="2" s="1"/>
  <c r="F31" i="2"/>
  <c r="I31" i="2" s="1"/>
  <c r="F23" i="2"/>
  <c r="I23" i="2" s="1"/>
  <c r="F45" i="2"/>
  <c r="I45" i="2" s="1"/>
  <c r="F37" i="2"/>
  <c r="I37" i="2" s="1"/>
  <c r="F29" i="2"/>
  <c r="I29" i="2" s="1"/>
  <c r="F7" i="2"/>
  <c r="D8" i="2"/>
  <c r="B9" i="2"/>
  <c r="E12" i="2"/>
  <c r="C13" i="2"/>
  <c r="G16" i="2"/>
  <c r="H16" i="2" s="1"/>
  <c r="G17" i="2"/>
  <c r="H17" i="2" s="1"/>
  <c r="F21" i="2"/>
  <c r="E26" i="2"/>
  <c r="F30" i="2"/>
  <c r="I30" i="2" s="1"/>
  <c r="E35" i="2"/>
  <c r="D40" i="2"/>
  <c r="C45" i="2"/>
  <c r="F8" i="3"/>
  <c r="E44" i="3"/>
  <c r="D44" i="3"/>
  <c r="D80" i="3"/>
  <c r="E80" i="3"/>
  <c r="G7" i="2"/>
  <c r="H7" i="2" s="1"/>
  <c r="D13" i="2"/>
  <c r="G21" i="2"/>
  <c r="H21" i="2" s="1"/>
  <c r="D28" i="2"/>
  <c r="C33" i="2"/>
  <c r="B6" i="2"/>
  <c r="G8" i="2"/>
  <c r="H8" i="2" s="1"/>
  <c r="D9" i="2"/>
  <c r="B10" i="2"/>
  <c r="F13" i="2"/>
  <c r="I13" i="2" s="1"/>
  <c r="D20" i="2"/>
  <c r="E23" i="2"/>
  <c r="B25" i="2"/>
  <c r="G33" i="2"/>
  <c r="H33" i="2" s="1"/>
  <c r="F38" i="2"/>
  <c r="I38" i="2" s="1"/>
  <c r="E43" i="2"/>
  <c r="F29" i="3"/>
  <c r="E29" i="3"/>
  <c r="D29" i="3"/>
  <c r="F80" i="3"/>
  <c r="C39" i="2"/>
  <c r="C31" i="2"/>
  <c r="C23" i="2"/>
  <c r="C15" i="2"/>
  <c r="C7" i="2"/>
  <c r="C42" i="2"/>
  <c r="C34" i="2"/>
  <c r="C26" i="2"/>
  <c r="C18" i="2"/>
  <c r="C40" i="2"/>
  <c r="C32" i="2"/>
  <c r="C24" i="2"/>
  <c r="C16" i="2"/>
  <c r="C8" i="2"/>
  <c r="C43" i="2"/>
  <c r="C35" i="2"/>
  <c r="C27" i="2"/>
  <c r="C19" i="2"/>
  <c r="C46" i="2"/>
  <c r="C38" i="2"/>
  <c r="C30" i="2"/>
  <c r="C22" i="2"/>
  <c r="C44" i="2"/>
  <c r="C36" i="2"/>
  <c r="C28" i="2"/>
  <c r="L27" i="2"/>
  <c r="K27" i="2"/>
  <c r="C9" i="2"/>
  <c r="C20" i="2"/>
  <c r="D23" i="2"/>
  <c r="G45" i="2"/>
  <c r="H45" i="2" s="1"/>
  <c r="E65" i="3"/>
  <c r="D65" i="3"/>
  <c r="F65" i="3"/>
  <c r="C6" i="2"/>
  <c r="E9" i="2"/>
  <c r="C10" i="2"/>
  <c r="G13" i="2"/>
  <c r="H13" i="2" s="1"/>
  <c r="D14" i="2"/>
  <c r="B15" i="2"/>
  <c r="B19" i="2"/>
  <c r="E20" i="2"/>
  <c r="C25" i="2"/>
  <c r="E31" i="2"/>
  <c r="D36" i="2"/>
  <c r="C41" i="2"/>
  <c r="B46" i="2"/>
  <c r="D63" i="3"/>
  <c r="D9" i="3"/>
  <c r="F63" i="3"/>
  <c r="D81" i="3"/>
  <c r="E81" i="3"/>
  <c r="D45" i="3"/>
  <c r="N18" i="2" l="1"/>
  <c r="J18" i="2"/>
  <c r="M18" i="2"/>
  <c r="K15" i="2"/>
  <c r="L15" i="2"/>
  <c r="F83" i="3"/>
  <c r="D83" i="3"/>
  <c r="E83" i="3"/>
  <c r="K16" i="2"/>
  <c r="K13" i="2"/>
  <c r="L13" i="2"/>
  <c r="F30" i="3"/>
  <c r="E30" i="3"/>
  <c r="D30" i="3"/>
  <c r="F47" i="3"/>
  <c r="D47" i="3"/>
  <c r="E47" i="3"/>
  <c r="I11" i="2"/>
  <c r="K44" i="2"/>
  <c r="L44" i="2"/>
  <c r="L38" i="2"/>
  <c r="K38" i="2"/>
  <c r="L37" i="2"/>
  <c r="K37" i="2"/>
  <c r="N27" i="2"/>
  <c r="J27" i="2"/>
  <c r="M27" i="2"/>
  <c r="L7" i="2"/>
  <c r="L25" i="2"/>
  <c r="K25" i="2"/>
  <c r="F66" i="3"/>
  <c r="E66" i="3"/>
  <c r="D66" i="3"/>
  <c r="L12" i="2"/>
  <c r="K12" i="2"/>
  <c r="I16" i="2"/>
  <c r="L16" i="2" s="1"/>
  <c r="K32" i="2"/>
  <c r="L32" i="2"/>
  <c r="I46" i="2"/>
  <c r="K46" i="2" s="1"/>
  <c r="L6" i="2"/>
  <c r="M6" i="2" s="1"/>
  <c r="L17" i="2"/>
  <c r="K17" i="2"/>
  <c r="L45" i="2"/>
  <c r="K45" i="2"/>
  <c r="L43" i="2"/>
  <c r="K43" i="2"/>
  <c r="L35" i="2"/>
  <c r="K35" i="2"/>
  <c r="I33" i="2"/>
  <c r="L33" i="2" s="1"/>
  <c r="I24" i="2"/>
  <c r="K24" i="2" s="1"/>
  <c r="L34" i="2"/>
  <c r="K34" i="2"/>
  <c r="L41" i="2"/>
  <c r="K41" i="2"/>
  <c r="K40" i="2"/>
  <c r="L40" i="2"/>
  <c r="L42" i="2"/>
  <c r="K42" i="2"/>
  <c r="K23" i="2"/>
  <c r="L23" i="2"/>
  <c r="L26" i="2"/>
  <c r="K26" i="2"/>
  <c r="I7" i="2"/>
  <c r="K7" i="2" s="1"/>
  <c r="I28" i="2"/>
  <c r="K28" i="2" s="1"/>
  <c r="I19" i="2"/>
  <c r="I40" i="2"/>
  <c r="L22" i="2"/>
  <c r="K22" i="2"/>
  <c r="L21" i="2"/>
  <c r="K21" i="2"/>
  <c r="L39" i="2"/>
  <c r="J39" i="2" s="1"/>
  <c r="I20" i="2"/>
  <c r="K20" i="2" s="1"/>
  <c r="K14" i="2"/>
  <c r="L14" i="2"/>
  <c r="L10" i="2"/>
  <c r="K10" i="2"/>
  <c r="K31" i="2"/>
  <c r="L31" i="2"/>
  <c r="L9" i="2"/>
  <c r="K9" i="2"/>
  <c r="I21" i="2"/>
  <c r="F11" i="3"/>
  <c r="D11" i="3"/>
  <c r="E11" i="3"/>
  <c r="K36" i="2"/>
  <c r="L36" i="2"/>
  <c r="L30" i="2"/>
  <c r="K30" i="2"/>
  <c r="L29" i="2"/>
  <c r="K29" i="2"/>
  <c r="K8" i="2"/>
  <c r="J7" i="2" l="1"/>
  <c r="N7" i="2"/>
  <c r="M7" i="2"/>
  <c r="M30" i="2"/>
  <c r="J30" i="2"/>
  <c r="N30" i="2"/>
  <c r="N9" i="2"/>
  <c r="M9" i="2"/>
  <c r="J9" i="2"/>
  <c r="M42" i="2"/>
  <c r="J42" i="2"/>
  <c r="N42" i="2"/>
  <c r="N17" i="2"/>
  <c r="M17" i="2"/>
  <c r="J17" i="2"/>
  <c r="N25" i="2"/>
  <c r="M25" i="2"/>
  <c r="J25" i="2"/>
  <c r="L46" i="2"/>
  <c r="M46" i="2" s="1"/>
  <c r="D48" i="3"/>
  <c r="E48" i="3"/>
  <c r="F48" i="3"/>
  <c r="L19" i="2"/>
  <c r="K19" i="2"/>
  <c r="N16" i="2"/>
  <c r="J16" i="2"/>
  <c r="M16" i="2"/>
  <c r="M21" i="2"/>
  <c r="J21" i="2"/>
  <c r="N21" i="2"/>
  <c r="N35" i="2"/>
  <c r="J35" i="2"/>
  <c r="M35" i="2"/>
  <c r="E84" i="3"/>
  <c r="D84" i="3"/>
  <c r="F84" i="3"/>
  <c r="J36" i="2"/>
  <c r="N36" i="2"/>
  <c r="M36" i="2"/>
  <c r="N40" i="2"/>
  <c r="M40" i="2"/>
  <c r="J40" i="2"/>
  <c r="M38" i="2"/>
  <c r="J38" i="2"/>
  <c r="N38" i="2"/>
  <c r="E12" i="3"/>
  <c r="D12" i="3"/>
  <c r="F12" i="3"/>
  <c r="M22" i="2"/>
  <c r="N22" i="2"/>
  <c r="J22" i="2"/>
  <c r="M26" i="2"/>
  <c r="J26" i="2"/>
  <c r="N26" i="2"/>
  <c r="N43" i="2"/>
  <c r="J43" i="2"/>
  <c r="M43" i="2"/>
  <c r="E31" i="3"/>
  <c r="F31" i="3"/>
  <c r="D31" i="3"/>
  <c r="N32" i="2"/>
  <c r="M32" i="2"/>
  <c r="J32" i="2"/>
  <c r="N6" i="2"/>
  <c r="M39" i="2"/>
  <c r="J44" i="2"/>
  <c r="N44" i="2"/>
  <c r="M44" i="2"/>
  <c r="L20" i="2"/>
  <c r="J20" i="2" s="1"/>
  <c r="J6" i="2"/>
  <c r="N39" i="2"/>
  <c r="J12" i="2"/>
  <c r="N12" i="2"/>
  <c r="M12" i="2"/>
  <c r="M37" i="2"/>
  <c r="J37" i="2"/>
  <c r="N37" i="2"/>
  <c r="M15" i="2"/>
  <c r="J15" i="2"/>
  <c r="N15" i="2"/>
  <c r="J31" i="2"/>
  <c r="N31" i="2"/>
  <c r="M31" i="2"/>
  <c r="N10" i="2"/>
  <c r="M10" i="2"/>
  <c r="J10" i="2"/>
  <c r="N41" i="2"/>
  <c r="M41" i="2"/>
  <c r="J41" i="2"/>
  <c r="F67" i="3"/>
  <c r="E67" i="3"/>
  <c r="D67" i="3"/>
  <c r="N8" i="2"/>
  <c r="J8" i="2"/>
  <c r="M8" i="2"/>
  <c r="M29" i="2"/>
  <c r="J29" i="2"/>
  <c r="N29" i="2"/>
  <c r="L28" i="2"/>
  <c r="M28" i="2" s="1"/>
  <c r="M34" i="2"/>
  <c r="N34" i="2"/>
  <c r="J34" i="2"/>
  <c r="M45" i="2"/>
  <c r="J45" i="2"/>
  <c r="N45" i="2"/>
  <c r="K33" i="2"/>
  <c r="L24" i="2"/>
  <c r="N24" i="2" s="1"/>
  <c r="M14" i="2"/>
  <c r="N14" i="2"/>
  <c r="J14" i="2"/>
  <c r="J23" i="2"/>
  <c r="N23" i="2"/>
  <c r="M23" i="2"/>
  <c r="L11" i="2"/>
  <c r="K11" i="2"/>
  <c r="M13" i="2"/>
  <c r="J13" i="2"/>
  <c r="N13" i="2"/>
  <c r="F13" i="3" l="1"/>
  <c r="D13" i="3"/>
  <c r="E13" i="3"/>
  <c r="N28" i="2"/>
  <c r="F68" i="3"/>
  <c r="F69" i="3"/>
  <c r="D68" i="3"/>
  <c r="E69" i="3"/>
  <c r="E68" i="3"/>
  <c r="D69" i="3"/>
  <c r="N11" i="2"/>
  <c r="J11" i="2"/>
  <c r="M11" i="2"/>
  <c r="J24" i="2"/>
  <c r="J28" i="2"/>
  <c r="N33" i="2"/>
  <c r="M33" i="2"/>
  <c r="J33" i="2"/>
  <c r="F32" i="3"/>
  <c r="D33" i="3"/>
  <c r="E33" i="3"/>
  <c r="E32" i="3"/>
  <c r="D32" i="3"/>
  <c r="F33" i="3"/>
  <c r="F85" i="3"/>
  <c r="D85" i="3"/>
  <c r="E85" i="3"/>
  <c r="M24" i="2"/>
  <c r="N46" i="2"/>
  <c r="J46" i="2"/>
  <c r="N19" i="2"/>
  <c r="M19" i="2"/>
  <c r="J19" i="2"/>
  <c r="M20" i="2"/>
  <c r="N20" i="2"/>
  <c r="E49" i="3"/>
  <c r="F49" i="3"/>
  <c r="D49" i="3"/>
  <c r="D36" i="3" l="1"/>
  <c r="F35" i="3"/>
  <c r="D35" i="3"/>
  <c r="F34" i="3"/>
  <c r="E34" i="3"/>
  <c r="E36" i="3"/>
  <c r="F36" i="3"/>
  <c r="E35" i="3"/>
  <c r="D34" i="3"/>
  <c r="E51" i="3"/>
  <c r="E50" i="3"/>
  <c r="D50" i="3"/>
  <c r="D51" i="3"/>
  <c r="F51" i="3"/>
  <c r="F50" i="3"/>
  <c r="E86" i="3"/>
  <c r="E87" i="3"/>
  <c r="F87" i="3"/>
  <c r="D87" i="3"/>
  <c r="F86" i="3"/>
  <c r="D86" i="3"/>
  <c r="E15" i="3"/>
  <c r="D14" i="3"/>
  <c r="F15" i="3"/>
  <c r="D15" i="3"/>
  <c r="E14" i="3"/>
  <c r="F14" i="3"/>
  <c r="F70" i="3"/>
  <c r="E70" i="3"/>
  <c r="E72" i="3"/>
  <c r="D72" i="3"/>
  <c r="F71" i="3"/>
  <c r="D71" i="3"/>
  <c r="F72" i="3"/>
  <c r="D70" i="3"/>
  <c r="E71" i="3"/>
  <c r="E53" i="3" l="1"/>
  <c r="D53" i="3"/>
  <c r="E52" i="3"/>
  <c r="F54" i="3"/>
  <c r="D52" i="3"/>
  <c r="E54" i="3"/>
  <c r="F53" i="3"/>
  <c r="F52" i="3"/>
  <c r="D54" i="3"/>
  <c r="F18" i="3"/>
  <c r="D16" i="3"/>
  <c r="E18" i="3"/>
  <c r="F17" i="3"/>
  <c r="E17" i="3"/>
  <c r="D17" i="3"/>
  <c r="E16" i="3"/>
  <c r="F16" i="3"/>
  <c r="D18" i="3"/>
  <c r="F90" i="3"/>
  <c r="D88" i="3"/>
  <c r="E90" i="3"/>
  <c r="F89" i="3"/>
  <c r="E89" i="3"/>
  <c r="D89" i="3"/>
  <c r="E88" i="3"/>
  <c r="D90" i="3"/>
  <c r="F88" i="3"/>
</calcChain>
</file>

<file path=xl/sharedStrings.xml><?xml version="1.0" encoding="utf-8"?>
<sst xmlns="http://schemas.openxmlformats.org/spreadsheetml/2006/main" count="384" uniqueCount="146">
  <si>
    <t>Quantum Harmonic Oscillator — Exact Mehler Kernel  (Path-Integral Propagator)</t>
  </si>
  <si>
    <t>x_i = 0,  x_f = 0→10  (step 0.25),  T = 1,  m = 1,  ω = 1,  ℏ = 1  (natural units)</t>
  </si>
  <si>
    <t xml:space="preserve">  ▶  The Mehler Kernel — Exact QHO Propagator</t>
  </si>
  <si>
    <t>Harmonic Potential V(x)</t>
  </si>
  <si>
    <t>V(x)  =  ½·m·ω²·x²     →     with m = ω = 1 :     V(x) = ½ x²</t>
  </si>
  <si>
    <t>Full Mehler Kernel
(general x_i, x_f)</t>
  </si>
  <si>
    <t>K(x_f, T ; x_i, 0)  =  √[ mω / (2πiℏ sin(ωT)) ]  ×  exp{ i·mω·[(x_i² + x_f²)·cos(ωT)  −  2·x_i·x_f] / [2ℏ·sin(ωT)] }</t>
  </si>
  <si>
    <t>Simplified form
x_i = 0  (our case)</t>
  </si>
  <si>
    <t>K(x_f, T ; 0, 0)  =  √[ mω / (2πiℏ·sin(ωT)) ]  ×  exp{ i·mω·cos(ωT)·x_f²  /  [2ℏ·sin(ωT)] }</t>
  </si>
  <si>
    <t>Compact form
A = prefactor, φ = phase coeff</t>
  </si>
  <si>
    <t>K  =  A · exp(i·φ·x_f²)     where:   A = √[mω/(2πiℏ·sinωT)] ,   φ = mω·cot(ωT) / (2ℏ)</t>
  </si>
  <si>
    <t>Prefactor breakdown
|A| and θ_A</t>
  </si>
  <si>
    <t>|A|  =  √[ mω / (2πℏ·|sinωT|) ]     θ_A  =  arg(A)  =  −π/4   (since A = √(pure-negative-imaginary) ⟹ arg = −π/4)</t>
  </si>
  <si>
    <t>Re and Im parts of K</t>
  </si>
  <si>
    <t>Re[K]  =  |A|·cos(θ_A + φ·x_f²)          Im[K]  =  |A|·sin(θ_A + φ·x_f²)</t>
  </si>
  <si>
    <t>Modulus |K|  (constant!)</t>
  </si>
  <si>
    <t>|K(x_f, T; 0, 0)|  =  |A|  =  √[ mω / (2πℏ·|sinωT|) ]     ← independent of x_f  (equal probability amplitude everywhere)</t>
  </si>
  <si>
    <t>Classical action / phase
(x_i = 0)</t>
  </si>
  <si>
    <t>S_cl/ℏ  =  mω·cot(ωT)·x_f² / (2ℏ)     →     with m=ω=ℏ=1, T=1:   S_cl/ℏ = cot(1)/2 · x_f²</t>
  </si>
  <si>
    <t xml:space="preserve">  ▶  Input Parameters  (yellow = user-editable inputs)</t>
  </si>
  <si>
    <t>Symbol</t>
  </si>
  <si>
    <t>Parameter Name</t>
  </si>
  <si>
    <t>Value</t>
  </si>
  <si>
    <t>Unit</t>
  </si>
  <si>
    <t>Notes</t>
  </si>
  <si>
    <t>m</t>
  </si>
  <si>
    <t>Particle mass</t>
  </si>
  <si>
    <t>nat. units</t>
  </si>
  <si>
    <t>Mass of particle</t>
  </si>
  <si>
    <t>ω</t>
  </si>
  <si>
    <t>Angular frequency</t>
  </si>
  <si>
    <t>rad/s</t>
  </si>
  <si>
    <t>Oscillator frequency</t>
  </si>
  <si>
    <t>T</t>
  </si>
  <si>
    <t>Propagation time</t>
  </si>
  <si>
    <t>s</t>
  </si>
  <si>
    <t>Total time elapsed</t>
  </si>
  <si>
    <t>ℏ</t>
  </si>
  <si>
    <t>Reduced Planck constant</t>
  </si>
  <si>
    <t>J·s</t>
  </si>
  <si>
    <t>Natural units: ℏ=1</t>
  </si>
  <si>
    <t>x_i</t>
  </si>
  <si>
    <t>Start position</t>
  </si>
  <si>
    <t>—</t>
  </si>
  <si>
    <t>Fixed at origin</t>
  </si>
  <si>
    <t xml:space="preserve">  ▶  Derived Values  (formula cells — auto-update if parameters change)</t>
  </si>
  <si>
    <t>Expression</t>
  </si>
  <si>
    <t>Formula Cell</t>
  </si>
  <si>
    <t>Numeric Result</t>
  </si>
  <si>
    <t>sin(ωT)</t>
  </si>
  <si>
    <t>sin(ω·T)</t>
  </si>
  <si>
    <t>cos(ωT)</t>
  </si>
  <si>
    <t>cos(ω·T)</t>
  </si>
  <si>
    <t>cot(ωT)</t>
  </si>
  <si>
    <t>cos(ωT)/sin(ωT)</t>
  </si>
  <si>
    <t>|A|</t>
  </si>
  <si>
    <t>√(mω/2πℏ|sinωT|)</t>
  </si>
  <si>
    <t>Prefactor magnitude</t>
  </si>
  <si>
    <t>θ_A</t>
  </si>
  <si>
    <t>−π/4</t>
  </si>
  <si>
    <t>arg of A; = −π/4 when sinωT&gt;0</t>
  </si>
  <si>
    <t>φ</t>
  </si>
  <si>
    <t>mω·cot(ωT)/(2ℏ)</t>
  </si>
  <si>
    <t>Exponent coefficient</t>
  </si>
  <si>
    <t>QHO Mehler Kernel — Numerical Results   (x_i=0, T=1, m=1, ω=1, ℏ=1)</t>
  </si>
  <si>
    <t>K(x_f) = A·exp(i·φ·x_f²)   |   All cells (except x_f) are Excel formulas — change parameters on Theory &amp; Parameters sheet and this table recalculates automatically.</t>
  </si>
  <si>
    <t>V(x) = ½·m·ω²·x²  =  ½x²   |   Blue = input (x_f)   |   White = formula result   |   Coloured = key outputs</t>
  </si>
  <si>
    <t>x_f
[input]</t>
  </si>
  <si>
    <t>Trig Functions of ωT</t>
  </si>
  <si>
    <t>Prefactor  A</t>
  </si>
  <si>
    <t>Exponent Phase</t>
  </si>
  <si>
    <t>K  (complex)</t>
  </si>
  <si>
    <t>Re[K]</t>
  </si>
  <si>
    <t>Im[K]</t>
  </si>
  <si>
    <t>|K|</t>
  </si>
  <si>
    <t>arg(K)
[rad]</t>
  </si>
  <si>
    <t>cot(ωT)
=cos/sin</t>
  </si>
  <si>
    <t>|A|
=√(mω/2πℏ|sinωT|)</t>
  </si>
  <si>
    <t>θ_A
=−π/4 [rad]</t>
  </si>
  <si>
    <t>φ
=mω·cot/(2ℏ)</t>
  </si>
  <si>
    <t>φ·x_f²
[rad]</t>
  </si>
  <si>
    <t>Total phase
θ_A+φ·x_f² [rad]</t>
  </si>
  <si>
    <t>K complex
=Re+i·Im</t>
  </si>
  <si>
    <t>Step-by-Step Worked Examples — QHO Mehler Kernel  (all formula cells reference Parameters sheet)</t>
  </si>
  <si>
    <t>Parameters: m=C16, ω=C17, T=C18, ℏ=C19 on 'Theory &amp; Parameters' sheet.  Change those values and all results below update automatically.</t>
  </si>
  <si>
    <t xml:space="preserve">  x_f = 0.0</t>
  </si>
  <si>
    <t>Step</t>
  </si>
  <si>
    <t>Description</t>
  </si>
  <si>
    <t>Mathematical Expression</t>
  </si>
  <si>
    <t>Formula used</t>
  </si>
  <si>
    <t>Substitution (text)</t>
  </si>
  <si>
    <t>Result</t>
  </si>
  <si>
    <t>Unit/Notes</t>
  </si>
  <si>
    <t>1</t>
  </si>
  <si>
    <t>ωT</t>
  </si>
  <si>
    <t>ω × T</t>
  </si>
  <si>
    <t>rad</t>
  </si>
  <si>
    <t>2</t>
  </si>
  <si>
    <t>3</t>
  </si>
  <si>
    <t>4</t>
  </si>
  <si>
    <t>cos(ωT) / sin(ωT)</t>
  </si>
  <si>
    <t>5</t>
  </si>
  <si>
    <t>Prefactor magnitude |A|</t>
  </si>
  <si>
    <t>√[ mω / (2π·ℏ·|sinωT|) ]</t>
  </si>
  <si>
    <t>const in x_f</t>
  </si>
  <si>
    <t>6</t>
  </si>
  <si>
    <t>Prefactor phase θ_A</t>
  </si>
  <si>
    <t>arg(√(1/i)) = −π/4</t>
  </si>
  <si>
    <t>rad; always −π/4 when sinωT&gt;0</t>
  </si>
  <si>
    <t>7</t>
  </si>
  <si>
    <t>Phase coefficient φ</t>
  </si>
  <si>
    <t>mω·cot(ωT) / (2·ℏ)</t>
  </si>
  <si>
    <t>rad/length²</t>
  </si>
  <si>
    <t>8</t>
  </si>
  <si>
    <t>φ·x_f²   (x_f=0.0)</t>
  </si>
  <si>
    <t>φ × x_f²</t>
  </si>
  <si>
    <t>rad (pure-imag exponent)</t>
  </si>
  <si>
    <t>9</t>
  </si>
  <si>
    <t>Total phase of K</t>
  </si>
  <si>
    <t>θ_A  +  φ·x_f²</t>
  </si>
  <si>
    <t>10</t>
  </si>
  <si>
    <t>Re[K] = |A|·cos(total phase)</t>
  </si>
  <si>
    <t>|A| · cos(θ_A + φ·x_f²)</t>
  </si>
  <si>
    <t>11</t>
  </si>
  <si>
    <t>Im[K] = |A|·sin(total phase)</t>
  </si>
  <si>
    <t>|A| · sin(θ_A + φ·x_f²)</t>
  </si>
  <si>
    <t>12</t>
  </si>
  <si>
    <t>|K|  (modulus)</t>
  </si>
  <si>
    <t>√( Re[K]² + Im[K]² )</t>
  </si>
  <si>
    <t>equals |A| always</t>
  </si>
  <si>
    <t>13</t>
  </si>
  <si>
    <t>arg(K)  [rad]</t>
  </si>
  <si>
    <t>atan2( Im[K], Re[K] )</t>
  </si>
  <si>
    <t>rad; equals total phase</t>
  </si>
  <si>
    <t>⇒</t>
  </si>
  <si>
    <t>Final propagator value K</t>
  </si>
  <si>
    <t>Re[K]  +  i · Im[K]</t>
  </si>
  <si>
    <t>complex number</t>
  </si>
  <si>
    <t xml:space="preserve">  x_f = 2.5</t>
  </si>
  <si>
    <t>φ·x_f²   (x_f=2.5)</t>
  </si>
  <si>
    <t xml:space="preserve">  x_f = 5.0</t>
  </si>
  <si>
    <t>φ·x_f²   (x_f=5.0)</t>
  </si>
  <si>
    <t xml:space="preserve">  x_f = 7.5</t>
  </si>
  <si>
    <t>φ·x_f²   (x_f=7.5)</t>
  </si>
  <si>
    <t xml:space="preserve">  x_f = 10.0</t>
  </si>
  <si>
    <t>φ·x_f²   (x_f=10.0)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</si>
</sst>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"/>
    <numFmt numFmtId="165" formatCode="0.000000"/>
    <numFmt numFmtId="166" formatCode="0.000000000"/>
  </numFmts>
  <fonts count="1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1A3A5C"/>
      <name val="Arial"/>
      <charset val="1"/>
    </font>
    <font>
      <sz val="9"/>
      <color rgb="FF000000"/>
      <name val="Arial"/>
      <charset val="1"/>
    </font>
    <font>
      <b/>
      <sz val="9"/>
      <color rgb="FFFFFFFF"/>
      <name val="Arial"/>
      <charset val="1"/>
    </font>
    <font>
      <b/>
      <sz val="10"/>
      <color rgb="FF0000CC"/>
      <name val="Arial"/>
      <charset val="1"/>
    </font>
    <font>
      <b/>
      <sz val="13"/>
      <color rgb="FFFFFFFF"/>
      <name val="Arial"/>
      <charset val="1"/>
    </font>
    <font>
      <i/>
      <sz val="9"/>
      <color rgb="FFFFFFFF"/>
      <name val="Arial"/>
      <charset val="1"/>
    </font>
    <font>
      <i/>
      <sz val="8"/>
      <color rgb="FF1A3A5C"/>
      <name val="Arial"/>
      <charset val="1"/>
    </font>
    <font>
      <b/>
      <sz val="8"/>
      <color rgb="FFFFFFFF"/>
      <name val="Arial"/>
      <charset val="1"/>
    </font>
    <font>
      <b/>
      <sz val="9"/>
      <color rgb="FF0000CC"/>
      <name val="Arial"/>
      <charset val="1"/>
    </font>
    <font>
      <b/>
      <sz val="12"/>
      <color rgb="FFFFFFFF"/>
      <name val="Arial"/>
      <charset val="1"/>
    </font>
    <font>
      <i/>
      <sz val="8"/>
      <color rgb="FFFFFFFF"/>
      <name val="Arial"/>
      <charset val="1"/>
    </font>
    <font>
      <sz val="9"/>
      <color rgb="FF000040"/>
      <name val="Courier New"/>
      <charset val="1"/>
    </font>
    <font>
      <b/>
      <sz val="9"/>
      <color rgb="FF000000"/>
      <name val="Arial"/>
      <charset val="1"/>
    </font>
  </fonts>
  <fills count="29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2E6DA4"/>
        <bgColor rgb="FF2874A6"/>
      </patternFill>
    </fill>
    <fill>
      <patternFill patternType="solid">
        <fgColor rgb="FFD6E4F0"/>
        <bgColor rgb="FFD6EAF8"/>
      </patternFill>
    </fill>
    <fill>
      <patternFill patternType="solid">
        <fgColor rgb="FFEAF4FB"/>
        <bgColor rgb="FFEBF5FB"/>
      </patternFill>
    </fill>
    <fill>
      <patternFill patternType="solid">
        <fgColor rgb="FFFFF9C4"/>
        <bgColor rgb="FFFFF2CC"/>
      </patternFill>
    </fill>
    <fill>
      <patternFill patternType="solid">
        <fgColor rgb="FFFFFFFF"/>
        <bgColor rgb="FFFDFEFE"/>
      </patternFill>
    </fill>
    <fill>
      <patternFill patternType="solid">
        <fgColor rgb="FFF2F3F4"/>
        <bgColor rgb="FFF5EEF8"/>
      </patternFill>
    </fill>
    <fill>
      <patternFill patternType="solid">
        <fgColor rgb="FF2874A6"/>
        <bgColor rgb="FF2E6DA4"/>
      </patternFill>
    </fill>
    <fill>
      <patternFill patternType="solid">
        <fgColor rgb="FF6C3483"/>
        <bgColor rgb="FF993366"/>
      </patternFill>
    </fill>
    <fill>
      <patternFill patternType="solid">
        <fgColor rgb="FF1A5276"/>
        <bgColor rgb="FF1A3A5C"/>
      </patternFill>
    </fill>
    <fill>
      <patternFill patternType="solid">
        <fgColor rgb="FF1E8449"/>
        <bgColor rgb="FF008080"/>
      </patternFill>
    </fill>
    <fill>
      <patternFill patternType="solid">
        <fgColor rgb="FF7D6608"/>
        <bgColor rgb="FF808080"/>
      </patternFill>
    </fill>
    <fill>
      <patternFill patternType="solid">
        <fgColor rgb="FF922B21"/>
        <bgColor rgb="FF993366"/>
      </patternFill>
    </fill>
    <fill>
      <patternFill patternType="solid">
        <fgColor rgb="FFE8DAEF"/>
        <bgColor rgb="FFD6E4F0"/>
      </patternFill>
    </fill>
    <fill>
      <patternFill patternType="solid">
        <fgColor rgb="FFD6EAF8"/>
        <bgColor rgb="FFDAE8FC"/>
      </patternFill>
    </fill>
    <fill>
      <patternFill patternType="solid">
        <fgColor rgb="FFDAE8FC"/>
        <bgColor rgb="FFD6EAF8"/>
      </patternFill>
    </fill>
    <fill>
      <patternFill patternType="solid">
        <fgColor rgb="FFEBF5FB"/>
        <bgColor rgb="FFEAF4FB"/>
      </patternFill>
    </fill>
    <fill>
      <patternFill patternType="solid">
        <fgColor rgb="FFD5E8D4"/>
        <bgColor rgb="FFD6E4F0"/>
      </patternFill>
    </fill>
    <fill>
      <patternFill patternType="solid">
        <fgColor rgb="FFFFF2CC"/>
        <bgColor rgb="FFFFF9C4"/>
      </patternFill>
    </fill>
    <fill>
      <patternFill patternType="solid">
        <fgColor rgb="FFF8CECC"/>
        <bgColor rgb="FFE8DAEF"/>
      </patternFill>
    </fill>
    <fill>
      <patternFill patternType="solid">
        <fgColor rgb="FFF5EEF8"/>
        <bgColor rgb="FFF4ECF7"/>
      </patternFill>
    </fill>
    <fill>
      <patternFill patternType="solid">
        <fgColor rgb="FFF4ECF7"/>
        <bgColor rgb="FFF5EEF8"/>
      </patternFill>
    </fill>
    <fill>
      <patternFill patternType="solid">
        <fgColor rgb="FFFDFEFE"/>
        <bgColor rgb="FFFFFFFF"/>
      </patternFill>
    </fill>
    <fill>
      <patternFill patternType="solid">
        <fgColor rgb="FFE9F7EF"/>
        <bgColor rgb="FFEBF5FB"/>
      </patternFill>
    </fill>
    <fill>
      <patternFill patternType="solid">
        <fgColor rgb="FFFEFBD8"/>
        <bgColor rgb="FFFFF9C4"/>
      </patternFill>
    </fill>
    <fill>
      <patternFill patternType="solid">
        <fgColor rgb="FFFDEDEC"/>
        <bgColor rgb="FFF5EEF8"/>
      </patternFill>
    </fill>
    <fill>
      <patternFill patternType="solid">
        <fgColor rgb="FFD5F5E3"/>
        <bgColor rgb="FFD6EAF8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6" fillId="12" borderId="1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0" fillId="8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2" fontId="12" fillId="6" borderId="1" xfId="0" applyNumberFormat="1" applyFont="1" applyFill="1" applyBorder="1" applyAlignment="1">
      <alignment horizontal="center" vertical="center" wrapText="1"/>
    </xf>
    <xf numFmtId="165" fontId="5" fillId="15" borderId="1" xfId="0" applyNumberFormat="1" applyFont="1" applyFill="1" applyBorder="1" applyAlignment="1">
      <alignment horizontal="center" vertical="center" wrapText="1"/>
    </xf>
    <xf numFmtId="165" fontId="5" fillId="16" borderId="1" xfId="0" applyNumberFormat="1" applyFont="1" applyFill="1" applyBorder="1" applyAlignment="1">
      <alignment horizontal="center" vertical="center" wrapText="1"/>
    </xf>
    <xf numFmtId="165" fontId="5" fillId="17" borderId="1" xfId="0" applyNumberFormat="1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165" fontId="5" fillId="19" borderId="1" xfId="0" applyNumberFormat="1" applyFont="1" applyFill="1" applyBorder="1" applyAlignment="1">
      <alignment horizontal="center" vertical="center" wrapText="1"/>
    </xf>
    <xf numFmtId="165" fontId="5" fillId="20" borderId="1" xfId="0" applyNumberFormat="1" applyFont="1" applyFill="1" applyBorder="1" applyAlignment="1">
      <alignment horizontal="center" vertical="center" wrapText="1"/>
    </xf>
    <xf numFmtId="165" fontId="5" fillId="21" borderId="1" xfId="0" applyNumberFormat="1" applyFont="1" applyFill="1" applyBorder="1" applyAlignment="1">
      <alignment horizontal="center" vertical="center" wrapText="1"/>
    </xf>
    <xf numFmtId="165" fontId="5" fillId="22" borderId="1" xfId="0" applyNumberFormat="1" applyFont="1" applyFill="1" applyBorder="1" applyAlignment="1">
      <alignment horizontal="center" vertical="center" wrapText="1"/>
    </xf>
    <xf numFmtId="165" fontId="5" fillId="18" borderId="1" xfId="0" applyNumberFormat="1" applyFont="1" applyFill="1" applyBorder="1" applyAlignment="1">
      <alignment horizontal="center" vertical="center" wrapText="1"/>
    </xf>
    <xf numFmtId="165" fontId="5" fillId="23" borderId="1" xfId="0" applyNumberFormat="1" applyFont="1" applyFill="1" applyBorder="1" applyAlignment="1">
      <alignment horizontal="center" vertical="center" wrapText="1"/>
    </xf>
    <xf numFmtId="165" fontId="5" fillId="24" borderId="1" xfId="0" applyNumberFormat="1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center" vertical="center" wrapText="1"/>
    </xf>
    <xf numFmtId="165" fontId="5" fillId="25" borderId="1" xfId="0" applyNumberFormat="1" applyFont="1" applyFill="1" applyBorder="1" applyAlignment="1">
      <alignment horizontal="center" vertical="center" wrapText="1"/>
    </xf>
    <xf numFmtId="165" fontId="5" fillId="26" borderId="1" xfId="0" applyNumberFormat="1" applyFont="1" applyFill="1" applyBorder="1" applyAlignment="1">
      <alignment horizontal="center" vertical="center" wrapText="1"/>
    </xf>
    <xf numFmtId="165" fontId="5" fillId="27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6" fontId="15" fillId="7" borderId="1" xfId="0" applyNumberFormat="1" applyFont="1" applyFill="1" applyBorder="1" applyAlignment="1">
      <alignment horizontal="left" vertical="center" wrapText="1"/>
    </xf>
    <xf numFmtId="166" fontId="4" fillId="24" borderId="1" xfId="0" applyNumberFormat="1" applyFont="1" applyFill="1" applyBorder="1" applyAlignment="1">
      <alignment horizontal="left" vertical="center" wrapText="1"/>
    </xf>
    <xf numFmtId="0" fontId="16" fillId="28" borderId="1" xfId="0" applyFont="1" applyFill="1" applyBorder="1" applyAlignment="1">
      <alignment horizontal="center" vertical="center" wrapText="1"/>
    </xf>
    <xf numFmtId="0" fontId="16" fillId="28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2CC"/>
      <rgbColor rgb="FFFF00FF"/>
      <rgbColor rgb="FF00FFFF"/>
      <rgbColor rgb="FF800000"/>
      <rgbColor rgb="FF008000"/>
      <rgbColor rgb="FF000040"/>
      <rgbColor rgb="FF7D6608"/>
      <rgbColor rgb="FF800080"/>
      <rgbColor rgb="FF2874A6"/>
      <rgbColor rgb="FFBFBFBF"/>
      <rgbColor rgb="FF808080"/>
      <rgbColor rgb="FFF4ECF7"/>
      <rgbColor rgb="FF6C3483"/>
      <rgbColor rgb="FFFEFBD8"/>
      <rgbColor rgb="FFD6EAF8"/>
      <rgbColor rgb="FF660066"/>
      <rgbColor rgb="FFF2F3F4"/>
      <rgbColor rgb="FF2E6DA4"/>
      <rgbColor rgb="FFE8DAEF"/>
      <rgbColor rgb="FF000080"/>
      <rgbColor rgb="FFFF00FF"/>
      <rgbColor rgb="FFFDEDEC"/>
      <rgbColor rgb="FF00FFFF"/>
      <rgbColor rgb="FF800080"/>
      <rgbColor rgb="FF800000"/>
      <rgbColor rgb="FF008080"/>
      <rgbColor rgb="FF0000FF"/>
      <rgbColor rgb="FF00CCFF"/>
      <rgbColor rgb="FFE9F7EF"/>
      <rgbColor rgb="FFD5F5E3"/>
      <rgbColor rgb="FFFFF9C4"/>
      <rgbColor rgb="FFD6E4F0"/>
      <rgbColor rgb="FFD5E8D4"/>
      <rgbColor rgb="FFDAE8FC"/>
      <rgbColor rgb="FFF8CECC"/>
      <rgbColor rgb="FF3366FF"/>
      <rgbColor rgb="FF33CCCC"/>
      <rgbColor rgb="FFEBF5FB"/>
      <rgbColor rgb="FFF5EEF8"/>
      <rgbColor rgb="FFFDFEFE"/>
      <rgbColor rgb="FFFF6600"/>
      <rgbColor rgb="FF666699"/>
      <rgbColor rgb="FFEAF4FB"/>
      <rgbColor rgb="FF1A3A5C"/>
      <rgbColor rgb="FF1E8449"/>
      <rgbColor rgb="FF003300"/>
      <rgbColor rgb="FF333300"/>
      <rgbColor rgb="FF922B21"/>
      <rgbColor rgb="FF993366"/>
      <rgbColor rgb="FF1A52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showGridLines="0" topLeftCell="A9" zoomScaleNormal="100" workbookViewId="0">
      <selection sqref="A1:I1"/>
    </sheetView>
  </sheetViews>
  <sheetFormatPr defaultColWidth="8.6640625" defaultRowHeight="14.4" x14ac:dyDescent="0.3"/>
  <cols>
    <col min="1" max="1" width="12" customWidth="1"/>
    <col min="2" max="2" width="28" customWidth="1"/>
    <col min="3" max="3" width="52" customWidth="1"/>
    <col min="4" max="4" width="12" customWidth="1"/>
    <col min="5" max="5" width="36" customWidth="1"/>
    <col min="6" max="9" width="10" customWidth="1"/>
  </cols>
  <sheetData>
    <row r="1" spans="1:9" ht="31.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5.7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4" spans="1:9" ht="19.5" customHeight="1" x14ac:dyDescent="0.3">
      <c r="A4" s="12" t="s">
        <v>2</v>
      </c>
      <c r="B4" s="12"/>
      <c r="C4" s="12"/>
      <c r="D4" s="12"/>
      <c r="E4" s="12"/>
      <c r="F4" s="12"/>
      <c r="G4" s="12"/>
      <c r="H4" s="12"/>
      <c r="I4" s="12"/>
    </row>
    <row r="5" spans="1:9" ht="43.5" customHeight="1" x14ac:dyDescent="0.3">
      <c r="A5" s="11" t="s">
        <v>3</v>
      </c>
      <c r="B5" s="11"/>
      <c r="C5" s="10" t="s">
        <v>4</v>
      </c>
      <c r="D5" s="10"/>
      <c r="E5" s="10"/>
      <c r="F5" s="10"/>
      <c r="G5" s="10"/>
      <c r="H5" s="10"/>
      <c r="I5" s="10"/>
    </row>
    <row r="6" spans="1:9" ht="43.5" customHeight="1" x14ac:dyDescent="0.3">
      <c r="A6" s="11" t="s">
        <v>5</v>
      </c>
      <c r="B6" s="11"/>
      <c r="C6" s="10" t="s">
        <v>6</v>
      </c>
      <c r="D6" s="10"/>
      <c r="E6" s="10"/>
      <c r="F6" s="10"/>
      <c r="G6" s="10"/>
      <c r="H6" s="10"/>
      <c r="I6" s="10"/>
    </row>
    <row r="7" spans="1:9" ht="43.5" customHeight="1" x14ac:dyDescent="0.3">
      <c r="A7" s="11" t="s">
        <v>7</v>
      </c>
      <c r="B7" s="11"/>
      <c r="C7" s="10" t="s">
        <v>8</v>
      </c>
      <c r="D7" s="10"/>
      <c r="E7" s="10"/>
      <c r="F7" s="10"/>
      <c r="G7" s="10"/>
      <c r="H7" s="10"/>
      <c r="I7" s="10"/>
    </row>
    <row r="8" spans="1:9" ht="43.5" customHeight="1" x14ac:dyDescent="0.3">
      <c r="A8" s="11" t="s">
        <v>9</v>
      </c>
      <c r="B8" s="11"/>
      <c r="C8" s="10" t="s">
        <v>10</v>
      </c>
      <c r="D8" s="10"/>
      <c r="E8" s="10"/>
      <c r="F8" s="10"/>
      <c r="G8" s="10"/>
      <c r="H8" s="10"/>
      <c r="I8" s="10"/>
    </row>
    <row r="9" spans="1:9" ht="43.5" customHeight="1" x14ac:dyDescent="0.3">
      <c r="A9" s="11" t="s">
        <v>11</v>
      </c>
      <c r="B9" s="11"/>
      <c r="C9" s="10" t="s">
        <v>12</v>
      </c>
      <c r="D9" s="10"/>
      <c r="E9" s="10"/>
      <c r="F9" s="10"/>
      <c r="G9" s="10"/>
      <c r="H9" s="10"/>
      <c r="I9" s="10"/>
    </row>
    <row r="10" spans="1:9" ht="43.5" customHeight="1" x14ac:dyDescent="0.3">
      <c r="A10" s="11" t="s">
        <v>13</v>
      </c>
      <c r="B10" s="11"/>
      <c r="C10" s="10" t="s">
        <v>14</v>
      </c>
      <c r="D10" s="10"/>
      <c r="E10" s="10"/>
      <c r="F10" s="10"/>
      <c r="G10" s="10"/>
      <c r="H10" s="10"/>
      <c r="I10" s="10"/>
    </row>
    <row r="11" spans="1:9" ht="43.5" customHeight="1" x14ac:dyDescent="0.3">
      <c r="A11" s="11" t="s">
        <v>15</v>
      </c>
      <c r="B11" s="11"/>
      <c r="C11" s="10" t="s">
        <v>16</v>
      </c>
      <c r="D11" s="10"/>
      <c r="E11" s="10"/>
      <c r="F11" s="10"/>
      <c r="G11" s="10"/>
      <c r="H11" s="10"/>
      <c r="I11" s="10"/>
    </row>
    <row r="12" spans="1:9" ht="43.5" customHeight="1" x14ac:dyDescent="0.3">
      <c r="A12" s="11" t="s">
        <v>17</v>
      </c>
      <c r="B12" s="11"/>
      <c r="C12" s="10" t="s">
        <v>18</v>
      </c>
      <c r="D12" s="10"/>
      <c r="E12" s="10"/>
      <c r="F12" s="10"/>
      <c r="G12" s="10"/>
      <c r="H12" s="10"/>
      <c r="I12" s="10"/>
    </row>
    <row r="14" spans="1:9" ht="19.5" customHeight="1" x14ac:dyDescent="0.3">
      <c r="A14" s="12" t="s">
        <v>19</v>
      </c>
      <c r="B14" s="12"/>
      <c r="C14" s="12"/>
      <c r="D14" s="12"/>
      <c r="E14" s="12"/>
      <c r="F14" s="12"/>
      <c r="G14" s="12"/>
      <c r="H14" s="12"/>
      <c r="I14" s="12"/>
    </row>
    <row r="15" spans="1:9" ht="18" customHeight="1" x14ac:dyDescent="0.3">
      <c r="A15" s="16" t="s">
        <v>20</v>
      </c>
      <c r="B15" s="16" t="s">
        <v>21</v>
      </c>
      <c r="C15" s="16" t="s">
        <v>22</v>
      </c>
      <c r="D15" s="16" t="s">
        <v>23</v>
      </c>
      <c r="E15" s="16" t="s">
        <v>24</v>
      </c>
    </row>
    <row r="16" spans="1:9" ht="18" customHeight="1" x14ac:dyDescent="0.3">
      <c r="A16" s="17" t="s">
        <v>25</v>
      </c>
      <c r="B16" s="18" t="s">
        <v>26</v>
      </c>
      <c r="C16" s="19">
        <v>1</v>
      </c>
      <c r="D16" s="17" t="s">
        <v>27</v>
      </c>
      <c r="E16" s="18" t="s">
        <v>28</v>
      </c>
    </row>
    <row r="17" spans="1:9" ht="18" customHeight="1" x14ac:dyDescent="0.3">
      <c r="A17" s="20" t="s">
        <v>29</v>
      </c>
      <c r="B17" s="21" t="s">
        <v>30</v>
      </c>
      <c r="C17" s="19">
        <v>1</v>
      </c>
      <c r="D17" s="20" t="s">
        <v>31</v>
      </c>
      <c r="E17" s="21" t="s">
        <v>32</v>
      </c>
    </row>
    <row r="18" spans="1:9" ht="18" customHeight="1" x14ac:dyDescent="0.3">
      <c r="A18" s="17" t="s">
        <v>33</v>
      </c>
      <c r="B18" s="18" t="s">
        <v>34</v>
      </c>
      <c r="C18" s="19">
        <v>1</v>
      </c>
      <c r="D18" s="17" t="s">
        <v>35</v>
      </c>
      <c r="E18" s="18" t="s">
        <v>36</v>
      </c>
    </row>
    <row r="19" spans="1:9" ht="18" customHeight="1" x14ac:dyDescent="0.3">
      <c r="A19" s="20" t="s">
        <v>37</v>
      </c>
      <c r="B19" s="21" t="s">
        <v>38</v>
      </c>
      <c r="C19" s="19">
        <v>1</v>
      </c>
      <c r="D19" s="20" t="s">
        <v>39</v>
      </c>
      <c r="E19" s="21" t="s">
        <v>40</v>
      </c>
    </row>
    <row r="20" spans="1:9" ht="18" customHeight="1" x14ac:dyDescent="0.3">
      <c r="A20" s="17" t="s">
        <v>41</v>
      </c>
      <c r="B20" s="18" t="s">
        <v>42</v>
      </c>
      <c r="C20" s="19">
        <v>0</v>
      </c>
      <c r="D20" s="17" t="s">
        <v>43</v>
      </c>
      <c r="E20" s="18" t="s">
        <v>44</v>
      </c>
    </row>
    <row r="21" spans="1:9" ht="19.5" customHeight="1" x14ac:dyDescent="0.3">
      <c r="A21" s="12" t="s">
        <v>45</v>
      </c>
      <c r="B21" s="12"/>
      <c r="C21" s="12"/>
      <c r="D21" s="12"/>
      <c r="E21" s="12"/>
      <c r="F21" s="12"/>
      <c r="G21" s="12"/>
      <c r="H21" s="12"/>
      <c r="I21" s="12"/>
    </row>
    <row r="22" spans="1:9" ht="18" customHeight="1" x14ac:dyDescent="0.3">
      <c r="A22" s="16" t="s">
        <v>20</v>
      </c>
      <c r="B22" s="16" t="s">
        <v>46</v>
      </c>
      <c r="C22" s="16" t="s">
        <v>47</v>
      </c>
      <c r="D22" s="16" t="s">
        <v>48</v>
      </c>
      <c r="E22" s="16" t="s">
        <v>24</v>
      </c>
    </row>
    <row r="23" spans="1:9" ht="18" customHeight="1" x14ac:dyDescent="0.3">
      <c r="A23" s="20" t="s">
        <v>49</v>
      </c>
      <c r="B23" s="21" t="s">
        <v>50</v>
      </c>
      <c r="C23" s="22">
        <f>SIN(C17*C18)</f>
        <v>0.8414709848078965</v>
      </c>
      <c r="D23" s="23"/>
      <c r="E23" s="21"/>
    </row>
    <row r="24" spans="1:9" ht="18" customHeight="1" x14ac:dyDescent="0.3">
      <c r="A24" s="17" t="s">
        <v>51</v>
      </c>
      <c r="B24" s="18" t="s">
        <v>52</v>
      </c>
      <c r="C24" s="22">
        <f>COS(C17*C18)</f>
        <v>0.54030230586813977</v>
      </c>
      <c r="D24" s="23"/>
      <c r="E24" s="18"/>
    </row>
    <row r="25" spans="1:9" ht="18" customHeight="1" x14ac:dyDescent="0.3">
      <c r="A25" s="20" t="s">
        <v>53</v>
      </c>
      <c r="B25" s="21" t="s">
        <v>54</v>
      </c>
      <c r="C25" s="22">
        <f>COS(C17*C18)/SIN(C17*C18)</f>
        <v>0.64209261593433076</v>
      </c>
      <c r="D25" s="23"/>
      <c r="E25" s="21"/>
    </row>
    <row r="26" spans="1:9" ht="18" customHeight="1" x14ac:dyDescent="0.3">
      <c r="A26" s="17" t="s">
        <v>55</v>
      </c>
      <c r="B26" s="18" t="s">
        <v>56</v>
      </c>
      <c r="C26" s="22">
        <f>SQRT(C16*C17/(2*PI()*C19*ABS(SIN(C17*C18))))</f>
        <v>0.43490108695058904</v>
      </c>
      <c r="D26" s="23"/>
      <c r="E26" s="18" t="s">
        <v>57</v>
      </c>
    </row>
    <row r="27" spans="1:9" ht="18" customHeight="1" x14ac:dyDescent="0.3">
      <c r="A27" s="20" t="s">
        <v>58</v>
      </c>
      <c r="B27" s="21" t="s">
        <v>59</v>
      </c>
      <c r="C27" s="22">
        <f>-PI()/4</f>
        <v>-0.78539816339744828</v>
      </c>
      <c r="D27" s="23"/>
      <c r="E27" s="21" t="s">
        <v>60</v>
      </c>
    </row>
    <row r="28" spans="1:9" ht="18" customHeight="1" x14ac:dyDescent="0.3">
      <c r="A28" s="17" t="s">
        <v>61</v>
      </c>
      <c r="B28" s="18" t="s">
        <v>62</v>
      </c>
      <c r="C28" s="22">
        <f>C16*C17*COS(C17*C18)/(2*C19*SIN(C17*C18))</f>
        <v>0.32104630796716538</v>
      </c>
      <c r="D28" s="23"/>
      <c r="E28" s="18" t="s">
        <v>63</v>
      </c>
    </row>
  </sheetData>
  <mergeCells count="21">
    <mergeCell ref="A12:B12"/>
    <mergeCell ref="C12:I12"/>
    <mergeCell ref="A14:I14"/>
    <mergeCell ref="A21:I21"/>
    <mergeCell ref="A9:B9"/>
    <mergeCell ref="C9:I9"/>
    <mergeCell ref="A10:B10"/>
    <mergeCell ref="C10:I10"/>
    <mergeCell ref="A11:B11"/>
    <mergeCell ref="C11:I11"/>
    <mergeCell ref="A6:B6"/>
    <mergeCell ref="C6:I6"/>
    <mergeCell ref="A7:B7"/>
    <mergeCell ref="C7:I7"/>
    <mergeCell ref="A8:B8"/>
    <mergeCell ref="C8:I8"/>
    <mergeCell ref="A1:I1"/>
    <mergeCell ref="A2:I2"/>
    <mergeCell ref="A4:I4"/>
    <mergeCell ref="A5:B5"/>
    <mergeCell ref="C5:I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6"/>
  <sheetViews>
    <sheetView showGridLines="0" tabSelected="1" zoomScaleNormal="100" workbookViewId="0">
      <pane ySplit="5" topLeftCell="A6" activePane="bottomLeft" state="frozen"/>
      <selection pane="bottomLeft" activeCell="K6" sqref="K6"/>
    </sheetView>
  </sheetViews>
  <sheetFormatPr defaultColWidth="8.6640625" defaultRowHeight="14.4" x14ac:dyDescent="0.3"/>
  <cols>
    <col min="1" max="1" width="7" customWidth="1"/>
    <col min="2" max="4" width="12" customWidth="1"/>
    <col min="5" max="5" width="18" customWidth="1"/>
    <col min="6" max="8" width="14" customWidth="1"/>
    <col min="9" max="9" width="16" customWidth="1"/>
    <col min="10" max="10" width="20" customWidth="1"/>
    <col min="11" max="13" width="13" customWidth="1"/>
    <col min="14" max="14" width="14" customWidth="1"/>
  </cols>
  <sheetData>
    <row r="1" spans="1:14" ht="27.75" customHeight="1" x14ac:dyDescent="0.3">
      <c r="A1" s="9" t="s">
        <v>64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.75" customHeight="1" x14ac:dyDescent="0.3">
      <c r="A2" s="8" t="s">
        <v>65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3.5" customHeight="1" x14ac:dyDescent="0.3">
      <c r="A3" s="7" t="s">
        <v>66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ht="19.5" customHeight="1" x14ac:dyDescent="0.3">
      <c r="A4" s="6" t="s">
        <v>67</v>
      </c>
      <c r="B4" s="5" t="s">
        <v>68</v>
      </c>
      <c r="C4" s="5"/>
      <c r="D4" s="5"/>
      <c r="E4" s="4" t="s">
        <v>69</v>
      </c>
      <c r="F4" s="4"/>
      <c r="G4" s="3" t="s">
        <v>70</v>
      </c>
      <c r="H4" s="3"/>
      <c r="I4" s="2" t="s">
        <v>71</v>
      </c>
      <c r="J4" s="2"/>
      <c r="K4" s="1" t="s">
        <v>72</v>
      </c>
      <c r="L4" s="51" t="s">
        <v>73</v>
      </c>
      <c r="M4" s="52" t="s">
        <v>74</v>
      </c>
      <c r="N4" s="53" t="s">
        <v>75</v>
      </c>
    </row>
    <row r="5" spans="1:14" ht="36" customHeight="1" x14ac:dyDescent="0.3">
      <c r="A5" s="6"/>
      <c r="B5" s="24" t="s">
        <v>49</v>
      </c>
      <c r="C5" s="24" t="s">
        <v>51</v>
      </c>
      <c r="D5" s="24" t="s">
        <v>76</v>
      </c>
      <c r="E5" s="25" t="s">
        <v>77</v>
      </c>
      <c r="F5" s="25" t="s">
        <v>78</v>
      </c>
      <c r="G5" s="26" t="s">
        <v>79</v>
      </c>
      <c r="H5" s="26" t="s">
        <v>80</v>
      </c>
      <c r="I5" s="27" t="s">
        <v>81</v>
      </c>
      <c r="J5" s="27" t="s">
        <v>82</v>
      </c>
      <c r="K5" s="1"/>
      <c r="L5" s="1"/>
      <c r="M5" s="1"/>
      <c r="N5" s="1"/>
    </row>
    <row r="6" spans="1:14" ht="15" customHeight="1" x14ac:dyDescent="0.3">
      <c r="A6" s="28">
        <v>0</v>
      </c>
      <c r="B6" s="29">
        <f>'Theory &amp; Parameters'!$C$23</f>
        <v>0.8414709848078965</v>
      </c>
      <c r="C6" s="29">
        <f>'Theory &amp; Parameters'!$C$24</f>
        <v>0.54030230586813977</v>
      </c>
      <c r="D6" s="29">
        <f>'Theory &amp; Parameters'!$C$25</f>
        <v>0.64209261593433076</v>
      </c>
      <c r="E6" s="30">
        <f>'Theory &amp; Parameters'!$C$26</f>
        <v>0.43490108695058904</v>
      </c>
      <c r="F6" s="30">
        <f>'Theory &amp; Parameters'!$C$27</f>
        <v>-0.78539816339744828</v>
      </c>
      <c r="G6" s="29">
        <f>'Theory &amp; Parameters'!$C$28</f>
        <v>0.32104630796716538</v>
      </c>
      <c r="H6" s="29">
        <f t="shared" ref="H6:H46" si="0">G6*A6^2</f>
        <v>0</v>
      </c>
      <c r="I6" s="31">
        <f t="shared" ref="I6:I46" si="1">F6+H6</f>
        <v>-0.78539816339744828</v>
      </c>
      <c r="J6" s="32" t="str">
        <f t="shared" ref="J6:J46" si="2">TEXT(K6,"0.000000")&amp;" + "&amp;TEXT(L6,"0.000000")&amp;"i"</f>
        <v>0.307522 + -0.307522i</v>
      </c>
      <c r="K6" s="33">
        <f t="shared" ref="K6:K46" si="3">E6*COS(I6)</f>
        <v>0.30752150772816189</v>
      </c>
      <c r="L6" s="31">
        <f t="shared" ref="L6:L46" si="4">E6*SIN(I6)</f>
        <v>-0.30752150772816184</v>
      </c>
      <c r="M6" s="34">
        <f t="shared" ref="M6:M46" si="5">SQRT(K6^2+L6^2)</f>
        <v>0.43490108695058904</v>
      </c>
      <c r="N6" s="35">
        <f t="shared" ref="N6:N46" si="6">ATAN2(K6,L6)</f>
        <v>-0.78539816339744817</v>
      </c>
    </row>
    <row r="7" spans="1:14" ht="15" customHeight="1" x14ac:dyDescent="0.3">
      <c r="A7" s="28">
        <v>0.25</v>
      </c>
      <c r="B7" s="36">
        <f>'Theory &amp; Parameters'!$C$23</f>
        <v>0.8414709848078965</v>
      </c>
      <c r="C7" s="36">
        <f>'Theory &amp; Parameters'!$C$24</f>
        <v>0.54030230586813977</v>
      </c>
      <c r="D7" s="36">
        <f>'Theory &amp; Parameters'!$C$25</f>
        <v>0.64209261593433076</v>
      </c>
      <c r="E7" s="37">
        <f>'Theory &amp; Parameters'!$C$26</f>
        <v>0.43490108695058904</v>
      </c>
      <c r="F7" s="37">
        <f>'Theory &amp; Parameters'!$C$27</f>
        <v>-0.78539816339744828</v>
      </c>
      <c r="G7" s="38">
        <f>'Theory &amp; Parameters'!$C$28</f>
        <v>0.32104630796716538</v>
      </c>
      <c r="H7" s="38">
        <f t="shared" si="0"/>
        <v>2.0065394247947836E-2</v>
      </c>
      <c r="I7" s="39">
        <f t="shared" si="1"/>
        <v>-0.76533276914950044</v>
      </c>
      <c r="J7" s="40" t="str">
        <f t="shared" si="2"/>
        <v>0.313630 + -0.301289i</v>
      </c>
      <c r="K7" s="41">
        <f t="shared" si="3"/>
        <v>0.31362972888013352</v>
      </c>
      <c r="L7" s="37">
        <f t="shared" si="4"/>
        <v>-0.30128947640662423</v>
      </c>
      <c r="M7" s="42">
        <f t="shared" si="5"/>
        <v>0.43490108695058904</v>
      </c>
      <c r="N7" s="43">
        <f t="shared" si="6"/>
        <v>-0.76533276914950044</v>
      </c>
    </row>
    <row r="8" spans="1:14" ht="15" customHeight="1" x14ac:dyDescent="0.3">
      <c r="A8" s="28">
        <v>0.5</v>
      </c>
      <c r="B8" s="29">
        <f>'Theory &amp; Parameters'!$C$23</f>
        <v>0.8414709848078965</v>
      </c>
      <c r="C8" s="29">
        <f>'Theory &amp; Parameters'!$C$24</f>
        <v>0.54030230586813977</v>
      </c>
      <c r="D8" s="29">
        <f>'Theory &amp; Parameters'!$C$25</f>
        <v>0.64209261593433076</v>
      </c>
      <c r="E8" s="30">
        <f>'Theory &amp; Parameters'!$C$26</f>
        <v>0.43490108695058904</v>
      </c>
      <c r="F8" s="30">
        <f>'Theory &amp; Parameters'!$C$27</f>
        <v>-0.78539816339744828</v>
      </c>
      <c r="G8" s="29">
        <f>'Theory &amp; Parameters'!$C$28</f>
        <v>0.32104630796716538</v>
      </c>
      <c r="H8" s="29">
        <f t="shared" si="0"/>
        <v>8.0261576991791345E-2</v>
      </c>
      <c r="I8" s="31">
        <f t="shared" si="1"/>
        <v>-0.70513658640565691</v>
      </c>
      <c r="J8" s="32" t="str">
        <f t="shared" si="2"/>
        <v>0.331187 + -0.281876i</v>
      </c>
      <c r="K8" s="33">
        <f t="shared" si="3"/>
        <v>0.3311871943749583</v>
      </c>
      <c r="L8" s="31">
        <f t="shared" si="4"/>
        <v>-0.28187585514344321</v>
      </c>
      <c r="M8" s="34">
        <f t="shared" si="5"/>
        <v>0.43490108695058899</v>
      </c>
      <c r="N8" s="35">
        <f t="shared" si="6"/>
        <v>-0.70513658640565691</v>
      </c>
    </row>
    <row r="9" spans="1:14" ht="15" customHeight="1" x14ac:dyDescent="0.3">
      <c r="A9" s="28">
        <v>0.75</v>
      </c>
      <c r="B9" s="36">
        <f>'Theory &amp; Parameters'!$C$23</f>
        <v>0.8414709848078965</v>
      </c>
      <c r="C9" s="36">
        <f>'Theory &amp; Parameters'!$C$24</f>
        <v>0.54030230586813977</v>
      </c>
      <c r="D9" s="36">
        <f>'Theory &amp; Parameters'!$C$25</f>
        <v>0.64209261593433076</v>
      </c>
      <c r="E9" s="37">
        <f>'Theory &amp; Parameters'!$C$26</f>
        <v>0.43490108695058904</v>
      </c>
      <c r="F9" s="37">
        <f>'Theory &amp; Parameters'!$C$27</f>
        <v>-0.78539816339744828</v>
      </c>
      <c r="G9" s="38">
        <f>'Theory &amp; Parameters'!$C$28</f>
        <v>0.32104630796716538</v>
      </c>
      <c r="H9" s="38">
        <f t="shared" si="0"/>
        <v>0.18058854823153053</v>
      </c>
      <c r="I9" s="39">
        <f t="shared" si="1"/>
        <v>-0.60480961516591769</v>
      </c>
      <c r="J9" s="40" t="str">
        <f t="shared" si="2"/>
        <v>0.357754 + -0.247287i</v>
      </c>
      <c r="K9" s="41">
        <f t="shared" si="3"/>
        <v>0.35775414248369647</v>
      </c>
      <c r="L9" s="37">
        <f t="shared" si="4"/>
        <v>-0.24728713870025432</v>
      </c>
      <c r="M9" s="42">
        <f t="shared" si="5"/>
        <v>0.43490108695058904</v>
      </c>
      <c r="N9" s="43">
        <f t="shared" si="6"/>
        <v>-0.6048096151659178</v>
      </c>
    </row>
    <row r="10" spans="1:14" ht="15" customHeight="1" x14ac:dyDescent="0.3">
      <c r="A10" s="28">
        <v>1</v>
      </c>
      <c r="B10" s="29">
        <f>'Theory &amp; Parameters'!$C$23</f>
        <v>0.8414709848078965</v>
      </c>
      <c r="C10" s="29">
        <f>'Theory &amp; Parameters'!$C$24</f>
        <v>0.54030230586813977</v>
      </c>
      <c r="D10" s="29">
        <f>'Theory &amp; Parameters'!$C$25</f>
        <v>0.64209261593433076</v>
      </c>
      <c r="E10" s="30">
        <f>'Theory &amp; Parameters'!$C$26</f>
        <v>0.43490108695058904</v>
      </c>
      <c r="F10" s="30">
        <f>'Theory &amp; Parameters'!$C$27</f>
        <v>-0.78539816339744828</v>
      </c>
      <c r="G10" s="29">
        <f>'Theory &amp; Parameters'!$C$28</f>
        <v>0.32104630796716538</v>
      </c>
      <c r="H10" s="29">
        <f t="shared" si="0"/>
        <v>0.32104630796716538</v>
      </c>
      <c r="I10" s="31">
        <f t="shared" si="1"/>
        <v>-0.4643518554302829</v>
      </c>
      <c r="J10" s="32" t="str">
        <f t="shared" si="2"/>
        <v>0.388850 + -0.194768i</v>
      </c>
      <c r="K10" s="33">
        <f t="shared" si="3"/>
        <v>0.3888502896348387</v>
      </c>
      <c r="L10" s="31">
        <f t="shared" si="4"/>
        <v>-0.19476757348620913</v>
      </c>
      <c r="M10" s="34">
        <f t="shared" si="5"/>
        <v>0.43490108695058904</v>
      </c>
      <c r="N10" s="35">
        <f t="shared" si="6"/>
        <v>-0.46435185543028296</v>
      </c>
    </row>
    <row r="11" spans="1:14" ht="15" customHeight="1" x14ac:dyDescent="0.3">
      <c r="A11" s="28">
        <v>1.25</v>
      </c>
      <c r="B11" s="36">
        <f>'Theory &amp; Parameters'!$C$23</f>
        <v>0.8414709848078965</v>
      </c>
      <c r="C11" s="36">
        <f>'Theory &amp; Parameters'!$C$24</f>
        <v>0.54030230586813977</v>
      </c>
      <c r="D11" s="36">
        <f>'Theory &amp; Parameters'!$C$25</f>
        <v>0.64209261593433076</v>
      </c>
      <c r="E11" s="37">
        <f>'Theory &amp; Parameters'!$C$26</f>
        <v>0.43490108695058904</v>
      </c>
      <c r="F11" s="37">
        <f>'Theory &amp; Parameters'!$C$27</f>
        <v>-0.78539816339744828</v>
      </c>
      <c r="G11" s="38">
        <f>'Theory &amp; Parameters'!$C$28</f>
        <v>0.32104630796716538</v>
      </c>
      <c r="H11" s="38">
        <f t="shared" si="0"/>
        <v>0.50163485619869586</v>
      </c>
      <c r="I11" s="39">
        <f t="shared" si="1"/>
        <v>-0.28376330719875242</v>
      </c>
      <c r="J11" s="40" t="str">
        <f t="shared" si="2"/>
        <v>0.417509 + -0.121759i</v>
      </c>
      <c r="K11" s="41">
        <f t="shared" si="3"/>
        <v>0.41750879410619257</v>
      </c>
      <c r="L11" s="37">
        <f t="shared" si="4"/>
        <v>-0.12175944429405355</v>
      </c>
      <c r="M11" s="42">
        <f t="shared" si="5"/>
        <v>0.43490108695058904</v>
      </c>
      <c r="N11" s="43">
        <f t="shared" si="6"/>
        <v>-0.28376330719875237</v>
      </c>
    </row>
    <row r="12" spans="1:14" ht="15" customHeight="1" x14ac:dyDescent="0.3">
      <c r="A12" s="28">
        <v>1.5</v>
      </c>
      <c r="B12" s="29">
        <f>'Theory &amp; Parameters'!$C$23</f>
        <v>0.8414709848078965</v>
      </c>
      <c r="C12" s="29">
        <f>'Theory &amp; Parameters'!$C$24</f>
        <v>0.54030230586813977</v>
      </c>
      <c r="D12" s="29">
        <f>'Theory &amp; Parameters'!$C$25</f>
        <v>0.64209261593433076</v>
      </c>
      <c r="E12" s="30">
        <f>'Theory &amp; Parameters'!$C$26</f>
        <v>0.43490108695058904</v>
      </c>
      <c r="F12" s="30">
        <f>'Theory &amp; Parameters'!$C$27</f>
        <v>-0.78539816339744828</v>
      </c>
      <c r="G12" s="29">
        <f>'Theory &amp; Parameters'!$C$28</f>
        <v>0.32104630796716538</v>
      </c>
      <c r="H12" s="29">
        <f t="shared" si="0"/>
        <v>0.72235419292612213</v>
      </c>
      <c r="I12" s="31">
        <f t="shared" si="1"/>
        <v>-6.304397047132615E-2</v>
      </c>
      <c r="J12" s="32" t="str">
        <f t="shared" si="2"/>
        <v>0.434037 + -0.027400i</v>
      </c>
      <c r="K12" s="33">
        <f t="shared" si="3"/>
        <v>0.43403710680369301</v>
      </c>
      <c r="L12" s="31">
        <f t="shared" si="4"/>
        <v>-2.7399732631603939E-2</v>
      </c>
      <c r="M12" s="34">
        <f t="shared" si="5"/>
        <v>0.43490108695058899</v>
      </c>
      <c r="N12" s="35">
        <f t="shared" si="6"/>
        <v>-6.304397047132615E-2</v>
      </c>
    </row>
    <row r="13" spans="1:14" ht="15" customHeight="1" x14ac:dyDescent="0.3">
      <c r="A13" s="28">
        <v>1.75</v>
      </c>
      <c r="B13" s="36">
        <f>'Theory &amp; Parameters'!$C$23</f>
        <v>0.8414709848078965</v>
      </c>
      <c r="C13" s="36">
        <f>'Theory &amp; Parameters'!$C$24</f>
        <v>0.54030230586813977</v>
      </c>
      <c r="D13" s="36">
        <f>'Theory &amp; Parameters'!$C$25</f>
        <v>0.64209261593433076</v>
      </c>
      <c r="E13" s="37">
        <f>'Theory &amp; Parameters'!$C$26</f>
        <v>0.43490108695058904</v>
      </c>
      <c r="F13" s="37">
        <f>'Theory &amp; Parameters'!$C$27</f>
        <v>-0.78539816339744828</v>
      </c>
      <c r="G13" s="38">
        <f>'Theory &amp; Parameters'!$C$28</f>
        <v>0.32104630796716538</v>
      </c>
      <c r="H13" s="38">
        <f t="shared" si="0"/>
        <v>0.98320431814944398</v>
      </c>
      <c r="I13" s="39">
        <f t="shared" si="1"/>
        <v>0.1978061547519957</v>
      </c>
      <c r="J13" s="40" t="str">
        <f t="shared" si="2"/>
        <v>0.426421 + 0.085466i</v>
      </c>
      <c r="K13" s="41">
        <f t="shared" si="3"/>
        <v>0.42642054565481585</v>
      </c>
      <c r="L13" s="37">
        <f t="shared" si="4"/>
        <v>8.5466213641724548E-2</v>
      </c>
      <c r="M13" s="42">
        <f t="shared" si="5"/>
        <v>0.43490108695058904</v>
      </c>
      <c r="N13" s="43">
        <f t="shared" si="6"/>
        <v>0.1978061547519957</v>
      </c>
    </row>
    <row r="14" spans="1:14" ht="15" customHeight="1" x14ac:dyDescent="0.3">
      <c r="A14" s="28">
        <v>2</v>
      </c>
      <c r="B14" s="29">
        <f>'Theory &amp; Parameters'!$C$23</f>
        <v>0.8414709848078965</v>
      </c>
      <c r="C14" s="29">
        <f>'Theory &amp; Parameters'!$C$24</f>
        <v>0.54030230586813977</v>
      </c>
      <c r="D14" s="29">
        <f>'Theory &amp; Parameters'!$C$25</f>
        <v>0.64209261593433076</v>
      </c>
      <c r="E14" s="30">
        <f>'Theory &amp; Parameters'!$C$26</f>
        <v>0.43490108695058904</v>
      </c>
      <c r="F14" s="30">
        <f>'Theory &amp; Parameters'!$C$27</f>
        <v>-0.78539816339744828</v>
      </c>
      <c r="G14" s="29">
        <f>'Theory &amp; Parameters'!$C$28</f>
        <v>0.32104630796716538</v>
      </c>
      <c r="H14" s="29">
        <f t="shared" si="0"/>
        <v>1.2841852318686615</v>
      </c>
      <c r="I14" s="31">
        <f t="shared" si="1"/>
        <v>0.49878706847121324</v>
      </c>
      <c r="J14" s="32" t="str">
        <f t="shared" si="2"/>
        <v>0.381914 + 0.208040i</v>
      </c>
      <c r="K14" s="33">
        <f t="shared" si="3"/>
        <v>0.38191422872612757</v>
      </c>
      <c r="L14" s="31">
        <f t="shared" si="4"/>
        <v>0.20803960518932671</v>
      </c>
      <c r="M14" s="34">
        <f t="shared" si="5"/>
        <v>0.43490108695058904</v>
      </c>
      <c r="N14" s="35">
        <f t="shared" si="6"/>
        <v>0.49878706847121324</v>
      </c>
    </row>
    <row r="15" spans="1:14" ht="15" customHeight="1" x14ac:dyDescent="0.3">
      <c r="A15" s="28">
        <v>2.25</v>
      </c>
      <c r="B15" s="36">
        <f>'Theory &amp; Parameters'!$C$23</f>
        <v>0.8414709848078965</v>
      </c>
      <c r="C15" s="36">
        <f>'Theory &amp; Parameters'!$C$24</f>
        <v>0.54030230586813977</v>
      </c>
      <c r="D15" s="36">
        <f>'Theory &amp; Parameters'!$C$25</f>
        <v>0.64209261593433076</v>
      </c>
      <c r="E15" s="37">
        <f>'Theory &amp; Parameters'!$C$26</f>
        <v>0.43490108695058904</v>
      </c>
      <c r="F15" s="37">
        <f>'Theory &amp; Parameters'!$C$27</f>
        <v>-0.78539816339744828</v>
      </c>
      <c r="G15" s="38">
        <f>'Theory &amp; Parameters'!$C$28</f>
        <v>0.32104630796716538</v>
      </c>
      <c r="H15" s="38">
        <f t="shared" si="0"/>
        <v>1.6252969340837746</v>
      </c>
      <c r="I15" s="39">
        <f t="shared" si="1"/>
        <v>0.83989877068632635</v>
      </c>
      <c r="J15" s="40" t="str">
        <f t="shared" si="2"/>
        <v>0.290313 + 0.323817i</v>
      </c>
      <c r="K15" s="41">
        <f t="shared" si="3"/>
        <v>0.29031308968880343</v>
      </c>
      <c r="L15" s="37">
        <f t="shared" si="4"/>
        <v>0.32381671572997062</v>
      </c>
      <c r="M15" s="42">
        <f t="shared" si="5"/>
        <v>0.43490108695058904</v>
      </c>
      <c r="N15" s="43">
        <f t="shared" si="6"/>
        <v>0.83989877068632646</v>
      </c>
    </row>
    <row r="16" spans="1:14" ht="15" customHeight="1" x14ac:dyDescent="0.3">
      <c r="A16" s="28">
        <v>2.5</v>
      </c>
      <c r="B16" s="29">
        <f>'Theory &amp; Parameters'!$C$23</f>
        <v>0.8414709848078965</v>
      </c>
      <c r="C16" s="29">
        <f>'Theory &amp; Parameters'!$C$24</f>
        <v>0.54030230586813977</v>
      </c>
      <c r="D16" s="29">
        <f>'Theory &amp; Parameters'!$C$25</f>
        <v>0.64209261593433076</v>
      </c>
      <c r="E16" s="30">
        <f>'Theory &amp; Parameters'!$C$26</f>
        <v>0.43490108695058904</v>
      </c>
      <c r="F16" s="30">
        <f>'Theory &amp; Parameters'!$C$27</f>
        <v>-0.78539816339744828</v>
      </c>
      <c r="G16" s="29">
        <f>'Theory &amp; Parameters'!$C$28</f>
        <v>0.32104630796716538</v>
      </c>
      <c r="H16" s="29">
        <f t="shared" si="0"/>
        <v>2.0065394247947834</v>
      </c>
      <c r="I16" s="31">
        <f t="shared" si="1"/>
        <v>1.2211412613973351</v>
      </c>
      <c r="J16" s="32" t="str">
        <f t="shared" si="2"/>
        <v>0.148986 + 0.408586i</v>
      </c>
      <c r="K16" s="33">
        <f t="shared" si="3"/>
        <v>0.14898570271996639</v>
      </c>
      <c r="L16" s="31">
        <f t="shared" si="4"/>
        <v>0.40858562849890057</v>
      </c>
      <c r="M16" s="34">
        <f t="shared" si="5"/>
        <v>0.43490108695058899</v>
      </c>
      <c r="N16" s="35">
        <f t="shared" si="6"/>
        <v>1.2211412613973351</v>
      </c>
    </row>
    <row r="17" spans="1:14" ht="15" customHeight="1" x14ac:dyDescent="0.3">
      <c r="A17" s="28">
        <v>2.75</v>
      </c>
      <c r="B17" s="36">
        <f>'Theory &amp; Parameters'!$C$23</f>
        <v>0.8414709848078965</v>
      </c>
      <c r="C17" s="36">
        <f>'Theory &amp; Parameters'!$C$24</f>
        <v>0.54030230586813977</v>
      </c>
      <c r="D17" s="36">
        <f>'Theory &amp; Parameters'!$C$25</f>
        <v>0.64209261593433076</v>
      </c>
      <c r="E17" s="37">
        <f>'Theory &amp; Parameters'!$C$26</f>
        <v>0.43490108695058904</v>
      </c>
      <c r="F17" s="37">
        <f>'Theory &amp; Parameters'!$C$27</f>
        <v>-0.78539816339744828</v>
      </c>
      <c r="G17" s="38">
        <f>'Theory &amp; Parameters'!$C$28</f>
        <v>0.32104630796716538</v>
      </c>
      <c r="H17" s="38">
        <f t="shared" si="0"/>
        <v>2.4279127040016881</v>
      </c>
      <c r="I17" s="39">
        <f t="shared" si="1"/>
        <v>1.6425145406042398</v>
      </c>
      <c r="J17" s="40" t="str">
        <f t="shared" si="2"/>
        <v>-0.031164 + 0.433783i</v>
      </c>
      <c r="K17" s="41">
        <f t="shared" si="3"/>
        <v>-3.1163598094273839E-2</v>
      </c>
      <c r="L17" s="37">
        <f t="shared" si="4"/>
        <v>0.43378310892037092</v>
      </c>
      <c r="M17" s="42">
        <f t="shared" si="5"/>
        <v>0.43490108695058904</v>
      </c>
      <c r="N17" s="43">
        <f t="shared" si="6"/>
        <v>1.6425145406042396</v>
      </c>
    </row>
    <row r="18" spans="1:14" ht="15" customHeight="1" x14ac:dyDescent="0.3">
      <c r="A18" s="28">
        <v>3</v>
      </c>
      <c r="B18" s="29">
        <f>'Theory &amp; Parameters'!$C$23</f>
        <v>0.8414709848078965</v>
      </c>
      <c r="C18" s="29">
        <f>'Theory &amp; Parameters'!$C$24</f>
        <v>0.54030230586813977</v>
      </c>
      <c r="D18" s="29">
        <f>'Theory &amp; Parameters'!$C$25</f>
        <v>0.64209261593433076</v>
      </c>
      <c r="E18" s="30">
        <f>'Theory &amp; Parameters'!$C$26</f>
        <v>0.43490108695058904</v>
      </c>
      <c r="F18" s="30">
        <f>'Theory &amp; Parameters'!$C$27</f>
        <v>-0.78539816339744828</v>
      </c>
      <c r="G18" s="29">
        <f>'Theory &amp; Parameters'!$C$28</f>
        <v>0.32104630796716538</v>
      </c>
      <c r="H18" s="29">
        <f t="shared" si="0"/>
        <v>2.8894167717044885</v>
      </c>
      <c r="I18" s="31">
        <f t="shared" si="1"/>
        <v>2.1040186083070402</v>
      </c>
      <c r="J18" s="32" t="str">
        <f t="shared" si="2"/>
        <v>-0.221065 + 0.374525i</v>
      </c>
      <c r="K18" s="33">
        <f t="shared" si="3"/>
        <v>-0.22106497125442665</v>
      </c>
      <c r="L18" s="31">
        <f t="shared" si="4"/>
        <v>0.37452534482339556</v>
      </c>
      <c r="M18" s="34">
        <f t="shared" si="5"/>
        <v>0.43490108695058904</v>
      </c>
      <c r="N18" s="35">
        <f t="shared" si="6"/>
        <v>2.1040186083070402</v>
      </c>
    </row>
    <row r="19" spans="1:14" ht="15" customHeight="1" x14ac:dyDescent="0.3">
      <c r="A19" s="28">
        <v>3.25</v>
      </c>
      <c r="B19" s="36">
        <f>'Theory &amp; Parameters'!$C$23</f>
        <v>0.8414709848078965</v>
      </c>
      <c r="C19" s="36">
        <f>'Theory &amp; Parameters'!$C$24</f>
        <v>0.54030230586813977</v>
      </c>
      <c r="D19" s="36">
        <f>'Theory &amp; Parameters'!$C$25</f>
        <v>0.64209261593433076</v>
      </c>
      <c r="E19" s="37">
        <f>'Theory &amp; Parameters'!$C$26</f>
        <v>0.43490108695058904</v>
      </c>
      <c r="F19" s="37">
        <f>'Theory &amp; Parameters'!$C$27</f>
        <v>-0.78539816339744828</v>
      </c>
      <c r="G19" s="38">
        <f>'Theory &amp; Parameters'!$C$28</f>
        <v>0.32104630796716538</v>
      </c>
      <c r="H19" s="38">
        <f t="shared" si="0"/>
        <v>3.3910516279031842</v>
      </c>
      <c r="I19" s="39">
        <f t="shared" si="1"/>
        <v>2.6056534645057359</v>
      </c>
      <c r="J19" s="40" t="str">
        <f t="shared" si="2"/>
        <v>-0.373923 + 0.222082i</v>
      </c>
      <c r="K19" s="41">
        <f t="shared" si="3"/>
        <v>-0.37392335017321021</v>
      </c>
      <c r="L19" s="37">
        <f t="shared" si="4"/>
        <v>0.22208170484316497</v>
      </c>
      <c r="M19" s="42">
        <f t="shared" si="5"/>
        <v>0.43490108695058904</v>
      </c>
      <c r="N19" s="43">
        <f t="shared" si="6"/>
        <v>2.6056534645057354</v>
      </c>
    </row>
    <row r="20" spans="1:14" ht="15" customHeight="1" x14ac:dyDescent="0.3">
      <c r="A20" s="28">
        <v>3.5</v>
      </c>
      <c r="B20" s="29">
        <f>'Theory &amp; Parameters'!$C$23</f>
        <v>0.8414709848078965</v>
      </c>
      <c r="C20" s="29">
        <f>'Theory &amp; Parameters'!$C$24</f>
        <v>0.54030230586813977</v>
      </c>
      <c r="D20" s="29">
        <f>'Theory &amp; Parameters'!$C$25</f>
        <v>0.64209261593433076</v>
      </c>
      <c r="E20" s="30">
        <f>'Theory &amp; Parameters'!$C$26</f>
        <v>0.43490108695058904</v>
      </c>
      <c r="F20" s="30">
        <f>'Theory &amp; Parameters'!$C$27</f>
        <v>-0.78539816339744828</v>
      </c>
      <c r="G20" s="29">
        <f>'Theory &amp; Parameters'!$C$28</f>
        <v>0.32104630796716538</v>
      </c>
      <c r="H20" s="29">
        <f t="shared" si="0"/>
        <v>3.9328172725977759</v>
      </c>
      <c r="I20" s="31">
        <f t="shared" si="1"/>
        <v>3.1474191092003276</v>
      </c>
      <c r="J20" s="32" t="str">
        <f t="shared" si="2"/>
        <v>-0.434894 + -0.002534i</v>
      </c>
      <c r="K20" s="33">
        <f t="shared" si="3"/>
        <v>-0.43489370505066832</v>
      </c>
      <c r="L20" s="31">
        <f t="shared" si="4"/>
        <v>-2.5339175413038074E-3</v>
      </c>
      <c r="M20" s="34">
        <f t="shared" si="5"/>
        <v>0.43490108695058904</v>
      </c>
      <c r="N20" s="35">
        <f t="shared" si="6"/>
        <v>-3.1357661979792586</v>
      </c>
    </row>
    <row r="21" spans="1:14" ht="15" customHeight="1" x14ac:dyDescent="0.3">
      <c r="A21" s="28">
        <v>3.75</v>
      </c>
      <c r="B21" s="36">
        <f>'Theory &amp; Parameters'!$C$23</f>
        <v>0.8414709848078965</v>
      </c>
      <c r="C21" s="36">
        <f>'Theory &amp; Parameters'!$C$24</f>
        <v>0.54030230586813977</v>
      </c>
      <c r="D21" s="36">
        <f>'Theory &amp; Parameters'!$C$25</f>
        <v>0.64209261593433076</v>
      </c>
      <c r="E21" s="37">
        <f>'Theory &amp; Parameters'!$C$26</f>
        <v>0.43490108695058904</v>
      </c>
      <c r="F21" s="37">
        <f>'Theory &amp; Parameters'!$C$27</f>
        <v>-0.78539816339744828</v>
      </c>
      <c r="G21" s="38">
        <f>'Theory &amp; Parameters'!$C$28</f>
        <v>0.32104630796716538</v>
      </c>
      <c r="H21" s="38">
        <f t="shared" si="0"/>
        <v>4.5147137057882629</v>
      </c>
      <c r="I21" s="39">
        <f t="shared" si="1"/>
        <v>3.7293155423908146</v>
      </c>
      <c r="J21" s="40" t="str">
        <f t="shared" si="2"/>
        <v>-0.361927 + -0.241138i</v>
      </c>
      <c r="K21" s="41">
        <f t="shared" si="3"/>
        <v>-0.36192704155485067</v>
      </c>
      <c r="L21" s="37">
        <f t="shared" si="4"/>
        <v>-0.24113849137405924</v>
      </c>
      <c r="M21" s="42">
        <f t="shared" si="5"/>
        <v>0.43490108695058904</v>
      </c>
      <c r="N21" s="43">
        <f t="shared" si="6"/>
        <v>-2.5538697647887716</v>
      </c>
    </row>
    <row r="22" spans="1:14" ht="15" customHeight="1" x14ac:dyDescent="0.3">
      <c r="A22" s="28">
        <v>4</v>
      </c>
      <c r="B22" s="29">
        <f>'Theory &amp; Parameters'!$C$23</f>
        <v>0.8414709848078965</v>
      </c>
      <c r="C22" s="29">
        <f>'Theory &amp; Parameters'!$C$24</f>
        <v>0.54030230586813977</v>
      </c>
      <c r="D22" s="29">
        <f>'Theory &amp; Parameters'!$C$25</f>
        <v>0.64209261593433076</v>
      </c>
      <c r="E22" s="30">
        <f>'Theory &amp; Parameters'!$C$26</f>
        <v>0.43490108695058904</v>
      </c>
      <c r="F22" s="30">
        <f>'Theory &amp; Parameters'!$C$27</f>
        <v>-0.78539816339744828</v>
      </c>
      <c r="G22" s="29">
        <f>'Theory &amp; Parameters'!$C$28</f>
        <v>0.32104630796716538</v>
      </c>
      <c r="H22" s="29">
        <f t="shared" si="0"/>
        <v>5.1367409274746461</v>
      </c>
      <c r="I22" s="31">
        <f t="shared" si="1"/>
        <v>4.3513427640771978</v>
      </c>
      <c r="J22" s="32" t="str">
        <f t="shared" si="2"/>
        <v>-0.153630 + -0.406862i</v>
      </c>
      <c r="K22" s="33">
        <f t="shared" si="3"/>
        <v>-0.15363019665698829</v>
      </c>
      <c r="L22" s="31">
        <f t="shared" si="4"/>
        <v>-0.40686203817257138</v>
      </c>
      <c r="M22" s="34">
        <f t="shared" si="5"/>
        <v>0.43490108695058904</v>
      </c>
      <c r="N22" s="35">
        <f t="shared" si="6"/>
        <v>-1.9318425431023887</v>
      </c>
    </row>
    <row r="23" spans="1:14" ht="15" customHeight="1" x14ac:dyDescent="0.3">
      <c r="A23" s="28">
        <v>4.25</v>
      </c>
      <c r="B23" s="36">
        <f>'Theory &amp; Parameters'!$C$23</f>
        <v>0.8414709848078965</v>
      </c>
      <c r="C23" s="36">
        <f>'Theory &amp; Parameters'!$C$24</f>
        <v>0.54030230586813977</v>
      </c>
      <c r="D23" s="36">
        <f>'Theory &amp; Parameters'!$C$25</f>
        <v>0.64209261593433076</v>
      </c>
      <c r="E23" s="37">
        <f>'Theory &amp; Parameters'!$C$26</f>
        <v>0.43490108695058904</v>
      </c>
      <c r="F23" s="37">
        <f>'Theory &amp; Parameters'!$C$27</f>
        <v>-0.78539816339744828</v>
      </c>
      <c r="G23" s="38">
        <f>'Theory &amp; Parameters'!$C$28</f>
        <v>0.32104630796716538</v>
      </c>
      <c r="H23" s="38">
        <f t="shared" si="0"/>
        <v>5.7988989376569249</v>
      </c>
      <c r="I23" s="39">
        <f t="shared" si="1"/>
        <v>5.0135007742594766</v>
      </c>
      <c r="J23" s="40" t="str">
        <f t="shared" si="2"/>
        <v>0.128984 + -0.415334i</v>
      </c>
      <c r="K23" s="41">
        <f t="shared" si="3"/>
        <v>0.12898390421313688</v>
      </c>
      <c r="L23" s="37">
        <f t="shared" si="4"/>
        <v>-0.41533373073317814</v>
      </c>
      <c r="M23" s="42">
        <f t="shared" si="5"/>
        <v>0.43490108695058904</v>
      </c>
      <c r="N23" s="43">
        <f t="shared" si="6"/>
        <v>-1.2696845329201099</v>
      </c>
    </row>
    <row r="24" spans="1:14" ht="15" customHeight="1" x14ac:dyDescent="0.3">
      <c r="A24" s="28">
        <v>4.5</v>
      </c>
      <c r="B24" s="29">
        <f>'Theory &amp; Parameters'!$C$23</f>
        <v>0.8414709848078965</v>
      </c>
      <c r="C24" s="29">
        <f>'Theory &amp; Parameters'!$C$24</f>
        <v>0.54030230586813977</v>
      </c>
      <c r="D24" s="29">
        <f>'Theory &amp; Parameters'!$C$25</f>
        <v>0.64209261593433076</v>
      </c>
      <c r="E24" s="30">
        <f>'Theory &amp; Parameters'!$C$26</f>
        <v>0.43490108695058904</v>
      </c>
      <c r="F24" s="30">
        <f>'Theory &amp; Parameters'!$C$27</f>
        <v>-0.78539816339744828</v>
      </c>
      <c r="G24" s="29">
        <f>'Theory &amp; Parameters'!$C$28</f>
        <v>0.32104630796716538</v>
      </c>
      <c r="H24" s="29">
        <f t="shared" si="0"/>
        <v>6.5011877363350985</v>
      </c>
      <c r="I24" s="31">
        <f t="shared" si="1"/>
        <v>5.7157895729376502</v>
      </c>
      <c r="J24" s="32" t="str">
        <f t="shared" si="2"/>
        <v>0.366754 + -0.233732i</v>
      </c>
      <c r="K24" s="33">
        <f t="shared" si="3"/>
        <v>0.36675359306684424</v>
      </c>
      <c r="L24" s="31">
        <f t="shared" si="4"/>
        <v>-0.23373223441229377</v>
      </c>
      <c r="M24" s="34">
        <f t="shared" si="5"/>
        <v>0.43490108695058904</v>
      </c>
      <c r="N24" s="35">
        <f t="shared" si="6"/>
        <v>-0.56739573424193623</v>
      </c>
    </row>
    <row r="25" spans="1:14" ht="15" customHeight="1" x14ac:dyDescent="0.3">
      <c r="A25" s="28">
        <v>4.75</v>
      </c>
      <c r="B25" s="36">
        <f>'Theory &amp; Parameters'!$C$23</f>
        <v>0.8414709848078965</v>
      </c>
      <c r="C25" s="36">
        <f>'Theory &amp; Parameters'!$C$24</f>
        <v>0.54030230586813977</v>
      </c>
      <c r="D25" s="36">
        <f>'Theory &amp; Parameters'!$C$25</f>
        <v>0.64209261593433076</v>
      </c>
      <c r="E25" s="37">
        <f>'Theory &amp; Parameters'!$C$26</f>
        <v>0.43490108695058904</v>
      </c>
      <c r="F25" s="37">
        <f>'Theory &amp; Parameters'!$C$27</f>
        <v>-0.78539816339744828</v>
      </c>
      <c r="G25" s="38">
        <f>'Theory &amp; Parameters'!$C$28</f>
        <v>0.32104630796716538</v>
      </c>
      <c r="H25" s="38">
        <f t="shared" si="0"/>
        <v>7.2436073235091687</v>
      </c>
      <c r="I25" s="39">
        <f t="shared" si="1"/>
        <v>6.4582091601117204</v>
      </c>
      <c r="J25" s="40" t="str">
        <f t="shared" si="2"/>
        <v>0.428257 + 0.075730i</v>
      </c>
      <c r="K25" s="41">
        <f t="shared" si="3"/>
        <v>0.42825683585732899</v>
      </c>
      <c r="L25" s="37">
        <f t="shared" si="4"/>
        <v>7.5730033489182003E-2</v>
      </c>
      <c r="M25" s="42">
        <f t="shared" si="5"/>
        <v>0.43490108695058904</v>
      </c>
      <c r="N25" s="43">
        <f t="shared" si="6"/>
        <v>0.17502385293213393</v>
      </c>
    </row>
    <row r="26" spans="1:14" ht="15" customHeight="1" x14ac:dyDescent="0.3">
      <c r="A26" s="28">
        <v>5</v>
      </c>
      <c r="B26" s="29">
        <f>'Theory &amp; Parameters'!$C$23</f>
        <v>0.8414709848078965</v>
      </c>
      <c r="C26" s="29">
        <f>'Theory &amp; Parameters'!$C$24</f>
        <v>0.54030230586813977</v>
      </c>
      <c r="D26" s="29">
        <f>'Theory &amp; Parameters'!$C$25</f>
        <v>0.64209261593433076</v>
      </c>
      <c r="E26" s="30">
        <f>'Theory &amp; Parameters'!$C$26</f>
        <v>0.43490108695058904</v>
      </c>
      <c r="F26" s="30">
        <f>'Theory &amp; Parameters'!$C$27</f>
        <v>-0.78539816339744828</v>
      </c>
      <c r="G26" s="29">
        <f>'Theory &amp; Parameters'!$C$28</f>
        <v>0.32104630796716538</v>
      </c>
      <c r="H26" s="29">
        <f t="shared" si="0"/>
        <v>8.0261576991791337</v>
      </c>
      <c r="I26" s="31">
        <f t="shared" si="1"/>
        <v>7.2407595357816854</v>
      </c>
      <c r="J26" s="32" t="str">
        <f t="shared" si="2"/>
        <v>0.250288 + 0.355661i</v>
      </c>
      <c r="K26" s="33">
        <f t="shared" si="3"/>
        <v>0.2502879536658365</v>
      </c>
      <c r="L26" s="31">
        <f t="shared" si="4"/>
        <v>0.35566120913106603</v>
      </c>
      <c r="M26" s="34">
        <f t="shared" si="5"/>
        <v>0.43490108695058899</v>
      </c>
      <c r="N26" s="35">
        <f t="shared" si="6"/>
        <v>0.95757422860209884</v>
      </c>
    </row>
    <row r="27" spans="1:14" ht="15" customHeight="1" x14ac:dyDescent="0.3">
      <c r="A27" s="28">
        <v>5.25</v>
      </c>
      <c r="B27" s="36">
        <f>'Theory &amp; Parameters'!$C$23</f>
        <v>0.8414709848078965</v>
      </c>
      <c r="C27" s="36">
        <f>'Theory &amp; Parameters'!$C$24</f>
        <v>0.54030230586813977</v>
      </c>
      <c r="D27" s="36">
        <f>'Theory &amp; Parameters'!$C$25</f>
        <v>0.64209261593433076</v>
      </c>
      <c r="E27" s="37">
        <f>'Theory &amp; Parameters'!$C$26</f>
        <v>0.43490108695058904</v>
      </c>
      <c r="F27" s="37">
        <f>'Theory &amp; Parameters'!$C$27</f>
        <v>-0.78539816339744828</v>
      </c>
      <c r="G27" s="38">
        <f>'Theory &amp; Parameters'!$C$28</f>
        <v>0.32104630796716538</v>
      </c>
      <c r="H27" s="38">
        <f t="shared" si="0"/>
        <v>8.8488388633449961</v>
      </c>
      <c r="I27" s="39">
        <f t="shared" si="1"/>
        <v>8.0634406999475488</v>
      </c>
      <c r="J27" s="40" t="str">
        <f t="shared" si="2"/>
        <v>-0.090429 + 0.425396i</v>
      </c>
      <c r="K27" s="41">
        <f t="shared" si="3"/>
        <v>-9.0429339268449607E-2</v>
      </c>
      <c r="L27" s="37">
        <f t="shared" si="4"/>
        <v>0.42539568642650277</v>
      </c>
      <c r="M27" s="42">
        <f t="shared" si="5"/>
        <v>0.43490108695058904</v>
      </c>
      <c r="N27" s="43">
        <f t="shared" si="6"/>
        <v>1.7802553927679621</v>
      </c>
    </row>
    <row r="28" spans="1:14" ht="15" customHeight="1" x14ac:dyDescent="0.3">
      <c r="A28" s="28">
        <v>5.5</v>
      </c>
      <c r="B28" s="29">
        <f>'Theory &amp; Parameters'!$C$23</f>
        <v>0.8414709848078965</v>
      </c>
      <c r="C28" s="29">
        <f>'Theory &amp; Parameters'!$C$24</f>
        <v>0.54030230586813977</v>
      </c>
      <c r="D28" s="29">
        <f>'Theory &amp; Parameters'!$C$25</f>
        <v>0.64209261593433076</v>
      </c>
      <c r="E28" s="30">
        <f>'Theory &amp; Parameters'!$C$26</f>
        <v>0.43490108695058904</v>
      </c>
      <c r="F28" s="30">
        <f>'Theory &amp; Parameters'!$C$27</f>
        <v>-0.78539816339744828</v>
      </c>
      <c r="G28" s="29">
        <f>'Theory &amp; Parameters'!$C$28</f>
        <v>0.32104630796716538</v>
      </c>
      <c r="H28" s="29">
        <f t="shared" si="0"/>
        <v>9.7116508160067525</v>
      </c>
      <c r="I28" s="31">
        <f t="shared" si="1"/>
        <v>8.9262526526093033</v>
      </c>
      <c r="J28" s="32" t="str">
        <f t="shared" si="2"/>
        <v>-0.381969 + 0.207940i</v>
      </c>
      <c r="K28" s="33">
        <f t="shared" si="3"/>
        <v>-0.38196867215320141</v>
      </c>
      <c r="L28" s="31">
        <f t="shared" si="4"/>
        <v>0.2079396280758527</v>
      </c>
      <c r="M28" s="34">
        <f t="shared" si="5"/>
        <v>0.43490108695058904</v>
      </c>
      <c r="N28" s="35">
        <f t="shared" si="6"/>
        <v>2.6430673454297167</v>
      </c>
    </row>
    <row r="29" spans="1:14" ht="15" customHeight="1" x14ac:dyDescent="0.3">
      <c r="A29" s="28">
        <v>5.75</v>
      </c>
      <c r="B29" s="36">
        <f>'Theory &amp; Parameters'!$C$23</f>
        <v>0.8414709848078965</v>
      </c>
      <c r="C29" s="36">
        <f>'Theory &amp; Parameters'!$C$24</f>
        <v>0.54030230586813977</v>
      </c>
      <c r="D29" s="36">
        <f>'Theory &amp; Parameters'!$C$25</f>
        <v>0.64209261593433076</v>
      </c>
      <c r="E29" s="37">
        <f>'Theory &amp; Parameters'!$C$26</f>
        <v>0.43490108695058904</v>
      </c>
      <c r="F29" s="37">
        <f>'Theory &amp; Parameters'!$C$27</f>
        <v>-0.78539816339744828</v>
      </c>
      <c r="G29" s="38">
        <f>'Theory &amp; Parameters'!$C$28</f>
        <v>0.32104630796716538</v>
      </c>
      <c r="H29" s="38">
        <f t="shared" si="0"/>
        <v>10.614593557164405</v>
      </c>
      <c r="I29" s="39">
        <f t="shared" si="1"/>
        <v>9.8291953937669554</v>
      </c>
      <c r="J29" s="40" t="str">
        <f t="shared" si="2"/>
        <v>-0.399818 + -0.171126i</v>
      </c>
      <c r="K29" s="41">
        <f t="shared" si="3"/>
        <v>-0.39981839191953034</v>
      </c>
      <c r="L29" s="37">
        <f t="shared" si="4"/>
        <v>-0.17112629521404557</v>
      </c>
      <c r="M29" s="42">
        <f t="shared" si="5"/>
        <v>0.43490108695058904</v>
      </c>
      <c r="N29" s="43">
        <f t="shared" si="6"/>
        <v>-2.7371752205922175</v>
      </c>
    </row>
    <row r="30" spans="1:14" ht="15" customHeight="1" x14ac:dyDescent="0.3">
      <c r="A30" s="28">
        <v>6</v>
      </c>
      <c r="B30" s="29">
        <f>'Theory &amp; Parameters'!$C$23</f>
        <v>0.8414709848078965</v>
      </c>
      <c r="C30" s="29">
        <f>'Theory &amp; Parameters'!$C$24</f>
        <v>0.54030230586813977</v>
      </c>
      <c r="D30" s="29">
        <f>'Theory &amp; Parameters'!$C$25</f>
        <v>0.64209261593433076</v>
      </c>
      <c r="E30" s="30">
        <f>'Theory &amp; Parameters'!$C$26</f>
        <v>0.43490108695058904</v>
      </c>
      <c r="F30" s="30">
        <f>'Theory &amp; Parameters'!$C$27</f>
        <v>-0.78539816339744828</v>
      </c>
      <c r="G30" s="29">
        <f>'Theory &amp; Parameters'!$C$28</f>
        <v>0.32104630796716538</v>
      </c>
      <c r="H30" s="29">
        <f t="shared" si="0"/>
        <v>11.557667086817954</v>
      </c>
      <c r="I30" s="31">
        <f t="shared" si="1"/>
        <v>10.772268923420505</v>
      </c>
      <c r="J30" s="32" t="str">
        <f t="shared" si="2"/>
        <v>-0.096311 + -0.424103i</v>
      </c>
      <c r="K30" s="33">
        <f t="shared" si="3"/>
        <v>-9.6310638158221898E-2</v>
      </c>
      <c r="L30" s="31">
        <f t="shared" si="4"/>
        <v>-0.42410283706709612</v>
      </c>
      <c r="M30" s="34">
        <f t="shared" si="5"/>
        <v>0.43490108695058904</v>
      </c>
      <c r="N30" s="35">
        <f t="shared" si="6"/>
        <v>-1.794101690938668</v>
      </c>
    </row>
    <row r="31" spans="1:14" ht="15" customHeight="1" x14ac:dyDescent="0.3">
      <c r="A31" s="28">
        <v>6.25</v>
      </c>
      <c r="B31" s="36">
        <f>'Theory &amp; Parameters'!$C$23</f>
        <v>0.8414709848078965</v>
      </c>
      <c r="C31" s="36">
        <f>'Theory &amp; Parameters'!$C$24</f>
        <v>0.54030230586813977</v>
      </c>
      <c r="D31" s="36">
        <f>'Theory &amp; Parameters'!$C$25</f>
        <v>0.64209261593433076</v>
      </c>
      <c r="E31" s="37">
        <f>'Theory &amp; Parameters'!$C$26</f>
        <v>0.43490108695058904</v>
      </c>
      <c r="F31" s="37">
        <f>'Theory &amp; Parameters'!$C$27</f>
        <v>-0.78539816339744828</v>
      </c>
      <c r="G31" s="38">
        <f>'Theory &amp; Parameters'!$C$28</f>
        <v>0.32104630796716538</v>
      </c>
      <c r="H31" s="38">
        <f t="shared" si="0"/>
        <v>12.540871404967397</v>
      </c>
      <c r="I31" s="39">
        <f t="shared" si="1"/>
        <v>11.755473241569948</v>
      </c>
      <c r="J31" s="40" t="str">
        <f t="shared" si="2"/>
        <v>0.299581 + -0.315262i</v>
      </c>
      <c r="K31" s="41">
        <f t="shared" si="3"/>
        <v>0.29958083084489218</v>
      </c>
      <c r="L31" s="37">
        <f t="shared" si="4"/>
        <v>-0.31526224198449121</v>
      </c>
      <c r="M31" s="42">
        <f t="shared" si="5"/>
        <v>0.43490108695058899</v>
      </c>
      <c r="N31" s="43">
        <f t="shared" si="6"/>
        <v>-0.81089737278922458</v>
      </c>
    </row>
    <row r="32" spans="1:14" ht="15" customHeight="1" x14ac:dyDescent="0.3">
      <c r="A32" s="28">
        <v>6.5</v>
      </c>
      <c r="B32" s="29">
        <f>'Theory &amp; Parameters'!$C$23</f>
        <v>0.8414709848078965</v>
      </c>
      <c r="C32" s="29">
        <f>'Theory &amp; Parameters'!$C$24</f>
        <v>0.54030230586813977</v>
      </c>
      <c r="D32" s="29">
        <f>'Theory &amp; Parameters'!$C$25</f>
        <v>0.64209261593433076</v>
      </c>
      <c r="E32" s="30">
        <f>'Theory &amp; Parameters'!$C$26</f>
        <v>0.43490108695058904</v>
      </c>
      <c r="F32" s="30">
        <f>'Theory &amp; Parameters'!$C$27</f>
        <v>-0.78539816339744828</v>
      </c>
      <c r="G32" s="29">
        <f>'Theory &amp; Parameters'!$C$28</f>
        <v>0.32104630796716538</v>
      </c>
      <c r="H32" s="29">
        <f t="shared" si="0"/>
        <v>13.564206511612737</v>
      </c>
      <c r="I32" s="31">
        <f t="shared" si="1"/>
        <v>12.778808348215289</v>
      </c>
      <c r="J32" s="32" t="str">
        <f t="shared" si="2"/>
        <v>0.425124 + 0.091696i</v>
      </c>
      <c r="K32" s="33">
        <f t="shared" si="3"/>
        <v>0.42512444070403893</v>
      </c>
      <c r="L32" s="31">
        <f t="shared" si="4"/>
        <v>9.1696048698304986E-2</v>
      </c>
      <c r="M32" s="34">
        <f t="shared" si="5"/>
        <v>0.43490108695058904</v>
      </c>
      <c r="N32" s="35">
        <f t="shared" si="6"/>
        <v>0.21243773385611625</v>
      </c>
    </row>
    <row r="33" spans="1:14" ht="15" customHeight="1" x14ac:dyDescent="0.3">
      <c r="A33" s="28">
        <v>6.75</v>
      </c>
      <c r="B33" s="36">
        <f>'Theory &amp; Parameters'!$C$23</f>
        <v>0.8414709848078965</v>
      </c>
      <c r="C33" s="36">
        <f>'Theory &amp; Parameters'!$C$24</f>
        <v>0.54030230586813977</v>
      </c>
      <c r="D33" s="36">
        <f>'Theory &amp; Parameters'!$C$25</f>
        <v>0.64209261593433076</v>
      </c>
      <c r="E33" s="37">
        <f>'Theory &amp; Parameters'!$C$26</f>
        <v>0.43490108695058904</v>
      </c>
      <c r="F33" s="37">
        <f>'Theory &amp; Parameters'!$C$27</f>
        <v>-0.78539816339744828</v>
      </c>
      <c r="G33" s="38">
        <f>'Theory &amp; Parameters'!$C$28</f>
        <v>0.32104630796716538</v>
      </c>
      <c r="H33" s="38">
        <f t="shared" si="0"/>
        <v>14.627672406753973</v>
      </c>
      <c r="I33" s="39">
        <f t="shared" si="1"/>
        <v>13.842274243356524</v>
      </c>
      <c r="J33" s="40" t="str">
        <f t="shared" si="2"/>
        <v>0.126398 + 0.416128i</v>
      </c>
      <c r="K33" s="41">
        <f t="shared" si="3"/>
        <v>0.12639842613082017</v>
      </c>
      <c r="L33" s="37">
        <f t="shared" si="4"/>
        <v>0.41612785691714443</v>
      </c>
      <c r="M33" s="42">
        <f t="shared" si="5"/>
        <v>0.43490108695058904</v>
      </c>
      <c r="N33" s="43">
        <f t="shared" si="6"/>
        <v>1.2759036289973511</v>
      </c>
    </row>
    <row r="34" spans="1:14" ht="15" customHeight="1" x14ac:dyDescent="0.3">
      <c r="A34" s="28">
        <v>7</v>
      </c>
      <c r="B34" s="29">
        <f>'Theory &amp; Parameters'!$C$23</f>
        <v>0.8414709848078965</v>
      </c>
      <c r="C34" s="29">
        <f>'Theory &amp; Parameters'!$C$24</f>
        <v>0.54030230586813977</v>
      </c>
      <c r="D34" s="29">
        <f>'Theory &amp; Parameters'!$C$25</f>
        <v>0.64209261593433076</v>
      </c>
      <c r="E34" s="30">
        <f>'Theory &amp; Parameters'!$C$26</f>
        <v>0.43490108695058904</v>
      </c>
      <c r="F34" s="30">
        <f>'Theory &amp; Parameters'!$C$27</f>
        <v>-0.78539816339744828</v>
      </c>
      <c r="G34" s="29">
        <f>'Theory &amp; Parameters'!$C$28</f>
        <v>0.32104630796716538</v>
      </c>
      <c r="H34" s="29">
        <f t="shared" si="0"/>
        <v>15.731269090391104</v>
      </c>
      <c r="I34" s="31">
        <f t="shared" si="1"/>
        <v>14.945870926993656</v>
      </c>
      <c r="J34" s="32" t="str">
        <f t="shared" si="2"/>
        <v>-0.314604 + 0.300272i</v>
      </c>
      <c r="K34" s="33">
        <f t="shared" si="3"/>
        <v>-0.31460438747207442</v>
      </c>
      <c r="L34" s="31">
        <f t="shared" si="4"/>
        <v>0.3002716017443619</v>
      </c>
      <c r="M34" s="34">
        <f t="shared" si="5"/>
        <v>0.43490108695058904</v>
      </c>
      <c r="N34" s="35">
        <f t="shared" si="6"/>
        <v>2.3795003126344834</v>
      </c>
    </row>
    <row r="35" spans="1:14" ht="15" customHeight="1" x14ac:dyDescent="0.3">
      <c r="A35" s="28">
        <v>7.25</v>
      </c>
      <c r="B35" s="36">
        <f>'Theory &amp; Parameters'!$C$23</f>
        <v>0.8414709848078965</v>
      </c>
      <c r="C35" s="36">
        <f>'Theory &amp; Parameters'!$C$24</f>
        <v>0.54030230586813977</v>
      </c>
      <c r="D35" s="36">
        <f>'Theory &amp; Parameters'!$C$25</f>
        <v>0.64209261593433076</v>
      </c>
      <c r="E35" s="37">
        <f>'Theory &amp; Parameters'!$C$26</f>
        <v>0.43490108695058904</v>
      </c>
      <c r="F35" s="37">
        <f>'Theory &amp; Parameters'!$C$27</f>
        <v>-0.78539816339744828</v>
      </c>
      <c r="G35" s="38">
        <f>'Theory &amp; Parameters'!$C$28</f>
        <v>0.32104630796716538</v>
      </c>
      <c r="H35" s="38">
        <f t="shared" si="0"/>
        <v>16.874996562524132</v>
      </c>
      <c r="I35" s="39">
        <f t="shared" si="1"/>
        <v>16.089598399126682</v>
      </c>
      <c r="J35" s="40" t="str">
        <f t="shared" si="2"/>
        <v>-0.403613 + -0.161974i</v>
      </c>
      <c r="K35" s="41">
        <f t="shared" si="3"/>
        <v>-0.40361295054312357</v>
      </c>
      <c r="L35" s="37">
        <f t="shared" si="4"/>
        <v>-0.16197389167602874</v>
      </c>
      <c r="M35" s="42">
        <f t="shared" si="5"/>
        <v>0.43490108695058904</v>
      </c>
      <c r="N35" s="43">
        <f t="shared" si="6"/>
        <v>-2.7599575224120767</v>
      </c>
    </row>
    <row r="36" spans="1:14" ht="15" customHeight="1" x14ac:dyDescent="0.3">
      <c r="A36" s="28">
        <v>7.5</v>
      </c>
      <c r="B36" s="29">
        <f>'Theory &amp; Parameters'!$C$23</f>
        <v>0.8414709848078965</v>
      </c>
      <c r="C36" s="29">
        <f>'Theory &amp; Parameters'!$C$24</f>
        <v>0.54030230586813977</v>
      </c>
      <c r="D36" s="29">
        <f>'Theory &amp; Parameters'!$C$25</f>
        <v>0.64209261593433076</v>
      </c>
      <c r="E36" s="30">
        <f>'Theory &amp; Parameters'!$C$26</f>
        <v>0.43490108695058904</v>
      </c>
      <c r="F36" s="30">
        <f>'Theory &amp; Parameters'!$C$27</f>
        <v>-0.78539816339744828</v>
      </c>
      <c r="G36" s="29">
        <f>'Theory &amp; Parameters'!$C$28</f>
        <v>0.32104630796716538</v>
      </c>
      <c r="H36" s="29">
        <f t="shared" si="0"/>
        <v>18.058854823153052</v>
      </c>
      <c r="I36" s="31">
        <f t="shared" si="1"/>
        <v>17.273456659755603</v>
      </c>
      <c r="J36" s="32" t="str">
        <f t="shared" si="2"/>
        <v>-0.002306 + -0.434895i</v>
      </c>
      <c r="K36" s="33">
        <f t="shared" si="3"/>
        <v>-2.3062413813723401E-3</v>
      </c>
      <c r="L36" s="31">
        <f t="shared" si="4"/>
        <v>-0.43489497201220279</v>
      </c>
      <c r="M36" s="34">
        <f t="shared" si="5"/>
        <v>0.43490108695058899</v>
      </c>
      <c r="N36" s="35">
        <f t="shared" si="6"/>
        <v>-1.5760992617831568</v>
      </c>
    </row>
    <row r="37" spans="1:14" ht="15" customHeight="1" x14ac:dyDescent="0.3">
      <c r="A37" s="28">
        <v>7.75</v>
      </c>
      <c r="B37" s="36">
        <f>'Theory &amp; Parameters'!$C$23</f>
        <v>0.8414709848078965</v>
      </c>
      <c r="C37" s="36">
        <f>'Theory &amp; Parameters'!$C$24</f>
        <v>0.54030230586813977</v>
      </c>
      <c r="D37" s="36">
        <f>'Theory &amp; Parameters'!$C$25</f>
        <v>0.64209261593433076</v>
      </c>
      <c r="E37" s="37">
        <f>'Theory &amp; Parameters'!$C$26</f>
        <v>0.43490108695058904</v>
      </c>
      <c r="F37" s="37">
        <f>'Theory &amp; Parameters'!$C$27</f>
        <v>-0.78539816339744828</v>
      </c>
      <c r="G37" s="38">
        <f>'Theory &amp; Parameters'!$C$28</f>
        <v>0.32104630796716538</v>
      </c>
      <c r="H37" s="38">
        <f t="shared" si="0"/>
        <v>19.282843872277869</v>
      </c>
      <c r="I37" s="39">
        <f t="shared" si="1"/>
        <v>18.49744570888042</v>
      </c>
      <c r="J37" s="40" t="str">
        <f t="shared" si="2"/>
        <v>0.408219 + -0.149988i</v>
      </c>
      <c r="K37" s="41">
        <f t="shared" si="3"/>
        <v>0.40821861560144729</v>
      </c>
      <c r="L37" s="37">
        <f t="shared" si="4"/>
        <v>-0.14998839057487631</v>
      </c>
      <c r="M37" s="42">
        <f t="shared" si="5"/>
        <v>0.43490108695058904</v>
      </c>
      <c r="N37" s="43">
        <f t="shared" si="6"/>
        <v>-0.35211021265833936</v>
      </c>
    </row>
    <row r="38" spans="1:14" ht="15" customHeight="1" x14ac:dyDescent="0.3">
      <c r="A38" s="28">
        <v>8</v>
      </c>
      <c r="B38" s="29">
        <f>'Theory &amp; Parameters'!$C$23</f>
        <v>0.8414709848078965</v>
      </c>
      <c r="C38" s="29">
        <f>'Theory &amp; Parameters'!$C$24</f>
        <v>0.54030230586813977</v>
      </c>
      <c r="D38" s="29">
        <f>'Theory &amp; Parameters'!$C$25</f>
        <v>0.64209261593433076</v>
      </c>
      <c r="E38" s="30">
        <f>'Theory &amp; Parameters'!$C$26</f>
        <v>0.43490108695058904</v>
      </c>
      <c r="F38" s="30">
        <f>'Theory &amp; Parameters'!$C$27</f>
        <v>-0.78539816339744828</v>
      </c>
      <c r="G38" s="29">
        <f>'Theory &amp; Parameters'!$C$28</f>
        <v>0.32104630796716538</v>
      </c>
      <c r="H38" s="29">
        <f t="shared" si="0"/>
        <v>20.546963709898584</v>
      </c>
      <c r="I38" s="31">
        <f t="shared" si="1"/>
        <v>19.761565546501135</v>
      </c>
      <c r="J38" s="32" t="str">
        <f t="shared" si="2"/>
        <v>0.266228 + 0.343892i</v>
      </c>
      <c r="K38" s="33">
        <f t="shared" si="3"/>
        <v>0.26622813818270397</v>
      </c>
      <c r="L38" s="31">
        <f t="shared" si="4"/>
        <v>0.34389174731385297</v>
      </c>
      <c r="M38" s="34">
        <f t="shared" si="5"/>
        <v>0.43490108695058904</v>
      </c>
      <c r="N38" s="35">
        <f t="shared" si="6"/>
        <v>0.91200962496237559</v>
      </c>
    </row>
    <row r="39" spans="1:14" ht="15" customHeight="1" x14ac:dyDescent="0.3">
      <c r="A39" s="28">
        <v>8.25</v>
      </c>
      <c r="B39" s="36">
        <f>'Theory &amp; Parameters'!$C$23</f>
        <v>0.8414709848078965</v>
      </c>
      <c r="C39" s="36">
        <f>'Theory &amp; Parameters'!$C$24</f>
        <v>0.54030230586813977</v>
      </c>
      <c r="D39" s="36">
        <f>'Theory &amp; Parameters'!$C$25</f>
        <v>0.64209261593433076</v>
      </c>
      <c r="E39" s="37">
        <f>'Theory &amp; Parameters'!$C$26</f>
        <v>0.43490108695058904</v>
      </c>
      <c r="F39" s="37">
        <f>'Theory &amp; Parameters'!$C$27</f>
        <v>-0.78539816339744828</v>
      </c>
      <c r="G39" s="38">
        <f>'Theory &amp; Parameters'!$C$28</f>
        <v>0.32104630796716538</v>
      </c>
      <c r="H39" s="38">
        <f t="shared" si="0"/>
        <v>21.851214336015193</v>
      </c>
      <c r="I39" s="39">
        <f t="shared" si="1"/>
        <v>21.065816172617744</v>
      </c>
      <c r="J39" s="40" t="str">
        <f t="shared" si="2"/>
        <v>-0.261623 + 0.347408i</v>
      </c>
      <c r="K39" s="41">
        <f t="shared" si="3"/>
        <v>-0.26162305354856008</v>
      </c>
      <c r="L39" s="37">
        <f t="shared" si="4"/>
        <v>0.34740802132756099</v>
      </c>
      <c r="M39" s="42">
        <f t="shared" si="5"/>
        <v>0.43490108695058904</v>
      </c>
      <c r="N39" s="43">
        <f t="shared" si="6"/>
        <v>2.2162602510789844</v>
      </c>
    </row>
    <row r="40" spans="1:14" ht="15" customHeight="1" x14ac:dyDescent="0.3">
      <c r="A40" s="28">
        <v>8.5</v>
      </c>
      <c r="B40" s="29">
        <f>'Theory &amp; Parameters'!$C$23</f>
        <v>0.8414709848078965</v>
      </c>
      <c r="C40" s="29">
        <f>'Theory &amp; Parameters'!$C$24</f>
        <v>0.54030230586813977</v>
      </c>
      <c r="D40" s="29">
        <f>'Theory &amp; Parameters'!$C$25</f>
        <v>0.64209261593433076</v>
      </c>
      <c r="E40" s="30">
        <f>'Theory &amp; Parameters'!$C$26</f>
        <v>0.43490108695058904</v>
      </c>
      <c r="F40" s="30">
        <f>'Theory &amp; Parameters'!$C$27</f>
        <v>-0.78539816339744828</v>
      </c>
      <c r="G40" s="29">
        <f>'Theory &amp; Parameters'!$C$28</f>
        <v>0.32104630796716538</v>
      </c>
      <c r="H40" s="29">
        <f t="shared" si="0"/>
        <v>23.1955957506277</v>
      </c>
      <c r="I40" s="31">
        <f t="shared" si="1"/>
        <v>22.41019758723025</v>
      </c>
      <c r="J40" s="32" t="str">
        <f t="shared" si="2"/>
        <v>-0.397272 + -0.176958i</v>
      </c>
      <c r="K40" s="33">
        <f t="shared" si="3"/>
        <v>-0.39727183691364737</v>
      </c>
      <c r="L40" s="31">
        <f t="shared" si="4"/>
        <v>-0.17695774361711383</v>
      </c>
      <c r="M40" s="34">
        <f t="shared" si="5"/>
        <v>0.43490108695058904</v>
      </c>
      <c r="N40" s="35">
        <f t="shared" si="6"/>
        <v>-2.7225436414880955</v>
      </c>
    </row>
    <row r="41" spans="1:14" ht="15" customHeight="1" x14ac:dyDescent="0.3">
      <c r="A41" s="28">
        <v>8.75</v>
      </c>
      <c r="B41" s="36">
        <f>'Theory &amp; Parameters'!$C$23</f>
        <v>0.8414709848078965</v>
      </c>
      <c r="C41" s="36">
        <f>'Theory &amp; Parameters'!$C$24</f>
        <v>0.54030230586813977</v>
      </c>
      <c r="D41" s="36">
        <f>'Theory &amp; Parameters'!$C$25</f>
        <v>0.64209261593433076</v>
      </c>
      <c r="E41" s="37">
        <f>'Theory &amp; Parameters'!$C$26</f>
        <v>0.43490108695058904</v>
      </c>
      <c r="F41" s="37">
        <f>'Theory &amp; Parameters'!$C$27</f>
        <v>-0.78539816339744828</v>
      </c>
      <c r="G41" s="38">
        <f>'Theory &amp; Parameters'!$C$28</f>
        <v>0.32104630796716538</v>
      </c>
      <c r="H41" s="38">
        <f t="shared" si="0"/>
        <v>24.5801079537361</v>
      </c>
      <c r="I41" s="39">
        <f t="shared" si="1"/>
        <v>23.794709790338651</v>
      </c>
      <c r="J41" s="40" t="str">
        <f t="shared" si="2"/>
        <v>0.100318 + -0.423173i</v>
      </c>
      <c r="K41" s="41">
        <f t="shared" si="3"/>
        <v>0.10031808037709801</v>
      </c>
      <c r="L41" s="37">
        <f t="shared" si="4"/>
        <v>-0.42317282306435738</v>
      </c>
      <c r="M41" s="42">
        <f t="shared" si="5"/>
        <v>0.43490108695058904</v>
      </c>
      <c r="N41" s="43">
        <f t="shared" si="6"/>
        <v>-1.3380314383796952</v>
      </c>
    </row>
    <row r="42" spans="1:14" ht="15" customHeight="1" x14ac:dyDescent="0.3">
      <c r="A42" s="28">
        <v>9</v>
      </c>
      <c r="B42" s="29">
        <f>'Theory &amp; Parameters'!$C$23</f>
        <v>0.8414709848078965</v>
      </c>
      <c r="C42" s="29">
        <f>'Theory &amp; Parameters'!$C$24</f>
        <v>0.54030230586813977</v>
      </c>
      <c r="D42" s="29">
        <f>'Theory &amp; Parameters'!$C$25</f>
        <v>0.64209261593433076</v>
      </c>
      <c r="E42" s="30">
        <f>'Theory &amp; Parameters'!$C$26</f>
        <v>0.43490108695058904</v>
      </c>
      <c r="F42" s="30">
        <f>'Theory &amp; Parameters'!$C$27</f>
        <v>-0.78539816339744828</v>
      </c>
      <c r="G42" s="29">
        <f>'Theory &amp; Parameters'!$C$28</f>
        <v>0.32104630796716538</v>
      </c>
      <c r="H42" s="29">
        <f t="shared" si="0"/>
        <v>26.004750945340394</v>
      </c>
      <c r="I42" s="31">
        <f t="shared" si="1"/>
        <v>25.219352781942945</v>
      </c>
      <c r="J42" s="32" t="str">
        <f t="shared" si="2"/>
        <v>0.433271 + 0.037620i</v>
      </c>
      <c r="K42" s="33">
        <f t="shared" si="3"/>
        <v>0.43327088787003687</v>
      </c>
      <c r="L42" s="31">
        <f t="shared" si="4"/>
        <v>3.762038217660376E-2</v>
      </c>
      <c r="M42" s="34">
        <f t="shared" si="5"/>
        <v>0.43490108695058904</v>
      </c>
      <c r="N42" s="35">
        <f t="shared" si="6"/>
        <v>8.6611553224598931E-2</v>
      </c>
    </row>
    <row r="43" spans="1:14" ht="15" customHeight="1" x14ac:dyDescent="0.3">
      <c r="A43" s="28">
        <v>9.25</v>
      </c>
      <c r="B43" s="36">
        <f>'Theory &amp; Parameters'!$C$23</f>
        <v>0.8414709848078965</v>
      </c>
      <c r="C43" s="36">
        <f>'Theory &amp; Parameters'!$C$24</f>
        <v>0.54030230586813977</v>
      </c>
      <c r="D43" s="36">
        <f>'Theory &amp; Parameters'!$C$25</f>
        <v>0.64209261593433076</v>
      </c>
      <c r="E43" s="37">
        <f>'Theory &amp; Parameters'!$C$26</f>
        <v>0.43490108695058904</v>
      </c>
      <c r="F43" s="37">
        <f>'Theory &amp; Parameters'!$C$27</f>
        <v>-0.78539816339744828</v>
      </c>
      <c r="G43" s="38">
        <f>'Theory &amp; Parameters'!$C$28</f>
        <v>0.32104630796716538</v>
      </c>
      <c r="H43" s="38">
        <f t="shared" si="0"/>
        <v>27.469524725440589</v>
      </c>
      <c r="I43" s="39">
        <f t="shared" si="1"/>
        <v>26.68412656204314</v>
      </c>
      <c r="J43" s="40" t="str">
        <f t="shared" si="2"/>
        <v>0.008441 + 0.434819i</v>
      </c>
      <c r="K43" s="41">
        <f t="shared" si="3"/>
        <v>8.4413320387405118E-3</v>
      </c>
      <c r="L43" s="37">
        <f t="shared" si="4"/>
        <v>0.43481915705752378</v>
      </c>
      <c r="M43" s="42">
        <f t="shared" si="5"/>
        <v>0.43490108695058899</v>
      </c>
      <c r="N43" s="43">
        <f t="shared" si="6"/>
        <v>1.5513853333247942</v>
      </c>
    </row>
    <row r="44" spans="1:14" ht="15" customHeight="1" x14ac:dyDescent="0.3">
      <c r="A44" s="28">
        <v>9.5</v>
      </c>
      <c r="B44" s="29">
        <f>'Theory &amp; Parameters'!$C$23</f>
        <v>0.8414709848078965</v>
      </c>
      <c r="C44" s="29">
        <f>'Theory &amp; Parameters'!$C$24</f>
        <v>0.54030230586813977</v>
      </c>
      <c r="D44" s="29">
        <f>'Theory &amp; Parameters'!$C$25</f>
        <v>0.64209261593433076</v>
      </c>
      <c r="E44" s="30">
        <f>'Theory &amp; Parameters'!$C$26</f>
        <v>0.43490108695058904</v>
      </c>
      <c r="F44" s="30">
        <f>'Theory &amp; Parameters'!$C$27</f>
        <v>-0.78539816339744828</v>
      </c>
      <c r="G44" s="29">
        <f>'Theory &amp; Parameters'!$C$28</f>
        <v>0.32104630796716538</v>
      </c>
      <c r="H44" s="29">
        <f t="shared" si="0"/>
        <v>28.974429294036675</v>
      </c>
      <c r="I44" s="31">
        <f t="shared" si="1"/>
        <v>28.189031130639226</v>
      </c>
      <c r="J44" s="32" t="str">
        <f t="shared" si="2"/>
        <v>-0.433320 + 0.037053i</v>
      </c>
      <c r="K44" s="33">
        <f t="shared" si="3"/>
        <v>-0.43331975438257342</v>
      </c>
      <c r="L44" s="31">
        <f t="shared" si="4"/>
        <v>3.7053284505291079E-2</v>
      </c>
      <c r="M44" s="34">
        <f t="shared" si="5"/>
        <v>0.43490108695058904</v>
      </c>
      <c r="N44" s="35">
        <f t="shared" si="6"/>
        <v>3.0562899019208798</v>
      </c>
    </row>
    <row r="45" spans="1:14" ht="15" customHeight="1" x14ac:dyDescent="0.3">
      <c r="A45" s="28">
        <v>9.75</v>
      </c>
      <c r="B45" s="36">
        <f>'Theory &amp; Parameters'!$C$23</f>
        <v>0.8414709848078965</v>
      </c>
      <c r="C45" s="36">
        <f>'Theory &amp; Parameters'!$C$24</f>
        <v>0.54030230586813977</v>
      </c>
      <c r="D45" s="36">
        <f>'Theory &amp; Parameters'!$C$25</f>
        <v>0.64209261593433076</v>
      </c>
      <c r="E45" s="37">
        <f>'Theory &amp; Parameters'!$C$26</f>
        <v>0.43490108695058904</v>
      </c>
      <c r="F45" s="37">
        <f>'Theory &amp; Parameters'!$C$27</f>
        <v>-0.78539816339744828</v>
      </c>
      <c r="G45" s="38">
        <f>'Theory &amp; Parameters'!$C$28</f>
        <v>0.32104630796716538</v>
      </c>
      <c r="H45" s="38">
        <f t="shared" si="0"/>
        <v>30.519464651128658</v>
      </c>
      <c r="I45" s="39">
        <f t="shared" si="1"/>
        <v>29.734066487731209</v>
      </c>
      <c r="J45" s="40" t="str">
        <f t="shared" si="2"/>
        <v>-0.048202 + -0.432222i</v>
      </c>
      <c r="K45" s="41">
        <f t="shared" si="3"/>
        <v>-4.8202492850109052E-2</v>
      </c>
      <c r="L45" s="37">
        <f t="shared" si="4"/>
        <v>-0.43222155790038863</v>
      </c>
      <c r="M45" s="42">
        <f t="shared" si="5"/>
        <v>0.43490108695058904</v>
      </c>
      <c r="N45" s="43">
        <f t="shared" si="6"/>
        <v>-1.6818600481667236</v>
      </c>
    </row>
    <row r="46" spans="1:14" ht="15" customHeight="1" x14ac:dyDescent="0.3">
      <c r="A46" s="28">
        <v>10</v>
      </c>
      <c r="B46" s="29">
        <f>'Theory &amp; Parameters'!$C$23</f>
        <v>0.8414709848078965</v>
      </c>
      <c r="C46" s="29">
        <f>'Theory &amp; Parameters'!$C$24</f>
        <v>0.54030230586813977</v>
      </c>
      <c r="D46" s="29">
        <f>'Theory &amp; Parameters'!$C$25</f>
        <v>0.64209261593433076</v>
      </c>
      <c r="E46" s="30">
        <f>'Theory &amp; Parameters'!$C$26</f>
        <v>0.43490108695058904</v>
      </c>
      <c r="F46" s="30">
        <f>'Theory &amp; Parameters'!$C$27</f>
        <v>-0.78539816339744828</v>
      </c>
      <c r="G46" s="29">
        <f>'Theory &amp; Parameters'!$C$28</f>
        <v>0.32104630796716538</v>
      </c>
      <c r="H46" s="29">
        <f t="shared" si="0"/>
        <v>32.104630796716535</v>
      </c>
      <c r="I46" s="31">
        <f t="shared" si="1"/>
        <v>31.319232633319086</v>
      </c>
      <c r="J46" s="32" t="str">
        <f t="shared" si="2"/>
        <v>0.432870 + -0.041987i</v>
      </c>
      <c r="K46" s="33">
        <f t="shared" si="3"/>
        <v>0.43286957083758537</v>
      </c>
      <c r="L46" s="31">
        <f t="shared" si="4"/>
        <v>-4.198678451237349E-2</v>
      </c>
      <c r="M46" s="34">
        <f t="shared" si="5"/>
        <v>0.43490108695058904</v>
      </c>
      <c r="N46" s="35">
        <f t="shared" si="6"/>
        <v>-9.6693902578846788E-2</v>
      </c>
    </row>
  </sheetData>
  <mergeCells count="12">
    <mergeCell ref="A1:N1"/>
    <mergeCell ref="A2:N2"/>
    <mergeCell ref="A3:N3"/>
    <mergeCell ref="A4:A5"/>
    <mergeCell ref="B4:D4"/>
    <mergeCell ref="E4:F4"/>
    <mergeCell ref="G4:H4"/>
    <mergeCell ref="I4:J4"/>
    <mergeCell ref="K4:K5"/>
    <mergeCell ref="L4:L5"/>
    <mergeCell ref="M4:M5"/>
    <mergeCell ref="N4:N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0"/>
  <sheetViews>
    <sheetView showGridLines="0" zoomScaleNormal="100" workbookViewId="0"/>
  </sheetViews>
  <sheetFormatPr defaultColWidth="8.6640625" defaultRowHeight="14.4" x14ac:dyDescent="0.3"/>
  <cols>
    <col min="1" max="1" width="6" customWidth="1"/>
    <col min="2" max="2" width="34" customWidth="1"/>
    <col min="3" max="3" width="36" customWidth="1"/>
    <col min="4" max="4" width="48" customWidth="1"/>
    <col min="5" max="6" width="16" customWidth="1"/>
    <col min="7" max="7" width="32" customWidth="1"/>
  </cols>
  <sheetData>
    <row r="1" spans="1:7" ht="25.5" customHeight="1" x14ac:dyDescent="0.3">
      <c r="A1" s="54" t="s">
        <v>83</v>
      </c>
      <c r="B1" s="54"/>
      <c r="C1" s="54"/>
      <c r="D1" s="54"/>
      <c r="E1" s="54"/>
      <c r="F1" s="54"/>
      <c r="G1" s="54"/>
    </row>
    <row r="2" spans="1:7" ht="13.5" customHeight="1" x14ac:dyDescent="0.3">
      <c r="A2" s="55" t="s">
        <v>84</v>
      </c>
      <c r="B2" s="55"/>
      <c r="C2" s="55"/>
      <c r="D2" s="55"/>
      <c r="E2" s="55"/>
      <c r="F2" s="55"/>
      <c r="G2" s="55"/>
    </row>
    <row r="3" spans="1:7" ht="19.5" customHeight="1" x14ac:dyDescent="0.3">
      <c r="A3" s="12" t="s">
        <v>85</v>
      </c>
      <c r="B3" s="12"/>
      <c r="C3" s="12"/>
      <c r="D3" s="12"/>
      <c r="E3" s="12"/>
      <c r="F3" s="12"/>
      <c r="G3" s="12"/>
    </row>
    <row r="4" spans="1:7" ht="15.75" customHeight="1" x14ac:dyDescent="0.3">
      <c r="A4" s="44" t="s">
        <v>86</v>
      </c>
      <c r="B4" s="44" t="s">
        <v>87</v>
      </c>
      <c r="C4" s="44" t="s">
        <v>88</v>
      </c>
      <c r="D4" s="44" t="s">
        <v>89</v>
      </c>
      <c r="E4" s="44" t="s">
        <v>90</v>
      </c>
      <c r="F4" s="44" t="s">
        <v>91</v>
      </c>
      <c r="G4" s="44" t="s">
        <v>92</v>
      </c>
    </row>
    <row r="5" spans="1:7" ht="19.5" customHeight="1" x14ac:dyDescent="0.3">
      <c r="A5" s="45" t="s">
        <v>93</v>
      </c>
      <c r="B5" s="15" t="s">
        <v>94</v>
      </c>
      <c r="C5" s="15" t="s">
        <v>95</v>
      </c>
      <c r="D5" s="15">
        <f>'Theory &amp; Parameters'!$C$17*'Theory &amp; Parameters'!$C$18</f>
        <v>1</v>
      </c>
      <c r="E5" s="46">
        <f>'Theory &amp; Parameters'!$C$17*'Theory &amp; Parameters'!$C$18</f>
        <v>1</v>
      </c>
      <c r="F5" s="47">
        <f>'Theory &amp; Parameters'!$C$17*'Theory &amp; Parameters'!$C$18</f>
        <v>1</v>
      </c>
      <c r="G5" s="15" t="s">
        <v>96</v>
      </c>
    </row>
    <row r="6" spans="1:7" ht="19.5" customHeight="1" x14ac:dyDescent="0.3">
      <c r="A6" s="17" t="s">
        <v>97</v>
      </c>
      <c r="B6" s="18" t="s">
        <v>49</v>
      </c>
      <c r="C6" s="18" t="s">
        <v>50</v>
      </c>
      <c r="D6" s="18">
        <f>SIN('Theory &amp; Parameters'!$C$17*'Theory &amp; Parameters'!$C$18)</f>
        <v>0.8414709848078965</v>
      </c>
      <c r="E6" s="46">
        <f>SIN('Theory &amp; Parameters'!$C$17*'Theory &amp; Parameters'!$C$18)</f>
        <v>0.8414709848078965</v>
      </c>
      <c r="F6" s="47">
        <f>SIN('Theory &amp; Parameters'!$C$17*'Theory &amp; Parameters'!$C$18)</f>
        <v>0.8414709848078965</v>
      </c>
      <c r="G6" s="18"/>
    </row>
    <row r="7" spans="1:7" ht="19.5" customHeight="1" x14ac:dyDescent="0.3">
      <c r="A7" s="45" t="s">
        <v>98</v>
      </c>
      <c r="B7" s="15" t="s">
        <v>51</v>
      </c>
      <c r="C7" s="15" t="s">
        <v>52</v>
      </c>
      <c r="D7" s="15">
        <f>COS('Theory &amp; Parameters'!$C$17*'Theory &amp; Parameters'!$C$18)</f>
        <v>0.54030230586813977</v>
      </c>
      <c r="E7" s="46">
        <f>COS('Theory &amp; Parameters'!$C$17*'Theory &amp; Parameters'!$C$18)</f>
        <v>0.54030230586813977</v>
      </c>
      <c r="F7" s="47">
        <f>COS('Theory &amp; Parameters'!$C$17*'Theory &amp; Parameters'!$C$18)</f>
        <v>0.54030230586813977</v>
      </c>
      <c r="G7" s="15"/>
    </row>
    <row r="8" spans="1:7" ht="19.5" customHeight="1" x14ac:dyDescent="0.3">
      <c r="A8" s="17" t="s">
        <v>99</v>
      </c>
      <c r="B8" s="18" t="s">
        <v>53</v>
      </c>
      <c r="C8" s="18" t="s">
        <v>100</v>
      </c>
      <c r="D8" s="18">
        <f>E7/E6</f>
        <v>0.64209261593433076</v>
      </c>
      <c r="E8" s="46">
        <f>E7/E6</f>
        <v>0.64209261593433076</v>
      </c>
      <c r="F8" s="47">
        <f>E7/E6</f>
        <v>0.64209261593433076</v>
      </c>
      <c r="G8" s="18"/>
    </row>
    <row r="9" spans="1:7" ht="19.5" customHeight="1" x14ac:dyDescent="0.3">
      <c r="A9" s="45" t="s">
        <v>101</v>
      </c>
      <c r="B9" s="15" t="s">
        <v>102</v>
      </c>
      <c r="C9" s="15" t="s">
        <v>103</v>
      </c>
      <c r="D9" s="15">
        <f>SQRT('Theory &amp; Parameters'!$C$16*'Theory &amp; Parameters'!$C$17/(2*PI()*'Theory &amp; Parameters'!$C$19*ABS(E6)))</f>
        <v>0.43490108695058904</v>
      </c>
      <c r="E9" s="46">
        <f>SQRT('Theory &amp; Parameters'!$C$16*'Theory &amp; Parameters'!$C$17/(2*PI()*'Theory &amp; Parameters'!$C$19*ABS(E6)))</f>
        <v>0.43490108695058904</v>
      </c>
      <c r="F9" s="47">
        <f>SQRT('Theory &amp; Parameters'!$C$16*'Theory &amp; Parameters'!$C$17/(2*PI()*'Theory &amp; Parameters'!$C$19*ABS(E6)))</f>
        <v>0.43490108695058904</v>
      </c>
      <c r="G9" s="15" t="s">
        <v>104</v>
      </c>
    </row>
    <row r="10" spans="1:7" ht="19.5" customHeight="1" x14ac:dyDescent="0.3">
      <c r="A10" s="17" t="s">
        <v>105</v>
      </c>
      <c r="B10" s="18" t="s">
        <v>106</v>
      </c>
      <c r="C10" s="18" t="s">
        <v>107</v>
      </c>
      <c r="D10" s="18">
        <f>-PI()/4</f>
        <v>-0.78539816339744828</v>
      </c>
      <c r="E10" s="46">
        <f>-PI()/4</f>
        <v>-0.78539816339744828</v>
      </c>
      <c r="F10" s="47">
        <f>-PI()/4</f>
        <v>-0.78539816339744828</v>
      </c>
      <c r="G10" s="18" t="s">
        <v>108</v>
      </c>
    </row>
    <row r="11" spans="1:7" ht="19.5" customHeight="1" x14ac:dyDescent="0.3">
      <c r="A11" s="45" t="s">
        <v>109</v>
      </c>
      <c r="B11" s="15" t="s">
        <v>110</v>
      </c>
      <c r="C11" s="15" t="s">
        <v>111</v>
      </c>
      <c r="D11" s="15">
        <f>'Theory &amp; Parameters'!$C$16*'Theory &amp; Parameters'!$C$17*E8/(2*'Theory &amp; Parameters'!$C$19)</f>
        <v>0.32104630796716538</v>
      </c>
      <c r="E11" s="46">
        <f>'Theory &amp; Parameters'!$C$16*'Theory &amp; Parameters'!$C$17*E8/(2*'Theory &amp; Parameters'!$C$19)</f>
        <v>0.32104630796716538</v>
      </c>
      <c r="F11" s="47">
        <f>'Theory &amp; Parameters'!$C$16*'Theory &amp; Parameters'!$C$17*E8/(2*'Theory &amp; Parameters'!$C$19)</f>
        <v>0.32104630796716538</v>
      </c>
      <c r="G11" s="15" t="s">
        <v>112</v>
      </c>
    </row>
    <row r="12" spans="1:7" ht="19.5" customHeight="1" x14ac:dyDescent="0.3">
      <c r="A12" s="17" t="s">
        <v>113</v>
      </c>
      <c r="B12" s="18" t="s">
        <v>114</v>
      </c>
      <c r="C12" s="18" t="s">
        <v>115</v>
      </c>
      <c r="D12" s="18">
        <f>E11*0^2</f>
        <v>0</v>
      </c>
      <c r="E12" s="46">
        <f>E11*0^2</f>
        <v>0</v>
      </c>
      <c r="F12" s="47">
        <f>E11*0^2</f>
        <v>0</v>
      </c>
      <c r="G12" s="18" t="s">
        <v>116</v>
      </c>
    </row>
    <row r="13" spans="1:7" ht="19.5" customHeight="1" x14ac:dyDescent="0.3">
      <c r="A13" s="45" t="s">
        <v>117</v>
      </c>
      <c r="B13" s="15" t="s">
        <v>118</v>
      </c>
      <c r="C13" s="15" t="s">
        <v>119</v>
      </c>
      <c r="D13" s="15">
        <f>E10+E12</f>
        <v>-0.78539816339744828</v>
      </c>
      <c r="E13" s="46">
        <f>E10+E12</f>
        <v>-0.78539816339744828</v>
      </c>
      <c r="F13" s="47">
        <f>E10+E12</f>
        <v>-0.78539816339744828</v>
      </c>
      <c r="G13" s="15" t="s">
        <v>96</v>
      </c>
    </row>
    <row r="14" spans="1:7" ht="19.5" customHeight="1" x14ac:dyDescent="0.3">
      <c r="A14" s="17" t="s">
        <v>120</v>
      </c>
      <c r="B14" s="18" t="s">
        <v>121</v>
      </c>
      <c r="C14" s="18" t="s">
        <v>122</v>
      </c>
      <c r="D14" s="18">
        <f>E9*COS(E13)</f>
        <v>0.30752150772816189</v>
      </c>
      <c r="E14" s="46">
        <f>E9*COS(E13)</f>
        <v>0.30752150772816189</v>
      </c>
      <c r="F14" s="47">
        <f>E9*COS(E13)</f>
        <v>0.30752150772816189</v>
      </c>
      <c r="G14" s="18"/>
    </row>
    <row r="15" spans="1:7" ht="19.5" customHeight="1" x14ac:dyDescent="0.3">
      <c r="A15" s="45" t="s">
        <v>123</v>
      </c>
      <c r="B15" s="15" t="s">
        <v>124</v>
      </c>
      <c r="C15" s="15" t="s">
        <v>125</v>
      </c>
      <c r="D15" s="15">
        <f>E9*SIN(E13)</f>
        <v>-0.30752150772816184</v>
      </c>
      <c r="E15" s="46">
        <f>E9*SIN(E13)</f>
        <v>-0.30752150772816184</v>
      </c>
      <c r="F15" s="47">
        <f>E9*SIN(E13)</f>
        <v>-0.30752150772816184</v>
      </c>
      <c r="G15" s="15"/>
    </row>
    <row r="16" spans="1:7" ht="19.5" customHeight="1" x14ac:dyDescent="0.3">
      <c r="A16" s="17" t="s">
        <v>126</v>
      </c>
      <c r="B16" s="18" t="s">
        <v>127</v>
      </c>
      <c r="C16" s="18" t="s">
        <v>128</v>
      </c>
      <c r="D16" s="18">
        <f>SQRT(E14^2+E15^2)</f>
        <v>0.43490108695058904</v>
      </c>
      <c r="E16" s="46">
        <f>SQRT(E14^2+E15^2)</f>
        <v>0.43490108695058904</v>
      </c>
      <c r="F16" s="47">
        <f>SQRT(E14^2+E15^2)</f>
        <v>0.43490108695058904</v>
      </c>
      <c r="G16" s="18" t="s">
        <v>129</v>
      </c>
    </row>
    <row r="17" spans="1:7" ht="19.5" customHeight="1" x14ac:dyDescent="0.3">
      <c r="A17" s="45" t="s">
        <v>130</v>
      </c>
      <c r="B17" s="15" t="s">
        <v>131</v>
      </c>
      <c r="C17" s="15" t="s">
        <v>132</v>
      </c>
      <c r="D17" s="15">
        <f>ATAN2(E14,E15)</f>
        <v>-0.78539816339744817</v>
      </c>
      <c r="E17" s="46">
        <f>ATAN2(E14,E15)</f>
        <v>-0.78539816339744817</v>
      </c>
      <c r="F17" s="47">
        <f>ATAN2(E14,E15)</f>
        <v>-0.78539816339744817</v>
      </c>
      <c r="G17" s="15" t="s">
        <v>133</v>
      </c>
    </row>
    <row r="18" spans="1:7" ht="19.5" customHeight="1" x14ac:dyDescent="0.3">
      <c r="A18" s="48" t="s">
        <v>134</v>
      </c>
      <c r="B18" s="49" t="s">
        <v>135</v>
      </c>
      <c r="C18" s="49" t="s">
        <v>136</v>
      </c>
      <c r="D18" s="49" t="str">
        <f>TEXT(E14,"0.000000")&amp;" + "&amp;TEXT(E15,"0.000000")&amp;"·i"</f>
        <v>0.307522 + -0.307522·i</v>
      </c>
      <c r="E18" s="50" t="str">
        <f>TEXT(E14,"0.000000")&amp;" + "&amp;TEXT(E15,"0.000000")&amp;"·i"</f>
        <v>0.307522 + -0.307522·i</v>
      </c>
      <c r="F18" s="49" t="str">
        <f>TEXT(E14,"0.000000")&amp;" + "&amp;TEXT(E15,"0.000000")&amp;"·i"</f>
        <v>0.307522 + -0.307522·i</v>
      </c>
      <c r="G18" s="49" t="s">
        <v>137</v>
      </c>
    </row>
    <row r="21" spans="1:7" ht="19.5" customHeight="1" x14ac:dyDescent="0.3">
      <c r="A21" s="12" t="s">
        <v>138</v>
      </c>
      <c r="B21" s="12"/>
      <c r="C21" s="12"/>
      <c r="D21" s="12"/>
      <c r="E21" s="12"/>
      <c r="F21" s="12"/>
      <c r="G21" s="12"/>
    </row>
    <row r="22" spans="1:7" ht="15.75" customHeight="1" x14ac:dyDescent="0.3">
      <c r="A22" s="44" t="s">
        <v>86</v>
      </c>
      <c r="B22" s="44" t="s">
        <v>87</v>
      </c>
      <c r="C22" s="44" t="s">
        <v>88</v>
      </c>
      <c r="D22" s="44" t="s">
        <v>89</v>
      </c>
      <c r="E22" s="44" t="s">
        <v>90</v>
      </c>
      <c r="F22" s="44" t="s">
        <v>91</v>
      </c>
      <c r="G22" s="44" t="s">
        <v>92</v>
      </c>
    </row>
    <row r="23" spans="1:7" ht="19.5" customHeight="1" x14ac:dyDescent="0.3">
      <c r="A23" s="45" t="s">
        <v>93</v>
      </c>
      <c r="B23" s="15" t="s">
        <v>94</v>
      </c>
      <c r="C23" s="15" t="s">
        <v>95</v>
      </c>
      <c r="D23" s="15">
        <f>'Theory &amp; Parameters'!$C$17*'Theory &amp; Parameters'!$C$18</f>
        <v>1</v>
      </c>
      <c r="E23" s="46">
        <f>'Theory &amp; Parameters'!$C$17*'Theory &amp; Parameters'!$C$18</f>
        <v>1</v>
      </c>
      <c r="F23" s="47">
        <f>'Theory &amp; Parameters'!$C$17*'Theory &amp; Parameters'!$C$18</f>
        <v>1</v>
      </c>
      <c r="G23" s="15" t="s">
        <v>96</v>
      </c>
    </row>
    <row r="24" spans="1:7" ht="19.5" customHeight="1" x14ac:dyDescent="0.3">
      <c r="A24" s="17" t="s">
        <v>97</v>
      </c>
      <c r="B24" s="18" t="s">
        <v>49</v>
      </c>
      <c r="C24" s="18" t="s">
        <v>50</v>
      </c>
      <c r="D24" s="18">
        <f>SIN('Theory &amp; Parameters'!$C$17*'Theory &amp; Parameters'!$C$18)</f>
        <v>0.8414709848078965</v>
      </c>
      <c r="E24" s="46">
        <f>SIN('Theory &amp; Parameters'!$C$17*'Theory &amp; Parameters'!$C$18)</f>
        <v>0.8414709848078965</v>
      </c>
      <c r="F24" s="47">
        <f>SIN('Theory &amp; Parameters'!$C$17*'Theory &amp; Parameters'!$C$18)</f>
        <v>0.8414709848078965</v>
      </c>
      <c r="G24" s="18"/>
    </row>
    <row r="25" spans="1:7" ht="19.5" customHeight="1" x14ac:dyDescent="0.3">
      <c r="A25" s="45" t="s">
        <v>98</v>
      </c>
      <c r="B25" s="15" t="s">
        <v>51</v>
      </c>
      <c r="C25" s="15" t="s">
        <v>52</v>
      </c>
      <c r="D25" s="15">
        <f>COS('Theory &amp; Parameters'!$C$17*'Theory &amp; Parameters'!$C$18)</f>
        <v>0.54030230586813977</v>
      </c>
      <c r="E25" s="46">
        <f>COS('Theory &amp; Parameters'!$C$17*'Theory &amp; Parameters'!$C$18)</f>
        <v>0.54030230586813977</v>
      </c>
      <c r="F25" s="47">
        <f>COS('Theory &amp; Parameters'!$C$17*'Theory &amp; Parameters'!$C$18)</f>
        <v>0.54030230586813977</v>
      </c>
      <c r="G25" s="15"/>
    </row>
    <row r="26" spans="1:7" ht="19.5" customHeight="1" x14ac:dyDescent="0.3">
      <c r="A26" s="17" t="s">
        <v>99</v>
      </c>
      <c r="B26" s="18" t="s">
        <v>53</v>
      </c>
      <c r="C26" s="18" t="s">
        <v>100</v>
      </c>
      <c r="D26" s="18">
        <f>E25/E24</f>
        <v>0.64209261593433076</v>
      </c>
      <c r="E26" s="46">
        <f>E25/E24</f>
        <v>0.64209261593433076</v>
      </c>
      <c r="F26" s="47">
        <f>E25/E24</f>
        <v>0.64209261593433076</v>
      </c>
      <c r="G26" s="18"/>
    </row>
    <row r="27" spans="1:7" ht="19.5" customHeight="1" x14ac:dyDescent="0.3">
      <c r="A27" s="45" t="s">
        <v>101</v>
      </c>
      <c r="B27" s="15" t="s">
        <v>102</v>
      </c>
      <c r="C27" s="15" t="s">
        <v>103</v>
      </c>
      <c r="D27" s="15">
        <f>SQRT('Theory &amp; Parameters'!$C$16*'Theory &amp; Parameters'!$C$17/(2*PI()*'Theory &amp; Parameters'!$C$19*ABS(E24)))</f>
        <v>0.43490108695058904</v>
      </c>
      <c r="E27" s="46">
        <f>SQRT('Theory &amp; Parameters'!$C$16*'Theory &amp; Parameters'!$C$17/(2*PI()*'Theory &amp; Parameters'!$C$19*ABS(E24)))</f>
        <v>0.43490108695058904</v>
      </c>
      <c r="F27" s="47">
        <f>SQRT('Theory &amp; Parameters'!$C$16*'Theory &amp; Parameters'!$C$17/(2*PI()*'Theory &amp; Parameters'!$C$19*ABS(E24)))</f>
        <v>0.43490108695058904</v>
      </c>
      <c r="G27" s="15" t="s">
        <v>104</v>
      </c>
    </row>
    <row r="28" spans="1:7" ht="19.5" customHeight="1" x14ac:dyDescent="0.3">
      <c r="A28" s="17" t="s">
        <v>105</v>
      </c>
      <c r="B28" s="18" t="s">
        <v>106</v>
      </c>
      <c r="C28" s="18" t="s">
        <v>107</v>
      </c>
      <c r="D28" s="18">
        <f>-PI()/4</f>
        <v>-0.78539816339744828</v>
      </c>
      <c r="E28" s="46">
        <f>-PI()/4</f>
        <v>-0.78539816339744828</v>
      </c>
      <c r="F28" s="47">
        <f>-PI()/4</f>
        <v>-0.78539816339744828</v>
      </c>
      <c r="G28" s="18" t="s">
        <v>108</v>
      </c>
    </row>
    <row r="29" spans="1:7" ht="19.5" customHeight="1" x14ac:dyDescent="0.3">
      <c r="A29" s="45" t="s">
        <v>109</v>
      </c>
      <c r="B29" s="15" t="s">
        <v>110</v>
      </c>
      <c r="C29" s="15" t="s">
        <v>111</v>
      </c>
      <c r="D29" s="15">
        <f>'Theory &amp; Parameters'!$C$16*'Theory &amp; Parameters'!$C$17*E26/(2*'Theory &amp; Parameters'!$C$19)</f>
        <v>0.32104630796716538</v>
      </c>
      <c r="E29" s="46">
        <f>'Theory &amp; Parameters'!$C$16*'Theory &amp; Parameters'!$C$17*E26/(2*'Theory &amp; Parameters'!$C$19)</f>
        <v>0.32104630796716538</v>
      </c>
      <c r="F29" s="47">
        <f>'Theory &amp; Parameters'!$C$16*'Theory &amp; Parameters'!$C$17*E26/(2*'Theory &amp; Parameters'!$C$19)</f>
        <v>0.32104630796716538</v>
      </c>
      <c r="G29" s="15" t="s">
        <v>112</v>
      </c>
    </row>
    <row r="30" spans="1:7" ht="19.5" customHeight="1" x14ac:dyDescent="0.3">
      <c r="A30" s="17" t="s">
        <v>113</v>
      </c>
      <c r="B30" s="18" t="s">
        <v>139</v>
      </c>
      <c r="C30" s="18" t="s">
        <v>115</v>
      </c>
      <c r="D30" s="18">
        <f>E29*2.5^2</f>
        <v>2.0065394247947834</v>
      </c>
      <c r="E30" s="46">
        <f>E29*2.5^2</f>
        <v>2.0065394247947834</v>
      </c>
      <c r="F30" s="47">
        <f>E29*2.5^2</f>
        <v>2.0065394247947834</v>
      </c>
      <c r="G30" s="18" t="s">
        <v>116</v>
      </c>
    </row>
    <row r="31" spans="1:7" ht="19.5" customHeight="1" x14ac:dyDescent="0.3">
      <c r="A31" s="45" t="s">
        <v>117</v>
      </c>
      <c r="B31" s="15" t="s">
        <v>118</v>
      </c>
      <c r="C31" s="15" t="s">
        <v>119</v>
      </c>
      <c r="D31" s="15">
        <f>E28+E30</f>
        <v>1.2211412613973351</v>
      </c>
      <c r="E31" s="46">
        <f>E28+E30</f>
        <v>1.2211412613973351</v>
      </c>
      <c r="F31" s="47">
        <f>E28+E30</f>
        <v>1.2211412613973351</v>
      </c>
      <c r="G31" s="15" t="s">
        <v>96</v>
      </c>
    </row>
    <row r="32" spans="1:7" ht="19.5" customHeight="1" x14ac:dyDescent="0.3">
      <c r="A32" s="17" t="s">
        <v>120</v>
      </c>
      <c r="B32" s="18" t="s">
        <v>121</v>
      </c>
      <c r="C32" s="18" t="s">
        <v>122</v>
      </c>
      <c r="D32" s="18">
        <f>E27*COS(E31)</f>
        <v>0.14898570271996639</v>
      </c>
      <c r="E32" s="46">
        <f>E27*COS(E31)</f>
        <v>0.14898570271996639</v>
      </c>
      <c r="F32" s="47">
        <f>E27*COS(E31)</f>
        <v>0.14898570271996639</v>
      </c>
      <c r="G32" s="18"/>
    </row>
    <row r="33" spans="1:7" ht="19.5" customHeight="1" x14ac:dyDescent="0.3">
      <c r="A33" s="45" t="s">
        <v>123</v>
      </c>
      <c r="B33" s="15" t="s">
        <v>124</v>
      </c>
      <c r="C33" s="15" t="s">
        <v>125</v>
      </c>
      <c r="D33" s="15">
        <f>E27*SIN(E31)</f>
        <v>0.40858562849890057</v>
      </c>
      <c r="E33" s="46">
        <f>E27*SIN(E31)</f>
        <v>0.40858562849890057</v>
      </c>
      <c r="F33" s="47">
        <f>E27*SIN(E31)</f>
        <v>0.40858562849890057</v>
      </c>
      <c r="G33" s="15"/>
    </row>
    <row r="34" spans="1:7" ht="19.5" customHeight="1" x14ac:dyDescent="0.3">
      <c r="A34" s="17" t="s">
        <v>126</v>
      </c>
      <c r="B34" s="18" t="s">
        <v>127</v>
      </c>
      <c r="C34" s="18" t="s">
        <v>128</v>
      </c>
      <c r="D34" s="18">
        <f>SQRT(E32^2+E33^2)</f>
        <v>0.43490108695058899</v>
      </c>
      <c r="E34" s="46">
        <f>SQRT(E32^2+E33^2)</f>
        <v>0.43490108695058899</v>
      </c>
      <c r="F34" s="47">
        <f>SQRT(E32^2+E33^2)</f>
        <v>0.43490108695058899</v>
      </c>
      <c r="G34" s="18" t="s">
        <v>129</v>
      </c>
    </row>
    <row r="35" spans="1:7" ht="19.5" customHeight="1" x14ac:dyDescent="0.3">
      <c r="A35" s="45" t="s">
        <v>130</v>
      </c>
      <c r="B35" s="15" t="s">
        <v>131</v>
      </c>
      <c r="C35" s="15" t="s">
        <v>132</v>
      </c>
      <c r="D35" s="15">
        <f>ATAN2(E32,E33)</f>
        <v>1.2211412613973351</v>
      </c>
      <c r="E35" s="46">
        <f>ATAN2(E32,E33)</f>
        <v>1.2211412613973351</v>
      </c>
      <c r="F35" s="47">
        <f>ATAN2(E32,E33)</f>
        <v>1.2211412613973351</v>
      </c>
      <c r="G35" s="15" t="s">
        <v>133</v>
      </c>
    </row>
    <row r="36" spans="1:7" ht="19.5" customHeight="1" x14ac:dyDescent="0.3">
      <c r="A36" s="48" t="s">
        <v>134</v>
      </c>
      <c r="B36" s="49" t="s">
        <v>135</v>
      </c>
      <c r="C36" s="49" t="s">
        <v>136</v>
      </c>
      <c r="D36" s="49" t="str">
        <f>TEXT(E32,"0.000000")&amp;" + "&amp;TEXT(E33,"0.000000")&amp;"·i"</f>
        <v>0.148986 + 0.408586·i</v>
      </c>
      <c r="E36" s="50" t="str">
        <f>TEXT(E32,"0.000000")&amp;" + "&amp;TEXT(E33,"0.000000")&amp;"·i"</f>
        <v>0.148986 + 0.408586·i</v>
      </c>
      <c r="F36" s="49" t="str">
        <f>TEXT(E32,"0.000000")&amp;" + "&amp;TEXT(E33,"0.000000")&amp;"·i"</f>
        <v>0.148986 + 0.408586·i</v>
      </c>
      <c r="G36" s="49" t="s">
        <v>137</v>
      </c>
    </row>
    <row r="39" spans="1:7" ht="19.5" customHeight="1" x14ac:dyDescent="0.3">
      <c r="A39" s="12" t="s">
        <v>140</v>
      </c>
      <c r="B39" s="12"/>
      <c r="C39" s="12"/>
      <c r="D39" s="12"/>
      <c r="E39" s="12"/>
      <c r="F39" s="12"/>
      <c r="G39" s="12"/>
    </row>
    <row r="40" spans="1:7" ht="15.75" customHeight="1" x14ac:dyDescent="0.3">
      <c r="A40" s="44" t="s">
        <v>86</v>
      </c>
      <c r="B40" s="44" t="s">
        <v>87</v>
      </c>
      <c r="C40" s="44" t="s">
        <v>88</v>
      </c>
      <c r="D40" s="44" t="s">
        <v>89</v>
      </c>
      <c r="E40" s="44" t="s">
        <v>90</v>
      </c>
      <c r="F40" s="44" t="s">
        <v>91</v>
      </c>
      <c r="G40" s="44" t="s">
        <v>92</v>
      </c>
    </row>
    <row r="41" spans="1:7" ht="19.5" customHeight="1" x14ac:dyDescent="0.3">
      <c r="A41" s="45" t="s">
        <v>93</v>
      </c>
      <c r="B41" s="15" t="s">
        <v>94</v>
      </c>
      <c r="C41" s="15" t="s">
        <v>95</v>
      </c>
      <c r="D41" s="15">
        <f>'Theory &amp; Parameters'!$C$17*'Theory &amp; Parameters'!$C$18</f>
        <v>1</v>
      </c>
      <c r="E41" s="46">
        <f>'Theory &amp; Parameters'!$C$17*'Theory &amp; Parameters'!$C$18</f>
        <v>1</v>
      </c>
      <c r="F41" s="47">
        <f>'Theory &amp; Parameters'!$C$17*'Theory &amp; Parameters'!$C$18</f>
        <v>1</v>
      </c>
      <c r="G41" s="15" t="s">
        <v>96</v>
      </c>
    </row>
    <row r="42" spans="1:7" ht="19.5" customHeight="1" x14ac:dyDescent="0.3">
      <c r="A42" s="17" t="s">
        <v>97</v>
      </c>
      <c r="B42" s="18" t="s">
        <v>49</v>
      </c>
      <c r="C42" s="18" t="s">
        <v>50</v>
      </c>
      <c r="D42" s="18">
        <f>SIN('Theory &amp; Parameters'!$C$17*'Theory &amp; Parameters'!$C$18)</f>
        <v>0.8414709848078965</v>
      </c>
      <c r="E42" s="46">
        <f>SIN('Theory &amp; Parameters'!$C$17*'Theory &amp; Parameters'!$C$18)</f>
        <v>0.8414709848078965</v>
      </c>
      <c r="F42" s="47">
        <f>SIN('Theory &amp; Parameters'!$C$17*'Theory &amp; Parameters'!$C$18)</f>
        <v>0.8414709848078965</v>
      </c>
      <c r="G42" s="18"/>
    </row>
    <row r="43" spans="1:7" ht="19.5" customHeight="1" x14ac:dyDescent="0.3">
      <c r="A43" s="45" t="s">
        <v>98</v>
      </c>
      <c r="B43" s="15" t="s">
        <v>51</v>
      </c>
      <c r="C43" s="15" t="s">
        <v>52</v>
      </c>
      <c r="D43" s="15">
        <f>COS('Theory &amp; Parameters'!$C$17*'Theory &amp; Parameters'!$C$18)</f>
        <v>0.54030230586813977</v>
      </c>
      <c r="E43" s="46">
        <f>COS('Theory &amp; Parameters'!$C$17*'Theory &amp; Parameters'!$C$18)</f>
        <v>0.54030230586813977</v>
      </c>
      <c r="F43" s="47">
        <f>COS('Theory &amp; Parameters'!$C$17*'Theory &amp; Parameters'!$C$18)</f>
        <v>0.54030230586813977</v>
      </c>
      <c r="G43" s="15"/>
    </row>
    <row r="44" spans="1:7" ht="19.5" customHeight="1" x14ac:dyDescent="0.3">
      <c r="A44" s="17" t="s">
        <v>99</v>
      </c>
      <c r="B44" s="18" t="s">
        <v>53</v>
      </c>
      <c r="C44" s="18" t="s">
        <v>100</v>
      </c>
      <c r="D44" s="18">
        <f>E43/E42</f>
        <v>0.64209261593433076</v>
      </c>
      <c r="E44" s="46">
        <f>E43/E42</f>
        <v>0.64209261593433076</v>
      </c>
      <c r="F44" s="47">
        <f>E43/E42</f>
        <v>0.64209261593433076</v>
      </c>
      <c r="G44" s="18"/>
    </row>
    <row r="45" spans="1:7" ht="19.5" customHeight="1" x14ac:dyDescent="0.3">
      <c r="A45" s="45" t="s">
        <v>101</v>
      </c>
      <c r="B45" s="15" t="s">
        <v>102</v>
      </c>
      <c r="C45" s="15" t="s">
        <v>103</v>
      </c>
      <c r="D45" s="15">
        <f>SQRT('Theory &amp; Parameters'!$C$16*'Theory &amp; Parameters'!$C$17/(2*PI()*'Theory &amp; Parameters'!$C$19*ABS(E42)))</f>
        <v>0.43490108695058904</v>
      </c>
      <c r="E45" s="46">
        <f>SQRT('Theory &amp; Parameters'!$C$16*'Theory &amp; Parameters'!$C$17/(2*PI()*'Theory &amp; Parameters'!$C$19*ABS(E42)))</f>
        <v>0.43490108695058904</v>
      </c>
      <c r="F45" s="47">
        <f>SQRT('Theory &amp; Parameters'!$C$16*'Theory &amp; Parameters'!$C$17/(2*PI()*'Theory &amp; Parameters'!$C$19*ABS(E42)))</f>
        <v>0.43490108695058904</v>
      </c>
      <c r="G45" s="15" t="s">
        <v>104</v>
      </c>
    </row>
    <row r="46" spans="1:7" ht="19.5" customHeight="1" x14ac:dyDescent="0.3">
      <c r="A46" s="17" t="s">
        <v>105</v>
      </c>
      <c r="B46" s="18" t="s">
        <v>106</v>
      </c>
      <c r="C46" s="18" t="s">
        <v>107</v>
      </c>
      <c r="D46" s="18">
        <f>-PI()/4</f>
        <v>-0.78539816339744828</v>
      </c>
      <c r="E46" s="46">
        <f>-PI()/4</f>
        <v>-0.78539816339744828</v>
      </c>
      <c r="F46" s="47">
        <f>-PI()/4</f>
        <v>-0.78539816339744828</v>
      </c>
      <c r="G46" s="18" t="s">
        <v>108</v>
      </c>
    </row>
    <row r="47" spans="1:7" ht="19.5" customHeight="1" x14ac:dyDescent="0.3">
      <c r="A47" s="45" t="s">
        <v>109</v>
      </c>
      <c r="B47" s="15" t="s">
        <v>110</v>
      </c>
      <c r="C47" s="15" t="s">
        <v>111</v>
      </c>
      <c r="D47" s="15">
        <f>'Theory &amp; Parameters'!$C$16*'Theory &amp; Parameters'!$C$17*E44/(2*'Theory &amp; Parameters'!$C$19)</f>
        <v>0.32104630796716538</v>
      </c>
      <c r="E47" s="46">
        <f>'Theory &amp; Parameters'!$C$16*'Theory &amp; Parameters'!$C$17*E44/(2*'Theory &amp; Parameters'!$C$19)</f>
        <v>0.32104630796716538</v>
      </c>
      <c r="F47" s="47">
        <f>'Theory &amp; Parameters'!$C$16*'Theory &amp; Parameters'!$C$17*E44/(2*'Theory &amp; Parameters'!$C$19)</f>
        <v>0.32104630796716538</v>
      </c>
      <c r="G47" s="15" t="s">
        <v>112</v>
      </c>
    </row>
    <row r="48" spans="1:7" ht="19.5" customHeight="1" x14ac:dyDescent="0.3">
      <c r="A48" s="17" t="s">
        <v>113</v>
      </c>
      <c r="B48" s="18" t="s">
        <v>141</v>
      </c>
      <c r="C48" s="18" t="s">
        <v>115</v>
      </c>
      <c r="D48" s="18">
        <f>E47*5^2</f>
        <v>8.0261576991791337</v>
      </c>
      <c r="E48" s="46">
        <f>E47*5^2</f>
        <v>8.0261576991791337</v>
      </c>
      <c r="F48" s="47">
        <f>E47*5^2</f>
        <v>8.0261576991791337</v>
      </c>
      <c r="G48" s="18" t="s">
        <v>116</v>
      </c>
    </row>
    <row r="49" spans="1:7" ht="19.5" customHeight="1" x14ac:dyDescent="0.3">
      <c r="A49" s="45" t="s">
        <v>117</v>
      </c>
      <c r="B49" s="15" t="s">
        <v>118</v>
      </c>
      <c r="C49" s="15" t="s">
        <v>119</v>
      </c>
      <c r="D49" s="15">
        <f>E46+E48</f>
        <v>7.2407595357816854</v>
      </c>
      <c r="E49" s="46">
        <f>E46+E48</f>
        <v>7.2407595357816854</v>
      </c>
      <c r="F49" s="47">
        <f>E46+E48</f>
        <v>7.2407595357816854</v>
      </c>
      <c r="G49" s="15" t="s">
        <v>96</v>
      </c>
    </row>
    <row r="50" spans="1:7" ht="19.5" customHeight="1" x14ac:dyDescent="0.3">
      <c r="A50" s="17" t="s">
        <v>120</v>
      </c>
      <c r="B50" s="18" t="s">
        <v>121</v>
      </c>
      <c r="C50" s="18" t="s">
        <v>122</v>
      </c>
      <c r="D50" s="18">
        <f>E45*COS(E49)</f>
        <v>0.2502879536658365</v>
      </c>
      <c r="E50" s="46">
        <f>E45*COS(E49)</f>
        <v>0.2502879536658365</v>
      </c>
      <c r="F50" s="47">
        <f>E45*COS(E49)</f>
        <v>0.2502879536658365</v>
      </c>
      <c r="G50" s="18"/>
    </row>
    <row r="51" spans="1:7" ht="19.5" customHeight="1" x14ac:dyDescent="0.3">
      <c r="A51" s="45" t="s">
        <v>123</v>
      </c>
      <c r="B51" s="15" t="s">
        <v>124</v>
      </c>
      <c r="C51" s="15" t="s">
        <v>125</v>
      </c>
      <c r="D51" s="15">
        <f>E45*SIN(E49)</f>
        <v>0.35566120913106603</v>
      </c>
      <c r="E51" s="46">
        <f>E45*SIN(E49)</f>
        <v>0.35566120913106603</v>
      </c>
      <c r="F51" s="47">
        <f>E45*SIN(E49)</f>
        <v>0.35566120913106603</v>
      </c>
      <c r="G51" s="15"/>
    </row>
    <row r="52" spans="1:7" ht="19.5" customHeight="1" x14ac:dyDescent="0.3">
      <c r="A52" s="17" t="s">
        <v>126</v>
      </c>
      <c r="B52" s="18" t="s">
        <v>127</v>
      </c>
      <c r="C52" s="18" t="s">
        <v>128</v>
      </c>
      <c r="D52" s="18">
        <f>SQRT(E50^2+E51^2)</f>
        <v>0.43490108695058899</v>
      </c>
      <c r="E52" s="46">
        <f>SQRT(E50^2+E51^2)</f>
        <v>0.43490108695058899</v>
      </c>
      <c r="F52" s="47">
        <f>SQRT(E50^2+E51^2)</f>
        <v>0.43490108695058899</v>
      </c>
      <c r="G52" s="18" t="s">
        <v>129</v>
      </c>
    </row>
    <row r="53" spans="1:7" ht="19.5" customHeight="1" x14ac:dyDescent="0.3">
      <c r="A53" s="45" t="s">
        <v>130</v>
      </c>
      <c r="B53" s="15" t="s">
        <v>131</v>
      </c>
      <c r="C53" s="15" t="s">
        <v>132</v>
      </c>
      <c r="D53" s="15">
        <f>ATAN2(E50,E51)</f>
        <v>0.95757422860209884</v>
      </c>
      <c r="E53" s="46">
        <f>ATAN2(E50,E51)</f>
        <v>0.95757422860209884</v>
      </c>
      <c r="F53" s="47">
        <f>ATAN2(E50,E51)</f>
        <v>0.95757422860209884</v>
      </c>
      <c r="G53" s="15" t="s">
        <v>133</v>
      </c>
    </row>
    <row r="54" spans="1:7" ht="19.5" customHeight="1" x14ac:dyDescent="0.3">
      <c r="A54" s="48" t="s">
        <v>134</v>
      </c>
      <c r="B54" s="49" t="s">
        <v>135</v>
      </c>
      <c r="C54" s="49" t="s">
        <v>136</v>
      </c>
      <c r="D54" s="49" t="str">
        <f>TEXT(E50,"0.000000")&amp;" + "&amp;TEXT(E51,"0.000000")&amp;"·i"</f>
        <v>0.250288 + 0.355661·i</v>
      </c>
      <c r="E54" s="50" t="str">
        <f>TEXT(E50,"0.000000")&amp;" + "&amp;TEXT(E51,"0.000000")&amp;"·i"</f>
        <v>0.250288 + 0.355661·i</v>
      </c>
      <c r="F54" s="49" t="str">
        <f>TEXT(E50,"0.000000")&amp;" + "&amp;TEXT(E51,"0.000000")&amp;"·i"</f>
        <v>0.250288 + 0.355661·i</v>
      </c>
      <c r="G54" s="49" t="s">
        <v>137</v>
      </c>
    </row>
    <row r="57" spans="1:7" ht="19.5" customHeight="1" x14ac:dyDescent="0.3">
      <c r="A57" s="12" t="s">
        <v>142</v>
      </c>
      <c r="B57" s="12"/>
      <c r="C57" s="12"/>
      <c r="D57" s="12"/>
      <c r="E57" s="12"/>
      <c r="F57" s="12"/>
      <c r="G57" s="12"/>
    </row>
    <row r="58" spans="1:7" ht="15.75" customHeight="1" x14ac:dyDescent="0.3">
      <c r="A58" s="44" t="s">
        <v>86</v>
      </c>
      <c r="B58" s="44" t="s">
        <v>87</v>
      </c>
      <c r="C58" s="44" t="s">
        <v>88</v>
      </c>
      <c r="D58" s="44" t="s">
        <v>89</v>
      </c>
      <c r="E58" s="44" t="s">
        <v>90</v>
      </c>
      <c r="F58" s="44" t="s">
        <v>91</v>
      </c>
      <c r="G58" s="44" t="s">
        <v>92</v>
      </c>
    </row>
    <row r="59" spans="1:7" ht="19.5" customHeight="1" x14ac:dyDescent="0.3">
      <c r="A59" s="45" t="s">
        <v>93</v>
      </c>
      <c r="B59" s="15" t="s">
        <v>94</v>
      </c>
      <c r="C59" s="15" t="s">
        <v>95</v>
      </c>
      <c r="D59" s="15">
        <f>'Theory &amp; Parameters'!$C$17*'Theory &amp; Parameters'!$C$18</f>
        <v>1</v>
      </c>
      <c r="E59" s="46">
        <f>'Theory &amp; Parameters'!$C$17*'Theory &amp; Parameters'!$C$18</f>
        <v>1</v>
      </c>
      <c r="F59" s="47">
        <f>'Theory &amp; Parameters'!$C$17*'Theory &amp; Parameters'!$C$18</f>
        <v>1</v>
      </c>
      <c r="G59" s="15" t="s">
        <v>96</v>
      </c>
    </row>
    <row r="60" spans="1:7" ht="19.5" customHeight="1" x14ac:dyDescent="0.3">
      <c r="A60" s="17" t="s">
        <v>97</v>
      </c>
      <c r="B60" s="18" t="s">
        <v>49</v>
      </c>
      <c r="C60" s="18" t="s">
        <v>50</v>
      </c>
      <c r="D60" s="18">
        <f>SIN('Theory &amp; Parameters'!$C$17*'Theory &amp; Parameters'!$C$18)</f>
        <v>0.8414709848078965</v>
      </c>
      <c r="E60" s="46">
        <f>SIN('Theory &amp; Parameters'!$C$17*'Theory &amp; Parameters'!$C$18)</f>
        <v>0.8414709848078965</v>
      </c>
      <c r="F60" s="47">
        <f>SIN('Theory &amp; Parameters'!$C$17*'Theory &amp; Parameters'!$C$18)</f>
        <v>0.8414709848078965</v>
      </c>
      <c r="G60" s="18"/>
    </row>
    <row r="61" spans="1:7" ht="19.5" customHeight="1" x14ac:dyDescent="0.3">
      <c r="A61" s="45" t="s">
        <v>98</v>
      </c>
      <c r="B61" s="15" t="s">
        <v>51</v>
      </c>
      <c r="C61" s="15" t="s">
        <v>52</v>
      </c>
      <c r="D61" s="15">
        <f>COS('Theory &amp; Parameters'!$C$17*'Theory &amp; Parameters'!$C$18)</f>
        <v>0.54030230586813977</v>
      </c>
      <c r="E61" s="46">
        <f>COS('Theory &amp; Parameters'!$C$17*'Theory &amp; Parameters'!$C$18)</f>
        <v>0.54030230586813977</v>
      </c>
      <c r="F61" s="47">
        <f>COS('Theory &amp; Parameters'!$C$17*'Theory &amp; Parameters'!$C$18)</f>
        <v>0.54030230586813977</v>
      </c>
      <c r="G61" s="15"/>
    </row>
    <row r="62" spans="1:7" ht="19.5" customHeight="1" x14ac:dyDescent="0.3">
      <c r="A62" s="17" t="s">
        <v>99</v>
      </c>
      <c r="B62" s="18" t="s">
        <v>53</v>
      </c>
      <c r="C62" s="18" t="s">
        <v>100</v>
      </c>
      <c r="D62" s="18">
        <f>E61/E60</f>
        <v>0.64209261593433076</v>
      </c>
      <c r="E62" s="46">
        <f>E61/E60</f>
        <v>0.64209261593433076</v>
      </c>
      <c r="F62" s="47">
        <f>E61/E60</f>
        <v>0.64209261593433076</v>
      </c>
      <c r="G62" s="18"/>
    </row>
    <row r="63" spans="1:7" ht="19.5" customHeight="1" x14ac:dyDescent="0.3">
      <c r="A63" s="45" t="s">
        <v>101</v>
      </c>
      <c r="B63" s="15" t="s">
        <v>102</v>
      </c>
      <c r="C63" s="15" t="s">
        <v>103</v>
      </c>
      <c r="D63" s="15">
        <f>SQRT('Theory &amp; Parameters'!$C$16*'Theory &amp; Parameters'!$C$17/(2*PI()*'Theory &amp; Parameters'!$C$19*ABS(E60)))</f>
        <v>0.43490108695058904</v>
      </c>
      <c r="E63" s="46">
        <f>SQRT('Theory &amp; Parameters'!$C$16*'Theory &amp; Parameters'!$C$17/(2*PI()*'Theory &amp; Parameters'!$C$19*ABS(E60)))</f>
        <v>0.43490108695058904</v>
      </c>
      <c r="F63" s="47">
        <f>SQRT('Theory &amp; Parameters'!$C$16*'Theory &amp; Parameters'!$C$17/(2*PI()*'Theory &amp; Parameters'!$C$19*ABS(E60)))</f>
        <v>0.43490108695058904</v>
      </c>
      <c r="G63" s="15" t="s">
        <v>104</v>
      </c>
    </row>
    <row r="64" spans="1:7" ht="19.5" customHeight="1" x14ac:dyDescent="0.3">
      <c r="A64" s="17" t="s">
        <v>105</v>
      </c>
      <c r="B64" s="18" t="s">
        <v>106</v>
      </c>
      <c r="C64" s="18" t="s">
        <v>107</v>
      </c>
      <c r="D64" s="18">
        <f>-PI()/4</f>
        <v>-0.78539816339744828</v>
      </c>
      <c r="E64" s="46">
        <f>-PI()/4</f>
        <v>-0.78539816339744828</v>
      </c>
      <c r="F64" s="47">
        <f>-PI()/4</f>
        <v>-0.78539816339744828</v>
      </c>
      <c r="G64" s="18" t="s">
        <v>108</v>
      </c>
    </row>
    <row r="65" spans="1:7" ht="19.5" customHeight="1" x14ac:dyDescent="0.3">
      <c r="A65" s="45" t="s">
        <v>109</v>
      </c>
      <c r="B65" s="15" t="s">
        <v>110</v>
      </c>
      <c r="C65" s="15" t="s">
        <v>111</v>
      </c>
      <c r="D65" s="15">
        <f>'Theory &amp; Parameters'!$C$16*'Theory &amp; Parameters'!$C$17*E62/(2*'Theory &amp; Parameters'!$C$19)</f>
        <v>0.32104630796716538</v>
      </c>
      <c r="E65" s="46">
        <f>'Theory &amp; Parameters'!$C$16*'Theory &amp; Parameters'!$C$17*E62/(2*'Theory &amp; Parameters'!$C$19)</f>
        <v>0.32104630796716538</v>
      </c>
      <c r="F65" s="47">
        <f>'Theory &amp; Parameters'!$C$16*'Theory &amp; Parameters'!$C$17*E62/(2*'Theory &amp; Parameters'!$C$19)</f>
        <v>0.32104630796716538</v>
      </c>
      <c r="G65" s="15" t="s">
        <v>112</v>
      </c>
    </row>
    <row r="66" spans="1:7" ht="19.5" customHeight="1" x14ac:dyDescent="0.3">
      <c r="A66" s="17" t="s">
        <v>113</v>
      </c>
      <c r="B66" s="18" t="s">
        <v>143</v>
      </c>
      <c r="C66" s="18" t="s">
        <v>115</v>
      </c>
      <c r="D66" s="18">
        <f>E65*7.5^2</f>
        <v>18.058854823153052</v>
      </c>
      <c r="E66" s="46">
        <f>E65*7.5^2</f>
        <v>18.058854823153052</v>
      </c>
      <c r="F66" s="47">
        <f>E65*7.5^2</f>
        <v>18.058854823153052</v>
      </c>
      <c r="G66" s="18" t="s">
        <v>116</v>
      </c>
    </row>
    <row r="67" spans="1:7" ht="19.5" customHeight="1" x14ac:dyDescent="0.3">
      <c r="A67" s="45" t="s">
        <v>117</v>
      </c>
      <c r="B67" s="15" t="s">
        <v>118</v>
      </c>
      <c r="C67" s="15" t="s">
        <v>119</v>
      </c>
      <c r="D67" s="15">
        <f>E64+E66</f>
        <v>17.273456659755603</v>
      </c>
      <c r="E67" s="46">
        <f>E64+E66</f>
        <v>17.273456659755603</v>
      </c>
      <c r="F67" s="47">
        <f>E64+E66</f>
        <v>17.273456659755603</v>
      </c>
      <c r="G67" s="15" t="s">
        <v>96</v>
      </c>
    </row>
    <row r="68" spans="1:7" ht="19.5" customHeight="1" x14ac:dyDescent="0.3">
      <c r="A68" s="17" t="s">
        <v>120</v>
      </c>
      <c r="B68" s="18" t="s">
        <v>121</v>
      </c>
      <c r="C68" s="18" t="s">
        <v>122</v>
      </c>
      <c r="D68" s="18">
        <f>E63*COS(E67)</f>
        <v>-2.3062413813723401E-3</v>
      </c>
      <c r="E68" s="46">
        <f>E63*COS(E67)</f>
        <v>-2.3062413813723401E-3</v>
      </c>
      <c r="F68" s="47">
        <f>E63*COS(E67)</f>
        <v>-2.3062413813723401E-3</v>
      </c>
      <c r="G68" s="18"/>
    </row>
    <row r="69" spans="1:7" ht="19.5" customHeight="1" x14ac:dyDescent="0.3">
      <c r="A69" s="45" t="s">
        <v>123</v>
      </c>
      <c r="B69" s="15" t="s">
        <v>124</v>
      </c>
      <c r="C69" s="15" t="s">
        <v>125</v>
      </c>
      <c r="D69" s="15">
        <f>E63*SIN(E67)</f>
        <v>-0.43489497201220279</v>
      </c>
      <c r="E69" s="46">
        <f>E63*SIN(E67)</f>
        <v>-0.43489497201220279</v>
      </c>
      <c r="F69" s="47">
        <f>E63*SIN(E67)</f>
        <v>-0.43489497201220279</v>
      </c>
      <c r="G69" s="15"/>
    </row>
    <row r="70" spans="1:7" ht="19.5" customHeight="1" x14ac:dyDescent="0.3">
      <c r="A70" s="17" t="s">
        <v>126</v>
      </c>
      <c r="B70" s="18" t="s">
        <v>127</v>
      </c>
      <c r="C70" s="18" t="s">
        <v>128</v>
      </c>
      <c r="D70" s="18">
        <f>SQRT(E68^2+E69^2)</f>
        <v>0.43490108695058899</v>
      </c>
      <c r="E70" s="46">
        <f>SQRT(E68^2+E69^2)</f>
        <v>0.43490108695058899</v>
      </c>
      <c r="F70" s="47">
        <f>SQRT(E68^2+E69^2)</f>
        <v>0.43490108695058899</v>
      </c>
      <c r="G70" s="18" t="s">
        <v>129</v>
      </c>
    </row>
    <row r="71" spans="1:7" ht="19.5" customHeight="1" x14ac:dyDescent="0.3">
      <c r="A71" s="45" t="s">
        <v>130</v>
      </c>
      <c r="B71" s="15" t="s">
        <v>131</v>
      </c>
      <c r="C71" s="15" t="s">
        <v>132</v>
      </c>
      <c r="D71" s="15">
        <f>ATAN2(E68,E69)</f>
        <v>-1.5760992617831568</v>
      </c>
      <c r="E71" s="46">
        <f>ATAN2(E68,E69)</f>
        <v>-1.5760992617831568</v>
      </c>
      <c r="F71" s="47">
        <f>ATAN2(E68,E69)</f>
        <v>-1.5760992617831568</v>
      </c>
      <c r="G71" s="15" t="s">
        <v>133</v>
      </c>
    </row>
    <row r="72" spans="1:7" ht="19.5" customHeight="1" x14ac:dyDescent="0.3">
      <c r="A72" s="48" t="s">
        <v>134</v>
      </c>
      <c r="B72" s="49" t="s">
        <v>135</v>
      </c>
      <c r="C72" s="49" t="s">
        <v>136</v>
      </c>
      <c r="D72" s="49" t="str">
        <f>TEXT(E68,"0.000000")&amp;" + "&amp;TEXT(E69,"0.000000")&amp;"·i"</f>
        <v>-0.002306 + -0.434895·i</v>
      </c>
      <c r="E72" s="50" t="str">
        <f>TEXT(E68,"0.000000")&amp;" + "&amp;TEXT(E69,"0.000000")&amp;"·i"</f>
        <v>-0.002306 + -0.434895·i</v>
      </c>
      <c r="F72" s="49" t="str">
        <f>TEXT(E68,"0.000000")&amp;" + "&amp;TEXT(E69,"0.000000")&amp;"·i"</f>
        <v>-0.002306 + -0.434895·i</v>
      </c>
      <c r="G72" s="49" t="s">
        <v>137</v>
      </c>
    </row>
    <row r="75" spans="1:7" ht="19.5" customHeight="1" x14ac:dyDescent="0.3">
      <c r="A75" s="12" t="s">
        <v>144</v>
      </c>
      <c r="B75" s="12"/>
      <c r="C75" s="12"/>
      <c r="D75" s="12"/>
      <c r="E75" s="12"/>
      <c r="F75" s="12"/>
      <c r="G75" s="12"/>
    </row>
    <row r="76" spans="1:7" ht="15.75" customHeight="1" x14ac:dyDescent="0.3">
      <c r="A76" s="44" t="s">
        <v>86</v>
      </c>
      <c r="B76" s="44" t="s">
        <v>87</v>
      </c>
      <c r="C76" s="44" t="s">
        <v>88</v>
      </c>
      <c r="D76" s="44" t="s">
        <v>89</v>
      </c>
      <c r="E76" s="44" t="s">
        <v>90</v>
      </c>
      <c r="F76" s="44" t="s">
        <v>91</v>
      </c>
      <c r="G76" s="44" t="s">
        <v>92</v>
      </c>
    </row>
    <row r="77" spans="1:7" ht="19.5" customHeight="1" x14ac:dyDescent="0.3">
      <c r="A77" s="45" t="s">
        <v>93</v>
      </c>
      <c r="B77" s="15" t="s">
        <v>94</v>
      </c>
      <c r="C77" s="15" t="s">
        <v>95</v>
      </c>
      <c r="D77" s="15">
        <f>'Theory &amp; Parameters'!$C$17*'Theory &amp; Parameters'!$C$18</f>
        <v>1</v>
      </c>
      <c r="E77" s="46">
        <f>'Theory &amp; Parameters'!$C$17*'Theory &amp; Parameters'!$C$18</f>
        <v>1</v>
      </c>
      <c r="F77" s="47">
        <f>'Theory &amp; Parameters'!$C$17*'Theory &amp; Parameters'!$C$18</f>
        <v>1</v>
      </c>
      <c r="G77" s="15" t="s">
        <v>96</v>
      </c>
    </row>
    <row r="78" spans="1:7" ht="19.5" customHeight="1" x14ac:dyDescent="0.3">
      <c r="A78" s="17" t="s">
        <v>97</v>
      </c>
      <c r="B78" s="18" t="s">
        <v>49</v>
      </c>
      <c r="C78" s="18" t="s">
        <v>50</v>
      </c>
      <c r="D78" s="18">
        <f>SIN('Theory &amp; Parameters'!$C$17*'Theory &amp; Parameters'!$C$18)</f>
        <v>0.8414709848078965</v>
      </c>
      <c r="E78" s="46">
        <f>SIN('Theory &amp; Parameters'!$C$17*'Theory &amp; Parameters'!$C$18)</f>
        <v>0.8414709848078965</v>
      </c>
      <c r="F78" s="47">
        <f>SIN('Theory &amp; Parameters'!$C$17*'Theory &amp; Parameters'!$C$18)</f>
        <v>0.8414709848078965</v>
      </c>
      <c r="G78" s="18"/>
    </row>
    <row r="79" spans="1:7" ht="19.5" customHeight="1" x14ac:dyDescent="0.3">
      <c r="A79" s="45" t="s">
        <v>98</v>
      </c>
      <c r="B79" s="15" t="s">
        <v>51</v>
      </c>
      <c r="C79" s="15" t="s">
        <v>52</v>
      </c>
      <c r="D79" s="15">
        <f>COS('Theory &amp; Parameters'!$C$17*'Theory &amp; Parameters'!$C$18)</f>
        <v>0.54030230586813977</v>
      </c>
      <c r="E79" s="46">
        <f>COS('Theory &amp; Parameters'!$C$17*'Theory &amp; Parameters'!$C$18)</f>
        <v>0.54030230586813977</v>
      </c>
      <c r="F79" s="47">
        <f>COS('Theory &amp; Parameters'!$C$17*'Theory &amp; Parameters'!$C$18)</f>
        <v>0.54030230586813977</v>
      </c>
      <c r="G79" s="15"/>
    </row>
    <row r="80" spans="1:7" ht="19.5" customHeight="1" x14ac:dyDescent="0.3">
      <c r="A80" s="17" t="s">
        <v>99</v>
      </c>
      <c r="B80" s="18" t="s">
        <v>53</v>
      </c>
      <c r="C80" s="18" t="s">
        <v>100</v>
      </c>
      <c r="D80" s="18">
        <f>E79/E78</f>
        <v>0.64209261593433076</v>
      </c>
      <c r="E80" s="46">
        <f>E79/E78</f>
        <v>0.64209261593433076</v>
      </c>
      <c r="F80" s="47">
        <f>E79/E78</f>
        <v>0.64209261593433076</v>
      </c>
      <c r="G80" s="18"/>
    </row>
    <row r="81" spans="1:7" ht="19.5" customHeight="1" x14ac:dyDescent="0.3">
      <c r="A81" s="45" t="s">
        <v>101</v>
      </c>
      <c r="B81" s="15" t="s">
        <v>102</v>
      </c>
      <c r="C81" s="15" t="s">
        <v>103</v>
      </c>
      <c r="D81" s="15">
        <f>SQRT('Theory &amp; Parameters'!$C$16*'Theory &amp; Parameters'!$C$17/(2*PI()*'Theory &amp; Parameters'!$C$19*ABS(E78)))</f>
        <v>0.43490108695058904</v>
      </c>
      <c r="E81" s="46">
        <f>SQRT('Theory &amp; Parameters'!$C$16*'Theory &amp; Parameters'!$C$17/(2*PI()*'Theory &amp; Parameters'!$C$19*ABS(E78)))</f>
        <v>0.43490108695058904</v>
      </c>
      <c r="F81" s="47">
        <f>SQRT('Theory &amp; Parameters'!$C$16*'Theory &amp; Parameters'!$C$17/(2*PI()*'Theory &amp; Parameters'!$C$19*ABS(E78)))</f>
        <v>0.43490108695058904</v>
      </c>
      <c r="G81" s="15" t="s">
        <v>104</v>
      </c>
    </row>
    <row r="82" spans="1:7" ht="19.5" customHeight="1" x14ac:dyDescent="0.3">
      <c r="A82" s="17" t="s">
        <v>105</v>
      </c>
      <c r="B82" s="18" t="s">
        <v>106</v>
      </c>
      <c r="C82" s="18" t="s">
        <v>107</v>
      </c>
      <c r="D82" s="18">
        <f>-PI()/4</f>
        <v>-0.78539816339744828</v>
      </c>
      <c r="E82" s="46">
        <f>-PI()/4</f>
        <v>-0.78539816339744828</v>
      </c>
      <c r="F82" s="47">
        <f>-PI()/4</f>
        <v>-0.78539816339744828</v>
      </c>
      <c r="G82" s="18" t="s">
        <v>108</v>
      </c>
    </row>
    <row r="83" spans="1:7" ht="19.5" customHeight="1" x14ac:dyDescent="0.3">
      <c r="A83" s="45" t="s">
        <v>109</v>
      </c>
      <c r="B83" s="15" t="s">
        <v>110</v>
      </c>
      <c r="C83" s="15" t="s">
        <v>111</v>
      </c>
      <c r="D83" s="15">
        <f>'Theory &amp; Parameters'!$C$16*'Theory &amp; Parameters'!$C$17*E80/(2*'Theory &amp; Parameters'!$C$19)</f>
        <v>0.32104630796716538</v>
      </c>
      <c r="E83" s="46">
        <f>'Theory &amp; Parameters'!$C$16*'Theory &amp; Parameters'!$C$17*E80/(2*'Theory &amp; Parameters'!$C$19)</f>
        <v>0.32104630796716538</v>
      </c>
      <c r="F83" s="47">
        <f>'Theory &amp; Parameters'!$C$16*'Theory &amp; Parameters'!$C$17*E80/(2*'Theory &amp; Parameters'!$C$19)</f>
        <v>0.32104630796716538</v>
      </c>
      <c r="G83" s="15" t="s">
        <v>112</v>
      </c>
    </row>
    <row r="84" spans="1:7" ht="19.5" customHeight="1" x14ac:dyDescent="0.3">
      <c r="A84" s="17" t="s">
        <v>113</v>
      </c>
      <c r="B84" s="18" t="s">
        <v>145</v>
      </c>
      <c r="C84" s="18" t="s">
        <v>115</v>
      </c>
      <c r="D84" s="18">
        <f>E83*10^2</f>
        <v>32.104630796716535</v>
      </c>
      <c r="E84" s="46">
        <f>E83*10^2</f>
        <v>32.104630796716535</v>
      </c>
      <c r="F84" s="47">
        <f>E83*10^2</f>
        <v>32.104630796716535</v>
      </c>
      <c r="G84" s="18" t="s">
        <v>116</v>
      </c>
    </row>
    <row r="85" spans="1:7" ht="19.5" customHeight="1" x14ac:dyDescent="0.3">
      <c r="A85" s="45" t="s">
        <v>117</v>
      </c>
      <c r="B85" s="15" t="s">
        <v>118</v>
      </c>
      <c r="C85" s="15" t="s">
        <v>119</v>
      </c>
      <c r="D85" s="15">
        <f>E82+E84</f>
        <v>31.319232633319086</v>
      </c>
      <c r="E85" s="46">
        <f>E82+E84</f>
        <v>31.319232633319086</v>
      </c>
      <c r="F85" s="47">
        <f>E82+E84</f>
        <v>31.319232633319086</v>
      </c>
      <c r="G85" s="15" t="s">
        <v>96</v>
      </c>
    </row>
    <row r="86" spans="1:7" ht="19.5" customHeight="1" x14ac:dyDescent="0.3">
      <c r="A86" s="17" t="s">
        <v>120</v>
      </c>
      <c r="B86" s="18" t="s">
        <v>121</v>
      </c>
      <c r="C86" s="18" t="s">
        <v>122</v>
      </c>
      <c r="D86" s="18">
        <f>E81*COS(E85)</f>
        <v>0.43286957083758537</v>
      </c>
      <c r="E86" s="46">
        <f>E81*COS(E85)</f>
        <v>0.43286957083758537</v>
      </c>
      <c r="F86" s="47">
        <f>E81*COS(E85)</f>
        <v>0.43286957083758537</v>
      </c>
      <c r="G86" s="18"/>
    </row>
    <row r="87" spans="1:7" ht="19.5" customHeight="1" x14ac:dyDescent="0.3">
      <c r="A87" s="45" t="s">
        <v>123</v>
      </c>
      <c r="B87" s="15" t="s">
        <v>124</v>
      </c>
      <c r="C87" s="15" t="s">
        <v>125</v>
      </c>
      <c r="D87" s="15">
        <f>E81*SIN(E85)</f>
        <v>-4.198678451237349E-2</v>
      </c>
      <c r="E87" s="46">
        <f>E81*SIN(E85)</f>
        <v>-4.198678451237349E-2</v>
      </c>
      <c r="F87" s="47">
        <f>E81*SIN(E85)</f>
        <v>-4.198678451237349E-2</v>
      </c>
      <c r="G87" s="15"/>
    </row>
    <row r="88" spans="1:7" ht="19.5" customHeight="1" x14ac:dyDescent="0.3">
      <c r="A88" s="17" t="s">
        <v>126</v>
      </c>
      <c r="B88" s="18" t="s">
        <v>127</v>
      </c>
      <c r="C88" s="18" t="s">
        <v>128</v>
      </c>
      <c r="D88" s="18">
        <f>SQRT(E86^2+E87^2)</f>
        <v>0.43490108695058904</v>
      </c>
      <c r="E88" s="46">
        <f>SQRT(E86^2+E87^2)</f>
        <v>0.43490108695058904</v>
      </c>
      <c r="F88" s="47">
        <f>SQRT(E86^2+E87^2)</f>
        <v>0.43490108695058904</v>
      </c>
      <c r="G88" s="18" t="s">
        <v>129</v>
      </c>
    </row>
    <row r="89" spans="1:7" ht="19.5" customHeight="1" x14ac:dyDescent="0.3">
      <c r="A89" s="45" t="s">
        <v>130</v>
      </c>
      <c r="B89" s="15" t="s">
        <v>131</v>
      </c>
      <c r="C89" s="15" t="s">
        <v>132</v>
      </c>
      <c r="D89" s="15">
        <f>ATAN2(E86,E87)</f>
        <v>-9.6693902578846788E-2</v>
      </c>
      <c r="E89" s="46">
        <f>ATAN2(E86,E87)</f>
        <v>-9.6693902578846788E-2</v>
      </c>
      <c r="F89" s="47">
        <f>ATAN2(E86,E87)</f>
        <v>-9.6693902578846788E-2</v>
      </c>
      <c r="G89" s="15" t="s">
        <v>133</v>
      </c>
    </row>
    <row r="90" spans="1:7" ht="19.5" customHeight="1" x14ac:dyDescent="0.3">
      <c r="A90" s="48" t="s">
        <v>134</v>
      </c>
      <c r="B90" s="49" t="s">
        <v>135</v>
      </c>
      <c r="C90" s="49" t="s">
        <v>136</v>
      </c>
      <c r="D90" s="49" t="str">
        <f>TEXT(E86,"0.000000")&amp;" + "&amp;TEXT(E87,"0.000000")&amp;"·i"</f>
        <v>0.432870 + -0.041987·i</v>
      </c>
      <c r="E90" s="50" t="str">
        <f>TEXT(E86,"0.000000")&amp;" + "&amp;TEXT(E87,"0.000000")&amp;"·i"</f>
        <v>0.432870 + -0.041987·i</v>
      </c>
      <c r="F90" s="49" t="str">
        <f>TEXT(E86,"0.000000")&amp;" + "&amp;TEXT(E87,"0.000000")&amp;"·i"</f>
        <v>0.432870 + -0.041987·i</v>
      </c>
      <c r="G90" s="49" t="s">
        <v>137</v>
      </c>
    </row>
  </sheetData>
  <mergeCells count="7">
    <mergeCell ref="A57:G57"/>
    <mergeCell ref="A75:G75"/>
    <mergeCell ref="A1:G1"/>
    <mergeCell ref="A2:G2"/>
    <mergeCell ref="A3:G3"/>
    <mergeCell ref="A21:G21"/>
    <mergeCell ref="A39:G3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Theory &amp; Parameters</vt:lpstr>
      <vt:lpstr>Numerical Results</vt:lpstr>
      <vt:lpstr>Worked 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Tom Quilter</cp:lastModifiedBy>
  <cp:revision>0</cp:revision>
  <dcterms:created xsi:type="dcterms:W3CDTF">2026-05-14T11:23:57Z</dcterms:created>
  <dcterms:modified xsi:type="dcterms:W3CDTF">2026-05-14T11:46:28Z</dcterms:modified>
  <dc:language>en-US</dc:language>
</cp:coreProperties>
</file>