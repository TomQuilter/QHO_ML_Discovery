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1\Quantum\"/>
    </mc:Choice>
  </mc:AlternateContent>
  <xr:revisionPtr revIDLastSave="0" documentId="13_ncr:1_{A2BD4687-3A12-4253-8C92-C88C5CC7575D}" xr6:coauthVersionLast="47" xr6:coauthVersionMax="47" xr10:uidLastSave="{00000000-0000-0000-0000-000000000000}"/>
  <bookViews>
    <workbookView xWindow="-2880" yWindow="-17388" windowWidth="30936" windowHeight="16896" xr2:uid="{8863625C-6BEA-47C2-A350-A8291014ED53}"/>
  </bookViews>
  <sheets>
    <sheet name="T_scan_lam0.1_xi0.0_xf0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1" l="1"/>
  <c r="R19" i="1" s="1"/>
  <c r="P19" i="1"/>
  <c r="H19" i="1"/>
  <c r="G19" i="1"/>
  <c r="Q18" i="1"/>
  <c r="R18" i="1" s="1"/>
  <c r="P18" i="1"/>
  <c r="H18" i="1"/>
  <c r="G18" i="1"/>
  <c r="Q17" i="1"/>
  <c r="R17" i="1" s="1"/>
  <c r="P17" i="1"/>
  <c r="H17" i="1"/>
  <c r="G17" i="1"/>
  <c r="Q16" i="1"/>
  <c r="R16" i="1" s="1"/>
  <c r="P16" i="1"/>
  <c r="H16" i="1"/>
  <c r="G16" i="1"/>
  <c r="R15" i="1"/>
  <c r="Q15" i="1"/>
  <c r="P15" i="1"/>
  <c r="H15" i="1"/>
  <c r="G15" i="1"/>
  <c r="Q14" i="1"/>
  <c r="R14" i="1" s="1"/>
  <c r="P14" i="1"/>
  <c r="H14" i="1"/>
  <c r="G14" i="1"/>
  <c r="Q13" i="1"/>
  <c r="R13" i="1" s="1"/>
  <c r="P13" i="1"/>
  <c r="H13" i="1"/>
  <c r="G13" i="1"/>
  <c r="Q12" i="1"/>
  <c r="R12" i="1" s="1"/>
  <c r="P12" i="1"/>
  <c r="H12" i="1"/>
  <c r="G12" i="1"/>
  <c r="Q11" i="1"/>
  <c r="R11" i="1" s="1"/>
  <c r="P11" i="1"/>
  <c r="H11" i="1"/>
  <c r="G11" i="1"/>
  <c r="Q10" i="1"/>
  <c r="R10" i="1" s="1"/>
  <c r="P10" i="1"/>
  <c r="H10" i="1"/>
  <c r="G10" i="1"/>
  <c r="Q9" i="1"/>
  <c r="R9" i="1" s="1"/>
  <c r="P9" i="1"/>
  <c r="H9" i="1"/>
  <c r="G9" i="1"/>
  <c r="Q8" i="1"/>
  <c r="R8" i="1" s="1"/>
  <c r="P8" i="1"/>
  <c r="H8" i="1"/>
  <c r="G8" i="1"/>
  <c r="Q7" i="1"/>
  <c r="R7" i="1" s="1"/>
  <c r="P7" i="1"/>
  <c r="H7" i="1"/>
  <c r="G7" i="1"/>
  <c r="Q6" i="1"/>
  <c r="R6" i="1" s="1"/>
  <c r="P6" i="1"/>
  <c r="H6" i="1"/>
  <c r="G6" i="1"/>
  <c r="Q5" i="1"/>
  <c r="R5" i="1" s="1"/>
  <c r="P5" i="1"/>
  <c r="H5" i="1"/>
  <c r="G5" i="1"/>
  <c r="Q4" i="1"/>
  <c r="R4" i="1" s="1"/>
  <c r="P4" i="1"/>
  <c r="H4" i="1"/>
  <c r="G4" i="1"/>
  <c r="Q3" i="1"/>
  <c r="R3" i="1" s="1"/>
  <c r="P3" i="1"/>
  <c r="H3" i="1"/>
  <c r="G3" i="1"/>
  <c r="Q2" i="1"/>
  <c r="R2" i="1" s="1"/>
  <c r="P2" i="1"/>
  <c r="H2" i="1"/>
  <c r="G2" i="1"/>
</calcChain>
</file>

<file path=xl/sharedStrings.xml><?xml version="1.0" encoding="utf-8"?>
<sst xmlns="http://schemas.openxmlformats.org/spreadsheetml/2006/main" count="67" uniqueCount="47">
  <si>
    <t>seed</t>
  </si>
  <si>
    <t>T</t>
  </si>
  <si>
    <t>lam</t>
  </si>
  <si>
    <t>K_re</t>
  </si>
  <si>
    <t>K_im</t>
  </si>
  <si>
    <t>abs_K</t>
  </si>
  <si>
    <t>std_err</t>
  </si>
  <si>
    <t>final_loss</t>
  </si>
  <si>
    <t>ess_n</t>
  </si>
  <si>
    <t>K_mehler_re</t>
  </si>
  <si>
    <t>K_mehler_im</t>
  </si>
  <si>
    <t>epochs_used</t>
  </si>
  <si>
    <t>N</t>
  </si>
  <si>
    <t>m</t>
  </si>
  <si>
    <t>omega</t>
  </si>
  <si>
    <t>eps</t>
  </si>
  <si>
    <t>rank</t>
  </si>
  <si>
    <t>x_i</t>
  </si>
  <si>
    <t>x_f</t>
  </si>
  <si>
    <t>time_s</t>
  </si>
  <si>
    <t>weight_file</t>
  </si>
  <si>
    <t>ladder_step</t>
  </si>
  <si>
    <t>warm_start</t>
  </si>
  <si>
    <t>lambda</t>
  </si>
  <si>
    <t>warm_start_weights/seed45_step00_lam0.0000_xi0_xf0.pt</t>
  </si>
  <si>
    <t>Y</t>
  </si>
  <si>
    <t>warm_start_weights/seed45_step01_lam0.0100_xi0_xf0.pt</t>
  </si>
  <si>
    <t>warm_start_weights/seed45_step02_lam0.0500_xi0_xf0.pt</t>
  </si>
  <si>
    <t>warm_start_weights/seed45_step03_lam0.1000_xi0_xf0.pt</t>
  </si>
  <si>
    <t>warm_start_weights/seed45_step04_lam0.1500_xi0_xf0.pt</t>
  </si>
  <si>
    <t>warm_start_weights/seed45_step05_lam0.2000_xi0_xf0.pt</t>
  </si>
  <si>
    <t>warm_start_weights/seed45_step06_lam0.3000_xi0_xf0.pt</t>
  </si>
  <si>
    <t>warm_start_weights/seed45_step07_lam0.4000_xi0_xf0.pt</t>
  </si>
  <si>
    <t>warm_start_weights/seed45_step08_lam0.5000_xi0_xf0.pt</t>
  </si>
  <si>
    <t>warm_start_weights/seed45_step09_lam0.6000_xi0_xf0.pt</t>
  </si>
  <si>
    <t>warm_start_weights/seed45_step10_lam0.8000_xi0_xf0.pt</t>
  </si>
  <si>
    <t>warm_start_weights/seed45_step11_lam1.0000_xi0_xf0.pt</t>
  </si>
  <si>
    <t>warm_start_weights/seed45_step12_lam1.5000_xi0_xf0.pt</t>
  </si>
  <si>
    <t>warm_start_weights/seed45_step13_lam2.0000_xi0_xf0.pt</t>
  </si>
  <si>
    <t>warm_start_weights/seed45_step14_lam3.0000_xi0_xf0.pt</t>
  </si>
  <si>
    <t>warm_start_weights/seed45_step15_lam4.0000_xi0_xf0.pt</t>
  </si>
  <si>
    <t>warm_start_weights/seed45_step16_lam6.0000_xi0_xf0.pt</t>
  </si>
  <si>
    <t>warm_start_weights/seed45_step17_lam8.0000_xi0_xf0.pt</t>
  </si>
  <si>
    <t>Pet_Real</t>
  </si>
  <si>
    <t>Pet_Imag</t>
  </si>
  <si>
    <t>ML_Real</t>
  </si>
  <si>
    <t>ML_Imag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</si>
</sst>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8" fillId="33" borderId="0" xfId="42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3" borderId="0" xfId="0" applyFill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98DB-A2CC-4F8C-9117-CA52CCF5C58E}">
  <dimension ref="A1:AH36"/>
  <sheetViews>
    <sheetView tabSelected="1" workbookViewId="0">
      <selection activeCell="C22" sqref="C22"/>
    </sheetView>
  </sheetViews>
  <sheetFormatPr defaultRowHeight="14.4" x14ac:dyDescent="0.3"/>
  <sheetData>
    <row r="1" spans="1:34" x14ac:dyDescent="0.3">
      <c r="A1" t="s">
        <v>0</v>
      </c>
      <c r="B1" t="s">
        <v>2</v>
      </c>
      <c r="C1" t="s">
        <v>0</v>
      </c>
      <c r="D1" t="s">
        <v>21</v>
      </c>
      <c r="E1" t="s">
        <v>2</v>
      </c>
      <c r="F1" t="s">
        <v>22</v>
      </c>
      <c r="I1" s="3" t="s">
        <v>23</v>
      </c>
      <c r="J1" s="3" t="s">
        <v>43</v>
      </c>
      <c r="K1" s="3" t="s">
        <v>44</v>
      </c>
      <c r="L1" s="3" t="s">
        <v>5</v>
      </c>
      <c r="M1" s="4" t="s">
        <v>3</v>
      </c>
      <c r="N1" s="4" t="s">
        <v>4</v>
      </c>
      <c r="O1" s="4" t="s">
        <v>5</v>
      </c>
      <c r="P1" s="3" t="s">
        <v>46</v>
      </c>
      <c r="Q1" s="3" t="s">
        <v>45</v>
      </c>
      <c r="R1" s="5"/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</row>
    <row r="2" spans="1:34" x14ac:dyDescent="0.3">
      <c r="A2">
        <v>45</v>
      </c>
      <c r="B2">
        <v>0</v>
      </c>
      <c r="C2">
        <v>45</v>
      </c>
      <c r="D2">
        <v>0</v>
      </c>
      <c r="E2">
        <v>0</v>
      </c>
      <c r="F2" t="s">
        <v>12</v>
      </c>
      <c r="G2">
        <f>J2-M2</f>
        <v>2.9164510595403037E-4</v>
      </c>
      <c r="H2">
        <f>K2-N2</f>
        <v>1.0139897489097605E-4</v>
      </c>
      <c r="I2" s="3">
        <v>0</v>
      </c>
      <c r="J2" s="3">
        <v>0.30752200000000002</v>
      </c>
      <c r="K2" s="3">
        <v>-0.30752200000000002</v>
      </c>
      <c r="L2" s="3">
        <v>0.43490099999999998</v>
      </c>
      <c r="M2" s="4">
        <v>0.30723035489404599</v>
      </c>
      <c r="N2" s="4">
        <v>-0.30762339897489099</v>
      </c>
      <c r="O2" s="4">
        <v>0.434767347629955</v>
      </c>
      <c r="P2" s="5">
        <f>M2*-1</f>
        <v>-0.30723035489404599</v>
      </c>
      <c r="Q2" s="5">
        <f t="shared" ref="Q2:Q19" si="0">N2*-1</f>
        <v>0.30762339897489099</v>
      </c>
      <c r="R2" s="5">
        <f>J2-Q2</f>
        <v>-1.0139897489097605E-4</v>
      </c>
      <c r="S2">
        <v>2.6007479999999999E-9</v>
      </c>
      <c r="T2" s="1">
        <v>4.34639E-12</v>
      </c>
      <c r="U2">
        <v>1</v>
      </c>
      <c r="V2">
        <v>0.307521507728162</v>
      </c>
      <c r="W2">
        <v>-0.307521507728162</v>
      </c>
      <c r="X2">
        <v>15000</v>
      </c>
      <c r="Y2">
        <v>16</v>
      </c>
      <c r="Z2">
        <v>1</v>
      </c>
      <c r="AA2">
        <v>1</v>
      </c>
      <c r="AB2">
        <v>1</v>
      </c>
      <c r="AC2">
        <v>0.01</v>
      </c>
      <c r="AD2">
        <v>16</v>
      </c>
      <c r="AE2">
        <v>0</v>
      </c>
      <c r="AF2">
        <v>0</v>
      </c>
      <c r="AG2">
        <v>1411.9</v>
      </c>
      <c r="AH2" t="s">
        <v>24</v>
      </c>
    </row>
    <row r="3" spans="1:34" x14ac:dyDescent="0.3">
      <c r="A3">
        <v>45</v>
      </c>
      <c r="B3">
        <v>0.01</v>
      </c>
      <c r="C3">
        <v>45</v>
      </c>
      <c r="D3">
        <v>1</v>
      </c>
      <c r="E3">
        <v>0.01</v>
      </c>
      <c r="F3" t="s">
        <v>25</v>
      </c>
      <c r="G3">
        <f t="shared" ref="G3:H19" si="1">J3-M3</f>
        <v>1.7443563573099619E-4</v>
      </c>
      <c r="H3">
        <f t="shared" si="1"/>
        <v>-9.0779508360450123E-6</v>
      </c>
      <c r="I3" s="3">
        <v>0.01</v>
      </c>
      <c r="J3" s="3">
        <v>0.30743199999999998</v>
      </c>
      <c r="K3" s="3">
        <v>-0.30761100000000002</v>
      </c>
      <c r="L3" s="3">
        <v>0.43490099999999998</v>
      </c>
      <c r="M3" s="4">
        <v>0.30725756436426899</v>
      </c>
      <c r="N3" s="4">
        <v>-0.30760192204916398</v>
      </c>
      <c r="O3" s="4">
        <v>0.434771380506356</v>
      </c>
      <c r="P3" s="5">
        <f t="shared" ref="P3:P19" si="2">M3*-1</f>
        <v>-0.30725756436426899</v>
      </c>
      <c r="Q3" s="5">
        <f t="shared" si="0"/>
        <v>0.30760192204916398</v>
      </c>
      <c r="R3" s="5">
        <f t="shared" ref="R3:R19" si="3">J3-Q3</f>
        <v>-1.6992204916399523E-4</v>
      </c>
      <c r="S3">
        <v>4.7580950000000001E-7</v>
      </c>
      <c r="T3">
        <v>1.1734569999999999E-7</v>
      </c>
      <c r="U3">
        <v>1</v>
      </c>
      <c r="V3">
        <v>0.307521507728162</v>
      </c>
      <c r="W3">
        <v>-0.307521507728162</v>
      </c>
      <c r="X3">
        <v>6000</v>
      </c>
      <c r="Y3">
        <v>16</v>
      </c>
      <c r="Z3">
        <v>1</v>
      </c>
      <c r="AA3">
        <v>1</v>
      </c>
      <c r="AB3">
        <v>1</v>
      </c>
      <c r="AC3">
        <v>0.01</v>
      </c>
      <c r="AD3">
        <v>16</v>
      </c>
      <c r="AE3">
        <v>0</v>
      </c>
      <c r="AF3">
        <v>0</v>
      </c>
      <c r="AG3">
        <v>567.20000000000005</v>
      </c>
      <c r="AH3" t="s">
        <v>26</v>
      </c>
    </row>
    <row r="4" spans="1:34" x14ac:dyDescent="0.3">
      <c r="A4">
        <v>45</v>
      </c>
      <c r="B4">
        <v>0.05</v>
      </c>
      <c r="C4">
        <v>45</v>
      </c>
      <c r="D4">
        <v>2</v>
      </c>
      <c r="E4">
        <v>0.05</v>
      </c>
      <c r="F4" t="s">
        <v>25</v>
      </c>
      <c r="G4">
        <f t="shared" si="1"/>
        <v>-5.3986820482898601E-4</v>
      </c>
      <c r="H4">
        <f t="shared" si="1"/>
        <v>-7.2220158032598736E-4</v>
      </c>
      <c r="I4" s="3">
        <v>0.05</v>
      </c>
      <c r="J4" s="3">
        <v>0.30707400000000001</v>
      </c>
      <c r="K4" s="3">
        <v>-0.30796899999999999</v>
      </c>
      <c r="L4" s="3">
        <v>0.43490200000000001</v>
      </c>
      <c r="M4" s="4">
        <v>0.307613868204829</v>
      </c>
      <c r="N4" s="4">
        <v>-0.30724679841967401</v>
      </c>
      <c r="O4" s="4">
        <v>0.43477222433255602</v>
      </c>
      <c r="P4" s="5">
        <f t="shared" si="2"/>
        <v>-0.307613868204829</v>
      </c>
      <c r="Q4" s="5">
        <f t="shared" si="0"/>
        <v>0.30724679841967401</v>
      </c>
      <c r="R4" s="5">
        <f t="shared" si="3"/>
        <v>-1.7279841967399179E-4</v>
      </c>
      <c r="S4">
        <v>2.3407860000000001E-6</v>
      </c>
      <c r="T4">
        <v>2.820847E-6</v>
      </c>
      <c r="U4">
        <v>0.99999700000000002</v>
      </c>
      <c r="V4">
        <v>0.307521507728162</v>
      </c>
      <c r="W4">
        <v>-0.307521507728162</v>
      </c>
      <c r="X4">
        <v>6000</v>
      </c>
      <c r="Y4">
        <v>16</v>
      </c>
      <c r="Z4">
        <v>1</v>
      </c>
      <c r="AA4">
        <v>1</v>
      </c>
      <c r="AB4">
        <v>1</v>
      </c>
      <c r="AC4">
        <v>0.01</v>
      </c>
      <c r="AD4">
        <v>16</v>
      </c>
      <c r="AE4">
        <v>0</v>
      </c>
      <c r="AF4">
        <v>0</v>
      </c>
      <c r="AG4">
        <v>550.4</v>
      </c>
      <c r="AH4" t="s">
        <v>27</v>
      </c>
    </row>
    <row r="5" spans="1:34" x14ac:dyDescent="0.3">
      <c r="A5">
        <v>45</v>
      </c>
      <c r="B5">
        <v>0.1</v>
      </c>
      <c r="C5">
        <v>45</v>
      </c>
      <c r="D5">
        <v>3</v>
      </c>
      <c r="E5">
        <v>0.1</v>
      </c>
      <c r="F5" t="s">
        <v>25</v>
      </c>
      <c r="G5">
        <f t="shared" si="1"/>
        <v>-1.419422617312982E-3</v>
      </c>
      <c r="H5">
        <f t="shared" si="1"/>
        <v>-1.6151241433419727E-3</v>
      </c>
      <c r="I5" s="3">
        <v>0.1</v>
      </c>
      <c r="J5" s="3">
        <v>0.30662600000000001</v>
      </c>
      <c r="K5" s="3">
        <v>-0.308417</v>
      </c>
      <c r="L5" s="3">
        <v>0.43490299999999998</v>
      </c>
      <c r="M5" s="4">
        <v>0.30804542261731299</v>
      </c>
      <c r="N5" s="4">
        <v>-0.30680187585665802</v>
      </c>
      <c r="O5" s="4">
        <v>0.434763583369908</v>
      </c>
      <c r="P5" s="5">
        <f t="shared" si="2"/>
        <v>-0.30804542261731299</v>
      </c>
      <c r="Q5" s="5">
        <f t="shared" si="0"/>
        <v>0.30680187585665802</v>
      </c>
      <c r="R5" s="5">
        <f t="shared" si="3"/>
        <v>-1.7587585665801431E-4</v>
      </c>
      <c r="S5">
        <v>4.5493819999999999E-6</v>
      </c>
      <c r="T5">
        <v>1.072965E-5</v>
      </c>
      <c r="U5">
        <v>0.99998900000000002</v>
      </c>
      <c r="V5">
        <v>0.307521507728162</v>
      </c>
      <c r="W5">
        <v>-0.307521507728162</v>
      </c>
      <c r="X5">
        <v>6000</v>
      </c>
      <c r="Y5">
        <v>16</v>
      </c>
      <c r="Z5">
        <v>1</v>
      </c>
      <c r="AA5">
        <v>1</v>
      </c>
      <c r="AB5">
        <v>1</v>
      </c>
      <c r="AC5">
        <v>0.01</v>
      </c>
      <c r="AD5">
        <v>16</v>
      </c>
      <c r="AE5">
        <v>0</v>
      </c>
      <c r="AF5">
        <v>0</v>
      </c>
      <c r="AG5">
        <v>554.1</v>
      </c>
      <c r="AH5" t="s">
        <v>28</v>
      </c>
    </row>
    <row r="6" spans="1:34" x14ac:dyDescent="0.3">
      <c r="A6">
        <v>45</v>
      </c>
      <c r="B6">
        <v>0.15</v>
      </c>
      <c r="C6">
        <v>45</v>
      </c>
      <c r="D6">
        <v>4</v>
      </c>
      <c r="E6">
        <v>0.15</v>
      </c>
      <c r="F6" t="s">
        <v>25</v>
      </c>
      <c r="G6">
        <f t="shared" si="1"/>
        <v>-2.3534397657190009E-3</v>
      </c>
      <c r="H6">
        <f t="shared" si="1"/>
        <v>-2.548893341713987E-3</v>
      </c>
      <c r="I6" s="3">
        <v>0.15</v>
      </c>
      <c r="J6" s="3">
        <v>0.30617800000000001</v>
      </c>
      <c r="K6" s="3">
        <v>-0.308865</v>
      </c>
      <c r="L6" s="3">
        <v>0.43490499999999999</v>
      </c>
      <c r="M6" s="4">
        <v>0.30853143976571901</v>
      </c>
      <c r="N6" s="4">
        <v>-0.30631610665828601</v>
      </c>
      <c r="O6" s="4">
        <v>0.434765691519235</v>
      </c>
      <c r="P6" s="5">
        <f t="shared" si="2"/>
        <v>-0.30853143976571901</v>
      </c>
      <c r="Q6" s="5">
        <f t="shared" si="0"/>
        <v>0.30631610665828601</v>
      </c>
      <c r="R6" s="5">
        <f t="shared" si="3"/>
        <v>-1.3810665828600799E-4</v>
      </c>
      <c r="S6">
        <v>6.6038049999999997E-6</v>
      </c>
      <c r="T6">
        <v>2.3132159999999999E-5</v>
      </c>
      <c r="U6">
        <v>0.99997800000000003</v>
      </c>
      <c r="V6">
        <v>0.307521507728162</v>
      </c>
      <c r="W6">
        <v>-0.307521507728162</v>
      </c>
      <c r="X6">
        <v>6000</v>
      </c>
      <c r="Y6">
        <v>16</v>
      </c>
      <c r="Z6">
        <v>1</v>
      </c>
      <c r="AA6">
        <v>1</v>
      </c>
      <c r="AB6">
        <v>1</v>
      </c>
      <c r="AC6">
        <v>0.01</v>
      </c>
      <c r="AD6">
        <v>16</v>
      </c>
      <c r="AE6">
        <v>0</v>
      </c>
      <c r="AF6">
        <v>0</v>
      </c>
      <c r="AG6">
        <v>555.79999999999995</v>
      </c>
      <c r="AH6" t="s">
        <v>29</v>
      </c>
    </row>
    <row r="7" spans="1:34" x14ac:dyDescent="0.3">
      <c r="A7">
        <v>45</v>
      </c>
      <c r="B7">
        <v>0.2</v>
      </c>
      <c r="C7">
        <v>45</v>
      </c>
      <c r="D7">
        <v>5</v>
      </c>
      <c r="E7">
        <v>0.2</v>
      </c>
      <c r="F7" t="s">
        <v>25</v>
      </c>
      <c r="G7">
        <f t="shared" si="1"/>
        <v>-3.3209989493060421E-3</v>
      </c>
      <c r="H7">
        <f t="shared" si="1"/>
        <v>-3.5349454112439949E-3</v>
      </c>
      <c r="I7" s="3">
        <v>0.2</v>
      </c>
      <c r="J7" s="3">
        <v>0.30573099999999998</v>
      </c>
      <c r="K7" s="3">
        <v>-0.30931199999999998</v>
      </c>
      <c r="L7" s="3">
        <v>0.43490800000000002</v>
      </c>
      <c r="M7" s="4">
        <v>0.30905199894930602</v>
      </c>
      <c r="N7" s="4">
        <v>-0.30577705458875598</v>
      </c>
      <c r="O7" s="4">
        <v>0.43475596047384701</v>
      </c>
      <c r="P7" s="5">
        <f t="shared" si="2"/>
        <v>-0.30905199894930602</v>
      </c>
      <c r="Q7" s="5">
        <f t="shared" si="0"/>
        <v>0.30577705458875598</v>
      </c>
      <c r="R7" s="5">
        <f t="shared" si="3"/>
        <v>-4.6054588756005987E-5</v>
      </c>
      <c r="S7">
        <v>8.4921729999999992E-6</v>
      </c>
      <c r="T7">
        <v>3.8932030000000001E-5</v>
      </c>
      <c r="U7">
        <v>0.99996300000000005</v>
      </c>
      <c r="V7">
        <v>0.307521507728162</v>
      </c>
      <c r="W7">
        <v>-0.307521507728162</v>
      </c>
      <c r="X7">
        <v>6000</v>
      </c>
      <c r="Y7">
        <v>16</v>
      </c>
      <c r="Z7">
        <v>1</v>
      </c>
      <c r="AA7">
        <v>1</v>
      </c>
      <c r="AB7">
        <v>1</v>
      </c>
      <c r="AC7">
        <v>0.01</v>
      </c>
      <c r="AD7">
        <v>16</v>
      </c>
      <c r="AE7">
        <v>0</v>
      </c>
      <c r="AF7">
        <v>0</v>
      </c>
      <c r="AG7">
        <v>560.5</v>
      </c>
      <c r="AH7" t="s">
        <v>30</v>
      </c>
    </row>
    <row r="8" spans="1:34" x14ac:dyDescent="0.3">
      <c r="A8">
        <v>45</v>
      </c>
      <c r="B8">
        <v>0.3</v>
      </c>
      <c r="C8">
        <v>45</v>
      </c>
      <c r="D8">
        <v>6</v>
      </c>
      <c r="E8">
        <v>0.3</v>
      </c>
      <c r="F8" t="s">
        <v>25</v>
      </c>
      <c r="G8">
        <f t="shared" si="1"/>
        <v>-6.6472751895749749E-3</v>
      </c>
      <c r="H8">
        <f t="shared" si="1"/>
        <v>-6.1582553597139822E-3</v>
      </c>
      <c r="I8" s="3">
        <v>0.3</v>
      </c>
      <c r="J8" s="3">
        <v>0.30483500000000002</v>
      </c>
      <c r="K8" s="3">
        <v>-0.31020799999999998</v>
      </c>
      <c r="L8" s="3">
        <v>0.43491800000000003</v>
      </c>
      <c r="M8" s="4">
        <v>0.311482275189575</v>
      </c>
      <c r="N8" s="4">
        <v>-0.304049744640286</v>
      </c>
      <c r="O8" s="4">
        <v>0.43527859466449498</v>
      </c>
      <c r="P8" s="5">
        <f t="shared" si="2"/>
        <v>-0.311482275189575</v>
      </c>
      <c r="Q8" s="5">
        <f t="shared" si="0"/>
        <v>0.304049744640286</v>
      </c>
      <c r="R8" s="5">
        <f t="shared" si="3"/>
        <v>7.8525535971402105E-4</v>
      </c>
      <c r="S8">
        <v>1.207952E-5</v>
      </c>
      <c r="T8">
        <v>7.8785119999999994E-5</v>
      </c>
      <c r="U8">
        <v>0.99992700000000001</v>
      </c>
      <c r="V8">
        <v>0.307521507728162</v>
      </c>
      <c r="W8">
        <v>-0.307521507728162</v>
      </c>
      <c r="X8">
        <v>6000</v>
      </c>
      <c r="Y8">
        <v>16</v>
      </c>
      <c r="Z8">
        <v>1</v>
      </c>
      <c r="AA8">
        <v>1</v>
      </c>
      <c r="AB8">
        <v>1</v>
      </c>
      <c r="AC8">
        <v>0.01</v>
      </c>
      <c r="AD8">
        <v>16</v>
      </c>
      <c r="AE8">
        <v>0</v>
      </c>
      <c r="AF8">
        <v>0</v>
      </c>
      <c r="AG8">
        <v>558.9</v>
      </c>
      <c r="AH8" t="s">
        <v>31</v>
      </c>
    </row>
    <row r="9" spans="1:34" x14ac:dyDescent="0.3">
      <c r="A9">
        <v>45</v>
      </c>
      <c r="B9">
        <v>0.4</v>
      </c>
      <c r="C9">
        <v>45</v>
      </c>
      <c r="D9">
        <v>7</v>
      </c>
      <c r="E9">
        <v>0.4</v>
      </c>
      <c r="F9" t="s">
        <v>25</v>
      </c>
      <c r="G9">
        <f t="shared" si="1"/>
        <v>-7.543768549670038E-3</v>
      </c>
      <c r="H9">
        <f t="shared" si="1"/>
        <v>-7.4321703765060088E-3</v>
      </c>
      <c r="I9" s="3">
        <v>0.4</v>
      </c>
      <c r="J9" s="3">
        <v>0.30393999999999999</v>
      </c>
      <c r="K9" s="3">
        <v>-0.31110300000000002</v>
      </c>
      <c r="L9" s="3">
        <v>0.43493100000000001</v>
      </c>
      <c r="M9" s="4">
        <v>0.31148376854967003</v>
      </c>
      <c r="N9" s="4">
        <v>-0.30367082962349401</v>
      </c>
      <c r="O9" s="4">
        <v>0.43501506966325398</v>
      </c>
      <c r="P9" s="5">
        <f t="shared" si="2"/>
        <v>-0.31148376854967003</v>
      </c>
      <c r="Q9" s="5">
        <f t="shared" si="0"/>
        <v>0.30367082962349401</v>
      </c>
      <c r="R9" s="5">
        <f t="shared" si="3"/>
        <v>2.691703765059783E-4</v>
      </c>
      <c r="S9">
        <v>1.546696E-5</v>
      </c>
      <c r="T9">
        <v>1.2694989999999999E-4</v>
      </c>
      <c r="U9">
        <v>0.99987999999999999</v>
      </c>
      <c r="V9">
        <v>0.307521507728162</v>
      </c>
      <c r="W9">
        <v>-0.307521507728162</v>
      </c>
      <c r="X9">
        <v>6000</v>
      </c>
      <c r="Y9">
        <v>16</v>
      </c>
      <c r="Z9">
        <v>1</v>
      </c>
      <c r="AA9">
        <v>1</v>
      </c>
      <c r="AB9">
        <v>1</v>
      </c>
      <c r="AC9">
        <v>0.01</v>
      </c>
      <c r="AD9">
        <v>16</v>
      </c>
      <c r="AE9">
        <v>0</v>
      </c>
      <c r="AF9">
        <v>0</v>
      </c>
      <c r="AG9">
        <v>552.9</v>
      </c>
      <c r="AH9" t="s">
        <v>32</v>
      </c>
    </row>
    <row r="10" spans="1:34" x14ac:dyDescent="0.3">
      <c r="A10">
        <v>45</v>
      </c>
      <c r="B10">
        <v>0.5</v>
      </c>
      <c r="C10">
        <v>45</v>
      </c>
      <c r="D10">
        <v>8</v>
      </c>
      <c r="E10">
        <v>0.5</v>
      </c>
      <c r="F10" t="s">
        <v>25</v>
      </c>
      <c r="G10">
        <f t="shared" si="1"/>
        <v>-8.6626521675269852E-3</v>
      </c>
      <c r="H10">
        <f t="shared" si="1"/>
        <v>-9.0015317128320227E-3</v>
      </c>
      <c r="I10" s="3">
        <v>0.5</v>
      </c>
      <c r="J10" s="3">
        <v>0.30304500000000001</v>
      </c>
      <c r="K10" s="3">
        <v>-0.311998</v>
      </c>
      <c r="L10" s="3">
        <v>0.43494699999999997</v>
      </c>
      <c r="M10" s="4">
        <v>0.31170765216752699</v>
      </c>
      <c r="N10" s="4">
        <v>-0.30299646828716797</v>
      </c>
      <c r="O10" s="4">
        <v>0.43470509568475202</v>
      </c>
      <c r="P10" s="5">
        <f t="shared" si="2"/>
        <v>-0.31170765216752699</v>
      </c>
      <c r="Q10" s="5">
        <f t="shared" si="0"/>
        <v>0.30299646828716797</v>
      </c>
      <c r="R10" s="5">
        <f t="shared" si="3"/>
        <v>4.8531712832033946E-5</v>
      </c>
      <c r="S10">
        <v>1.879642E-5</v>
      </c>
      <c r="T10">
        <v>1.845793E-4</v>
      </c>
      <c r="U10">
        <v>0.99982300000000002</v>
      </c>
      <c r="V10">
        <v>0.307521507728162</v>
      </c>
      <c r="W10">
        <v>-0.307521507728162</v>
      </c>
      <c r="X10">
        <v>6000</v>
      </c>
      <c r="Y10">
        <v>16</v>
      </c>
      <c r="Z10">
        <v>1</v>
      </c>
      <c r="AA10">
        <v>1</v>
      </c>
      <c r="AB10">
        <v>1</v>
      </c>
      <c r="AC10">
        <v>0.01</v>
      </c>
      <c r="AD10">
        <v>16</v>
      </c>
      <c r="AE10">
        <v>0</v>
      </c>
      <c r="AF10">
        <v>0</v>
      </c>
      <c r="AG10">
        <v>551.6</v>
      </c>
      <c r="AH10" t="s">
        <v>33</v>
      </c>
    </row>
    <row r="11" spans="1:34" x14ac:dyDescent="0.3">
      <c r="A11">
        <v>45</v>
      </c>
      <c r="B11">
        <v>0.6</v>
      </c>
      <c r="C11">
        <v>45</v>
      </c>
      <c r="D11">
        <v>9</v>
      </c>
      <c r="E11">
        <v>0.6</v>
      </c>
      <c r="F11" t="s">
        <v>25</v>
      </c>
      <c r="G11">
        <f t="shared" si="1"/>
        <v>-1.0127772247356004E-2</v>
      </c>
      <c r="H11">
        <f t="shared" si="1"/>
        <v>-1.0781125906687006E-2</v>
      </c>
      <c r="I11" s="3">
        <v>0.6</v>
      </c>
      <c r="J11" s="3">
        <v>0.302149</v>
      </c>
      <c r="K11" s="3">
        <v>-0.31289400000000001</v>
      </c>
      <c r="L11" s="3">
        <v>0.43496699999999999</v>
      </c>
      <c r="M11" s="4">
        <v>0.312276772247356</v>
      </c>
      <c r="N11" s="4">
        <v>-0.302112874093313</v>
      </c>
      <c r="O11" s="4">
        <v>0.43449852839583802</v>
      </c>
      <c r="P11" s="5">
        <f t="shared" si="2"/>
        <v>-0.312276772247356</v>
      </c>
      <c r="Q11" s="5">
        <f t="shared" si="0"/>
        <v>0.302112874093313</v>
      </c>
      <c r="R11" s="5">
        <f t="shared" si="3"/>
        <v>3.6125906687001219E-5</v>
      </c>
      <c r="S11">
        <v>2.2139919999999999E-5</v>
      </c>
      <c r="T11">
        <v>2.5545400000000001E-4</v>
      </c>
      <c r="U11">
        <v>0.99975499999999995</v>
      </c>
      <c r="V11">
        <v>0.307521507728162</v>
      </c>
      <c r="W11">
        <v>-0.307521507728162</v>
      </c>
      <c r="X11">
        <v>6000</v>
      </c>
      <c r="Y11">
        <v>16</v>
      </c>
      <c r="Z11">
        <v>1</v>
      </c>
      <c r="AA11">
        <v>1</v>
      </c>
      <c r="AB11">
        <v>1</v>
      </c>
      <c r="AC11">
        <v>0.01</v>
      </c>
      <c r="AD11">
        <v>16</v>
      </c>
      <c r="AE11">
        <v>0</v>
      </c>
      <c r="AF11">
        <v>0</v>
      </c>
      <c r="AG11">
        <v>551.5</v>
      </c>
      <c r="AH11" t="s">
        <v>34</v>
      </c>
    </row>
    <row r="12" spans="1:34" x14ac:dyDescent="0.3">
      <c r="A12">
        <v>45</v>
      </c>
      <c r="B12">
        <v>0.8</v>
      </c>
      <c r="C12">
        <v>45</v>
      </c>
      <c r="D12">
        <v>10</v>
      </c>
      <c r="E12">
        <v>0.8</v>
      </c>
      <c r="F12" t="s">
        <v>25</v>
      </c>
      <c r="G12">
        <f t="shared" si="1"/>
        <v>-1.3437350831923989E-2</v>
      </c>
      <c r="H12">
        <f t="shared" si="1"/>
        <v>-1.4520265554721967E-2</v>
      </c>
      <c r="I12" s="3">
        <v>0.8</v>
      </c>
      <c r="J12" s="3">
        <v>0.30035800000000001</v>
      </c>
      <c r="K12" s="3">
        <v>-0.31468499999999999</v>
      </c>
      <c r="L12" s="3">
        <v>0.43501899999999999</v>
      </c>
      <c r="M12" s="4">
        <v>0.313795350831924</v>
      </c>
      <c r="N12" s="4">
        <v>-0.30016473444527803</v>
      </c>
      <c r="O12" s="4">
        <v>0.43424231715521999</v>
      </c>
      <c r="P12" s="5">
        <f t="shared" si="2"/>
        <v>-0.313795350831924</v>
      </c>
      <c r="Q12" s="5">
        <f t="shared" si="0"/>
        <v>0.30016473444527803</v>
      </c>
      <c r="R12" s="5">
        <f t="shared" si="3"/>
        <v>1.9326555472198859E-4</v>
      </c>
      <c r="S12">
        <v>2.8975129999999998E-5</v>
      </c>
      <c r="T12">
        <v>4.4176000000000003E-4</v>
      </c>
      <c r="U12">
        <v>0.999579</v>
      </c>
      <c r="V12">
        <v>0.307521507728162</v>
      </c>
      <c r="W12">
        <v>-0.307521507728162</v>
      </c>
      <c r="X12">
        <v>6000</v>
      </c>
      <c r="Y12">
        <v>16</v>
      </c>
      <c r="Z12">
        <v>1</v>
      </c>
      <c r="AA12">
        <v>1</v>
      </c>
      <c r="AB12">
        <v>1</v>
      </c>
      <c r="AC12">
        <v>0.01</v>
      </c>
      <c r="AD12">
        <v>16</v>
      </c>
      <c r="AE12">
        <v>0</v>
      </c>
      <c r="AF12">
        <v>0</v>
      </c>
      <c r="AG12">
        <v>547.9</v>
      </c>
      <c r="AH12" t="s">
        <v>35</v>
      </c>
    </row>
    <row r="13" spans="1:34" x14ac:dyDescent="0.3">
      <c r="A13">
        <v>45</v>
      </c>
      <c r="B13">
        <v>1</v>
      </c>
      <c r="C13">
        <v>45</v>
      </c>
      <c r="D13">
        <v>11</v>
      </c>
      <c r="E13">
        <v>1</v>
      </c>
      <c r="F13" t="s">
        <v>25</v>
      </c>
      <c r="G13">
        <f t="shared" si="1"/>
        <v>-1.6708191915018988E-2</v>
      </c>
      <c r="H13">
        <f t="shared" si="1"/>
        <v>-1.8304071001238986E-2</v>
      </c>
      <c r="I13" s="3">
        <v>1</v>
      </c>
      <c r="J13" s="3">
        <v>0.298568</v>
      </c>
      <c r="K13" s="3">
        <v>-0.31647500000000001</v>
      </c>
      <c r="L13" s="3">
        <v>0.435085</v>
      </c>
      <c r="M13" s="4">
        <v>0.31527619191501899</v>
      </c>
      <c r="N13" s="4">
        <v>-0.29817092899876102</v>
      </c>
      <c r="O13" s="4">
        <v>0.43394121731914398</v>
      </c>
      <c r="P13" s="5">
        <f t="shared" si="2"/>
        <v>-0.31527619191501899</v>
      </c>
      <c r="Q13" s="5">
        <f t="shared" si="0"/>
        <v>0.29817092899876102</v>
      </c>
      <c r="R13" s="5">
        <f t="shared" si="3"/>
        <v>3.9707100123897998E-4</v>
      </c>
      <c r="S13">
        <v>3.5637879999999998E-5</v>
      </c>
      <c r="T13">
        <v>6.7495779999999996E-4</v>
      </c>
      <c r="U13">
        <v>0.999359</v>
      </c>
      <c r="V13">
        <v>0.307521507728162</v>
      </c>
      <c r="W13">
        <v>-0.307521507728162</v>
      </c>
      <c r="X13">
        <v>6000</v>
      </c>
      <c r="Y13">
        <v>16</v>
      </c>
      <c r="Z13">
        <v>1</v>
      </c>
      <c r="AA13">
        <v>1</v>
      </c>
      <c r="AB13">
        <v>1</v>
      </c>
      <c r="AC13">
        <v>0.01</v>
      </c>
      <c r="AD13">
        <v>16</v>
      </c>
      <c r="AE13">
        <v>0</v>
      </c>
      <c r="AF13">
        <v>0</v>
      </c>
      <c r="AG13">
        <v>548.70000000000005</v>
      </c>
      <c r="AH13" t="s">
        <v>36</v>
      </c>
    </row>
    <row r="14" spans="1:34" x14ac:dyDescent="0.3">
      <c r="A14">
        <v>45</v>
      </c>
      <c r="B14">
        <v>1.5</v>
      </c>
      <c r="C14">
        <v>45</v>
      </c>
      <c r="D14">
        <v>12</v>
      </c>
      <c r="E14">
        <v>1.5</v>
      </c>
      <c r="F14" t="s">
        <v>25</v>
      </c>
      <c r="G14">
        <f t="shared" si="1"/>
        <v>-2.4582821212129013E-2</v>
      </c>
      <c r="H14">
        <f t="shared" si="1"/>
        <v>-2.7856024576949023E-2</v>
      </c>
      <c r="I14" s="3">
        <v>1.5</v>
      </c>
      <c r="J14" s="3">
        <v>0.29409099999999999</v>
      </c>
      <c r="K14" s="3">
        <v>-0.32095200000000002</v>
      </c>
      <c r="L14" s="3">
        <v>0.43531599999999998</v>
      </c>
      <c r="M14" s="4">
        <v>0.318673821212129</v>
      </c>
      <c r="N14" s="4">
        <v>-0.29309597542305099</v>
      </c>
      <c r="O14" s="4">
        <v>0.43296449639102003</v>
      </c>
      <c r="P14" s="5">
        <f t="shared" si="2"/>
        <v>-0.318673821212129</v>
      </c>
      <c r="Q14" s="5">
        <f t="shared" si="0"/>
        <v>0.29309597542305099</v>
      </c>
      <c r="R14" s="5">
        <f t="shared" si="3"/>
        <v>9.950245769489996E-4</v>
      </c>
      <c r="S14">
        <v>5.0974119999999998E-5</v>
      </c>
      <c r="T14">
        <v>1.408767E-3</v>
      </c>
      <c r="U14">
        <v>0.99867300000000003</v>
      </c>
      <c r="V14">
        <v>0.307521507728162</v>
      </c>
      <c r="W14">
        <v>-0.307521507728162</v>
      </c>
      <c r="X14">
        <v>6000</v>
      </c>
      <c r="Y14">
        <v>16</v>
      </c>
      <c r="Z14">
        <v>1</v>
      </c>
      <c r="AA14">
        <v>1</v>
      </c>
      <c r="AB14">
        <v>1</v>
      </c>
      <c r="AC14">
        <v>0.01</v>
      </c>
      <c r="AD14">
        <v>16</v>
      </c>
      <c r="AE14">
        <v>0</v>
      </c>
      <c r="AF14">
        <v>0</v>
      </c>
      <c r="AG14">
        <v>544.1</v>
      </c>
      <c r="AH14" t="s">
        <v>37</v>
      </c>
    </row>
    <row r="15" spans="1:34" x14ac:dyDescent="0.3">
      <c r="A15">
        <v>45</v>
      </c>
      <c r="B15">
        <v>2</v>
      </c>
      <c r="C15">
        <v>45</v>
      </c>
      <c r="D15">
        <v>13</v>
      </c>
      <c r="E15">
        <v>2</v>
      </c>
      <c r="F15" t="s">
        <v>25</v>
      </c>
      <c r="G15">
        <f t="shared" si="1"/>
        <v>-3.201328092143102E-2</v>
      </c>
      <c r="H15">
        <f t="shared" si="1"/>
        <v>-3.7481938734005016E-2</v>
      </c>
      <c r="I15" s="3">
        <v>2</v>
      </c>
      <c r="J15" s="3">
        <v>0.28961399999999998</v>
      </c>
      <c r="K15" s="3">
        <v>-0.32542900000000002</v>
      </c>
      <c r="L15" s="3">
        <v>0.43563800000000003</v>
      </c>
      <c r="M15" s="4">
        <v>0.321627280921431</v>
      </c>
      <c r="N15" s="4">
        <v>-0.28794706126599501</v>
      </c>
      <c r="O15" s="4">
        <v>0.43169157731491098</v>
      </c>
      <c r="P15" s="5">
        <f t="shared" si="2"/>
        <v>-0.321627280921431</v>
      </c>
      <c r="Q15" s="5">
        <f t="shared" si="0"/>
        <v>0.28794706126599501</v>
      </c>
      <c r="R15" s="5">
        <f t="shared" si="3"/>
        <v>1.6669387340049746E-3</v>
      </c>
      <c r="S15">
        <v>6.4640619999999994E-5</v>
      </c>
      <c r="T15">
        <v>2.3084960000000002E-3</v>
      </c>
      <c r="U15">
        <v>0.99783999999999995</v>
      </c>
      <c r="V15">
        <v>0.307521507728162</v>
      </c>
      <c r="W15">
        <v>-0.307521507728162</v>
      </c>
      <c r="X15">
        <v>6000</v>
      </c>
      <c r="Y15">
        <v>16</v>
      </c>
      <c r="Z15">
        <v>1</v>
      </c>
      <c r="AA15">
        <v>1</v>
      </c>
      <c r="AB15">
        <v>1</v>
      </c>
      <c r="AC15">
        <v>0.01</v>
      </c>
      <c r="AD15">
        <v>16</v>
      </c>
      <c r="AE15">
        <v>0</v>
      </c>
      <c r="AF15">
        <v>0</v>
      </c>
      <c r="AG15">
        <v>561.79999999999995</v>
      </c>
      <c r="AH15" t="s">
        <v>38</v>
      </c>
    </row>
    <row r="16" spans="1:34" x14ac:dyDescent="0.3">
      <c r="A16">
        <v>45</v>
      </c>
      <c r="B16">
        <v>3</v>
      </c>
      <c r="C16">
        <v>45</v>
      </c>
      <c r="D16">
        <v>14</v>
      </c>
      <c r="E16">
        <v>3</v>
      </c>
      <c r="F16" t="s">
        <v>25</v>
      </c>
      <c r="G16">
        <f t="shared" si="1"/>
        <v>-4.5703101445636996E-2</v>
      </c>
      <c r="H16">
        <f t="shared" si="1"/>
        <v>-5.6732114939494982E-2</v>
      </c>
      <c r="I16" s="3">
        <v>3</v>
      </c>
      <c r="J16" s="3">
        <v>0.28066000000000002</v>
      </c>
      <c r="K16" s="3">
        <v>-0.33438299999999999</v>
      </c>
      <c r="L16" s="3">
        <v>0.43655699999999997</v>
      </c>
      <c r="M16" s="4">
        <v>0.32636310144563702</v>
      </c>
      <c r="N16" s="4">
        <v>-0.277650885060505</v>
      </c>
      <c r="O16" s="4">
        <v>0.42848907566015898</v>
      </c>
      <c r="P16" s="5">
        <f t="shared" si="2"/>
        <v>-0.32636310144563702</v>
      </c>
      <c r="Q16" s="5">
        <f t="shared" si="0"/>
        <v>0.277650885060505</v>
      </c>
      <c r="R16" s="5">
        <f t="shared" si="3"/>
        <v>3.0091149394950167E-3</v>
      </c>
      <c r="S16">
        <v>8.7929200000000005E-5</v>
      </c>
      <c r="T16">
        <v>4.4126790000000001E-3</v>
      </c>
      <c r="U16">
        <v>0.99593399999999999</v>
      </c>
      <c r="V16">
        <v>0.307521507728162</v>
      </c>
      <c r="W16">
        <v>-0.307521507728162</v>
      </c>
      <c r="X16">
        <v>6000</v>
      </c>
      <c r="Y16">
        <v>16</v>
      </c>
      <c r="Z16">
        <v>1</v>
      </c>
      <c r="AA16">
        <v>1</v>
      </c>
      <c r="AB16">
        <v>1</v>
      </c>
      <c r="AC16">
        <v>0.01</v>
      </c>
      <c r="AD16">
        <v>16</v>
      </c>
      <c r="AE16">
        <v>0</v>
      </c>
      <c r="AF16">
        <v>0</v>
      </c>
      <c r="AG16">
        <v>556.1</v>
      </c>
      <c r="AH16" t="s">
        <v>39</v>
      </c>
    </row>
    <row r="17" spans="1:34" x14ac:dyDescent="0.3">
      <c r="A17">
        <v>45</v>
      </c>
      <c r="B17">
        <v>4</v>
      </c>
      <c r="C17">
        <v>45</v>
      </c>
      <c r="D17">
        <v>15</v>
      </c>
      <c r="E17">
        <v>4</v>
      </c>
      <c r="F17" t="s">
        <v>25</v>
      </c>
      <c r="G17">
        <f t="shared" si="1"/>
        <v>-5.8100674053030987E-2</v>
      </c>
      <c r="H17">
        <f t="shared" si="1"/>
        <v>-7.5705287722338976E-2</v>
      </c>
      <c r="I17" s="3">
        <v>4</v>
      </c>
      <c r="J17" s="3">
        <v>0.271706</v>
      </c>
      <c r="K17" s="3">
        <v>-0.343337</v>
      </c>
      <c r="L17" s="3">
        <v>0.43784099999999998</v>
      </c>
      <c r="M17" s="4">
        <v>0.32980667405303099</v>
      </c>
      <c r="N17" s="4">
        <v>-0.26763171227766103</v>
      </c>
      <c r="O17" s="4">
        <v>0.424734241222196</v>
      </c>
      <c r="P17" s="5">
        <f t="shared" si="2"/>
        <v>-0.32980667405303099</v>
      </c>
      <c r="Q17" s="5">
        <f t="shared" si="0"/>
        <v>0.26763171227766103</v>
      </c>
      <c r="R17" s="5">
        <f t="shared" si="3"/>
        <v>4.0742877223389762E-3</v>
      </c>
      <c r="S17">
        <v>1.069419E-4</v>
      </c>
      <c r="T17">
        <v>6.6337660000000001E-3</v>
      </c>
      <c r="U17">
        <v>0.99389099999999997</v>
      </c>
      <c r="V17">
        <v>0.307521507728162</v>
      </c>
      <c r="W17">
        <v>-0.307521507728162</v>
      </c>
      <c r="X17">
        <v>6000</v>
      </c>
      <c r="Y17">
        <v>16</v>
      </c>
      <c r="Z17">
        <v>1</v>
      </c>
      <c r="AA17">
        <v>1</v>
      </c>
      <c r="AB17">
        <v>1</v>
      </c>
      <c r="AC17">
        <v>0.01</v>
      </c>
      <c r="AD17">
        <v>16</v>
      </c>
      <c r="AE17">
        <v>0</v>
      </c>
      <c r="AF17">
        <v>0</v>
      </c>
      <c r="AG17">
        <v>559.5</v>
      </c>
      <c r="AH17" t="s">
        <v>40</v>
      </c>
    </row>
    <row r="18" spans="1:34" x14ac:dyDescent="0.3">
      <c r="A18">
        <v>45</v>
      </c>
      <c r="B18">
        <v>6</v>
      </c>
      <c r="C18">
        <v>45</v>
      </c>
      <c r="D18">
        <v>16</v>
      </c>
      <c r="E18">
        <v>6</v>
      </c>
      <c r="F18" t="s">
        <v>25</v>
      </c>
      <c r="G18">
        <f t="shared" si="1"/>
        <v>-8.0084312800747015E-2</v>
      </c>
      <c r="H18">
        <f t="shared" si="1"/>
        <v>-0.11229209949744501</v>
      </c>
      <c r="I18" s="3">
        <v>6</v>
      </c>
      <c r="J18" s="3">
        <v>0.253799</v>
      </c>
      <c r="K18" s="3">
        <v>-0.36124400000000001</v>
      </c>
      <c r="L18" s="3">
        <v>0.44148799999999999</v>
      </c>
      <c r="M18" s="4">
        <v>0.33388331280074701</v>
      </c>
      <c r="N18" s="4">
        <v>-0.248951900502555</v>
      </c>
      <c r="O18" s="4">
        <v>0.41647942966085999</v>
      </c>
      <c r="P18" s="5">
        <f t="shared" si="2"/>
        <v>-0.33388331280074701</v>
      </c>
      <c r="Q18" s="5">
        <f t="shared" si="0"/>
        <v>0.248951900502555</v>
      </c>
      <c r="R18" s="5">
        <f t="shared" si="3"/>
        <v>4.8470994974449955E-3</v>
      </c>
      <c r="S18">
        <v>1.359419E-4</v>
      </c>
      <c r="T18">
        <v>1.1131240000000001E-2</v>
      </c>
      <c r="U18">
        <v>0.989761</v>
      </c>
      <c r="V18">
        <v>0.307521507728162</v>
      </c>
      <c r="W18">
        <v>-0.307521507728162</v>
      </c>
      <c r="X18">
        <v>6000</v>
      </c>
      <c r="Y18">
        <v>16</v>
      </c>
      <c r="Z18">
        <v>1</v>
      </c>
      <c r="AA18">
        <v>1</v>
      </c>
      <c r="AB18">
        <v>1</v>
      </c>
      <c r="AC18">
        <v>0.01</v>
      </c>
      <c r="AD18">
        <v>16</v>
      </c>
      <c r="AE18">
        <v>0</v>
      </c>
      <c r="AF18">
        <v>0</v>
      </c>
      <c r="AG18">
        <v>553.79999999999995</v>
      </c>
      <c r="AH18" t="s">
        <v>41</v>
      </c>
    </row>
    <row r="19" spans="1:34" x14ac:dyDescent="0.3">
      <c r="A19">
        <v>45</v>
      </c>
      <c r="B19">
        <v>8</v>
      </c>
      <c r="C19">
        <v>45</v>
      </c>
      <c r="D19">
        <v>17</v>
      </c>
      <c r="E19">
        <v>8</v>
      </c>
      <c r="F19" t="s">
        <v>25</v>
      </c>
      <c r="G19">
        <f t="shared" si="1"/>
        <v>-9.9563470721614006E-2</v>
      </c>
      <c r="H19">
        <f t="shared" si="1"/>
        <v>-0.146968815763622</v>
      </c>
      <c r="I19" s="6">
        <v>8</v>
      </c>
      <c r="J19" s="6">
        <v>0.23589099999999999</v>
      </c>
      <c r="K19" s="6">
        <v>-0.37915199999999999</v>
      </c>
      <c r="L19" s="6">
        <v>0.44654300000000002</v>
      </c>
      <c r="M19" s="4">
        <v>0.335454470721614</v>
      </c>
      <c r="N19" s="4">
        <v>-0.23218318423637799</v>
      </c>
      <c r="O19" s="4">
        <v>0.40796903432645798</v>
      </c>
      <c r="P19" s="5">
        <f t="shared" si="2"/>
        <v>-0.335454470721614</v>
      </c>
      <c r="Q19" s="5">
        <f t="shared" si="0"/>
        <v>0.23218318423637799</v>
      </c>
      <c r="R19" s="5">
        <f t="shared" si="3"/>
        <v>3.7078157636220022E-3</v>
      </c>
      <c r="S19">
        <v>1.5679760000000001E-4</v>
      </c>
      <c r="T19">
        <v>1.504773E-2</v>
      </c>
      <c r="U19">
        <v>0.98582099999999995</v>
      </c>
      <c r="V19">
        <v>0.307521507728162</v>
      </c>
      <c r="W19">
        <v>-0.307521507728162</v>
      </c>
      <c r="X19">
        <v>6000</v>
      </c>
      <c r="Y19">
        <v>16</v>
      </c>
      <c r="Z19">
        <v>1</v>
      </c>
      <c r="AA19">
        <v>1</v>
      </c>
      <c r="AB19">
        <v>1</v>
      </c>
      <c r="AC19">
        <v>0.01</v>
      </c>
      <c r="AD19">
        <v>16</v>
      </c>
      <c r="AE19">
        <v>0</v>
      </c>
      <c r="AF19">
        <v>0</v>
      </c>
      <c r="AG19">
        <v>561</v>
      </c>
      <c r="AH19" t="s">
        <v>42</v>
      </c>
    </row>
    <row r="20" spans="1:34" x14ac:dyDescent="0.3">
      <c r="I20" s="2"/>
      <c r="J20" s="2"/>
      <c r="K20" s="2"/>
      <c r="L20" s="2"/>
    </row>
    <row r="21" spans="1:34" x14ac:dyDescent="0.3">
      <c r="F21" s="1"/>
      <c r="G21" s="1"/>
      <c r="H21" s="1"/>
      <c r="I21" s="1"/>
      <c r="J21" s="1"/>
      <c r="L21" s="1"/>
      <c r="M21" s="1"/>
    </row>
    <row r="22" spans="1:34" x14ac:dyDescent="0.3">
      <c r="F22" s="1"/>
      <c r="G22" s="1"/>
      <c r="H22" s="1"/>
      <c r="I22" s="1"/>
      <c r="J22" s="1"/>
      <c r="L22" s="1"/>
      <c r="M22" s="1"/>
    </row>
    <row r="23" spans="1:34" x14ac:dyDescent="0.3">
      <c r="F23" s="1"/>
      <c r="G23" s="1"/>
      <c r="H23" s="1"/>
      <c r="I23" s="1"/>
      <c r="J23" s="1"/>
      <c r="L23" s="1"/>
      <c r="M23" s="1"/>
    </row>
    <row r="24" spans="1:34" x14ac:dyDescent="0.3">
      <c r="F24" s="1"/>
      <c r="G24" s="1"/>
      <c r="H24" s="1"/>
      <c r="I24" s="1"/>
      <c r="J24" s="1"/>
      <c r="L24" s="1"/>
      <c r="M24" s="1"/>
    </row>
    <row r="25" spans="1:34" x14ac:dyDescent="0.3">
      <c r="F25" s="1"/>
      <c r="G25" s="1"/>
      <c r="H25" s="1"/>
      <c r="I25" s="1"/>
      <c r="J25" s="1"/>
      <c r="L25" s="1"/>
      <c r="M25" s="1"/>
    </row>
    <row r="26" spans="1:34" x14ac:dyDescent="0.3">
      <c r="F26" s="1"/>
      <c r="G26" s="1"/>
      <c r="H26" s="1"/>
      <c r="I26" s="1"/>
      <c r="J26" s="1"/>
      <c r="L26" s="1"/>
      <c r="M26" s="1"/>
    </row>
    <row r="27" spans="1:34" x14ac:dyDescent="0.3">
      <c r="F27" s="1"/>
      <c r="G27" s="1"/>
      <c r="H27" s="1"/>
      <c r="I27" s="1"/>
      <c r="J27" s="1"/>
      <c r="L27" s="1"/>
      <c r="M27" s="1"/>
    </row>
    <row r="28" spans="1:34" x14ac:dyDescent="0.3">
      <c r="F28" s="1"/>
      <c r="G28" s="1"/>
      <c r="H28" s="1"/>
      <c r="I28" s="1"/>
      <c r="J28" s="1"/>
      <c r="L28" s="1"/>
      <c r="M28" s="1"/>
    </row>
    <row r="29" spans="1:34" x14ac:dyDescent="0.3">
      <c r="F29" s="1"/>
      <c r="G29" s="1"/>
      <c r="H29" s="1"/>
      <c r="I29" s="1"/>
      <c r="J29" s="1"/>
      <c r="L29" s="1"/>
      <c r="M29" s="1"/>
    </row>
    <row r="30" spans="1:34" x14ac:dyDescent="0.3">
      <c r="F30" s="1"/>
      <c r="G30" s="1"/>
      <c r="H30" s="1"/>
      <c r="I30" s="1"/>
      <c r="J30" s="1"/>
      <c r="L30" s="1"/>
      <c r="M30" s="1"/>
    </row>
    <row r="31" spans="1:34" x14ac:dyDescent="0.3">
      <c r="F31" s="1"/>
      <c r="G31" s="1"/>
      <c r="H31" s="1"/>
      <c r="I31" s="1"/>
      <c r="J31" s="1"/>
      <c r="L31" s="1"/>
      <c r="M31" s="1"/>
    </row>
    <row r="32" spans="1:34" x14ac:dyDescent="0.3">
      <c r="F32" s="1"/>
      <c r="G32" s="1"/>
      <c r="H32" s="1"/>
      <c r="I32" s="1"/>
      <c r="J32" s="1"/>
      <c r="L32" s="1"/>
      <c r="M32" s="1"/>
    </row>
    <row r="33" spans="6:13" x14ac:dyDescent="0.3">
      <c r="F33" s="1"/>
      <c r="G33" s="1"/>
      <c r="H33" s="1"/>
      <c r="I33" s="1"/>
      <c r="J33" s="1"/>
      <c r="L33" s="1"/>
      <c r="M33" s="1"/>
    </row>
    <row r="34" spans="6:13" x14ac:dyDescent="0.3">
      <c r="F34" s="1"/>
      <c r="G34" s="1"/>
      <c r="H34" s="1"/>
      <c r="I34" s="1"/>
      <c r="J34" s="1"/>
      <c r="L34" s="1"/>
      <c r="M34" s="1"/>
    </row>
    <row r="35" spans="6:13" x14ac:dyDescent="0.3">
      <c r="F35" s="1"/>
      <c r="G35" s="1"/>
      <c r="H35" s="1"/>
      <c r="I35" s="1"/>
      <c r="J35" s="1"/>
      <c r="L35" s="1"/>
      <c r="M35" s="1"/>
    </row>
    <row r="36" spans="6:13" x14ac:dyDescent="0.3">
      <c r="F36" s="1"/>
      <c r="G36" s="1"/>
      <c r="H36" s="1"/>
      <c r="I36" s="1"/>
      <c r="J36" s="1"/>
      <c r="L36" s="1"/>
      <c r="M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T_scan_lam0.1_xi0.0_xf0.0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Quilter</cp:lastModifiedBy>
  <dcterms:created xsi:type="dcterms:W3CDTF">2026-04-27T09:42:12Z</dcterms:created>
  <dcterms:modified xsi:type="dcterms:W3CDTF">2026-05-01T12:16:09Z</dcterms:modified>
</cp:coreProperties>
</file>