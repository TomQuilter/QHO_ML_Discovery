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13_ncr:1_{AE27C7D2-4630-411E-B969-17F2ED07C1A7}" xr6:coauthVersionLast="47" xr6:coauthVersionMax="47" xr10:uidLastSave="{00000000-0000-0000-0000-000000000000}"/>
  <bookViews>
    <workbookView xWindow="-108" yWindow="-108" windowWidth="23256" windowHeight="12576" xr2:uid="{AD9E557D-234D-4519-AD7E-9398D123EEFC}"/>
  </bookViews>
  <sheets>
    <sheet name="all_endpoints_merged" sheetId="1" r:id="rId1"/>
    <sheet name="all_endpoints_merged (2)" sheetId="2" r:id="rId2"/>
  </sheets>
  <definedNames>
    <definedName name="_xlnm._FilterDatabase" localSheetId="0" hidden="1">all_endpoints_merged!$A$1:$AK$157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6" i="1" l="1"/>
  <c r="G156" i="1"/>
  <c r="H154" i="1"/>
  <c r="G154" i="1"/>
  <c r="H152" i="1"/>
  <c r="G152" i="1"/>
  <c r="H150" i="1"/>
  <c r="G150" i="1"/>
  <c r="H148" i="1"/>
  <c r="G148" i="1"/>
  <c r="H146" i="1"/>
  <c r="G146" i="1"/>
  <c r="H144" i="1"/>
  <c r="G144" i="1"/>
  <c r="H142" i="1"/>
  <c r="G142" i="1"/>
  <c r="H140" i="1"/>
  <c r="G140" i="1"/>
  <c r="H138" i="1"/>
  <c r="G138" i="1"/>
  <c r="H136" i="1"/>
  <c r="G136" i="1"/>
  <c r="H134" i="1"/>
  <c r="G134" i="1"/>
  <c r="H132" i="1"/>
  <c r="G132" i="1"/>
  <c r="H130" i="1"/>
  <c r="G130" i="1"/>
  <c r="H128" i="1"/>
  <c r="G128" i="1"/>
  <c r="H126" i="1"/>
  <c r="G126" i="1"/>
  <c r="H124" i="1"/>
  <c r="G124" i="1"/>
  <c r="H122" i="1"/>
  <c r="G122" i="1"/>
  <c r="H120" i="1"/>
  <c r="G120" i="1"/>
  <c r="H118" i="1"/>
  <c r="G118" i="1"/>
  <c r="H116" i="1"/>
  <c r="G116" i="1"/>
  <c r="H114" i="1"/>
  <c r="G114" i="1"/>
  <c r="H112" i="1"/>
  <c r="G112" i="1"/>
  <c r="H110" i="1"/>
  <c r="G110" i="1"/>
  <c r="H108" i="1"/>
  <c r="G108" i="1"/>
  <c r="H106" i="1"/>
  <c r="G106" i="1"/>
  <c r="H104" i="1"/>
  <c r="G104" i="1"/>
  <c r="H102" i="1"/>
  <c r="G102" i="1"/>
  <c r="H100" i="1"/>
  <c r="G100" i="1"/>
  <c r="H98" i="1"/>
  <c r="G98" i="1"/>
  <c r="H96" i="1"/>
  <c r="G96" i="1"/>
  <c r="H94" i="1"/>
  <c r="G94" i="1"/>
  <c r="H92" i="1"/>
  <c r="G92" i="1"/>
  <c r="H90" i="1"/>
  <c r="G90" i="1"/>
  <c r="H88" i="1"/>
  <c r="G88" i="1"/>
  <c r="H86" i="1"/>
  <c r="G86" i="1"/>
  <c r="H84" i="1"/>
  <c r="G84" i="1"/>
  <c r="H82" i="1"/>
  <c r="G82" i="1"/>
  <c r="H80" i="1"/>
  <c r="G80" i="1"/>
  <c r="H78" i="1"/>
  <c r="G78" i="1"/>
  <c r="H76" i="1"/>
  <c r="G76" i="1"/>
  <c r="H74" i="1"/>
  <c r="G74" i="1"/>
  <c r="H72" i="1"/>
  <c r="G72" i="1"/>
  <c r="H70" i="1"/>
  <c r="G70" i="1"/>
  <c r="H68" i="1"/>
  <c r="G68" i="1"/>
  <c r="H66" i="1"/>
  <c r="G66" i="1"/>
  <c r="H64" i="1"/>
  <c r="G64" i="1"/>
  <c r="H62" i="1"/>
  <c r="G62" i="1"/>
  <c r="H60" i="1"/>
  <c r="G60" i="1"/>
  <c r="H58" i="1"/>
  <c r="G58" i="1"/>
  <c r="H56" i="1"/>
  <c r="G56" i="1"/>
  <c r="H54" i="1"/>
  <c r="G54" i="1"/>
  <c r="H52" i="1"/>
  <c r="G52" i="1"/>
  <c r="H50" i="1"/>
  <c r="G50" i="1"/>
  <c r="H48" i="1"/>
  <c r="G48" i="1"/>
  <c r="H46" i="1"/>
  <c r="G46" i="1"/>
  <c r="H44" i="1"/>
  <c r="G44" i="1"/>
  <c r="H42" i="1"/>
  <c r="G42" i="1"/>
  <c r="H40" i="1"/>
  <c r="G40" i="1"/>
  <c r="H38" i="1"/>
  <c r="G38" i="1"/>
  <c r="H36" i="1"/>
  <c r="G36" i="1"/>
  <c r="H34" i="1"/>
  <c r="G34" i="1"/>
  <c r="H32" i="1"/>
  <c r="G32" i="1"/>
  <c r="H30" i="1"/>
  <c r="G30" i="1"/>
  <c r="H28" i="1"/>
  <c r="G28" i="1"/>
  <c r="H26" i="1"/>
  <c r="G26" i="1"/>
  <c r="H24" i="1"/>
  <c r="G24" i="1"/>
  <c r="H22" i="1"/>
  <c r="G22" i="1"/>
  <c r="H20" i="1"/>
  <c r="G20" i="1"/>
  <c r="H18" i="1"/>
  <c r="G18" i="1"/>
  <c r="H16" i="1"/>
  <c r="G16" i="1"/>
  <c r="H14" i="1"/>
  <c r="G14" i="1"/>
  <c r="H12" i="1"/>
  <c r="G12" i="1"/>
  <c r="H10" i="1"/>
  <c r="G10" i="1"/>
  <c r="H8" i="1"/>
  <c r="G8" i="1"/>
  <c r="H6" i="1"/>
  <c r="G6" i="1"/>
  <c r="H4" i="1"/>
  <c r="G4" i="1"/>
  <c r="G2" i="1"/>
  <c r="H2" i="1"/>
  <c r="U156" i="1"/>
  <c r="T156" i="1"/>
  <c r="S156" i="1"/>
  <c r="U154" i="1"/>
  <c r="T154" i="1"/>
  <c r="S154" i="1"/>
  <c r="U152" i="1"/>
  <c r="T152" i="1"/>
  <c r="S152" i="1"/>
  <c r="U150" i="1"/>
  <c r="T150" i="1"/>
  <c r="S150" i="1"/>
  <c r="U148" i="1"/>
  <c r="T148" i="1"/>
  <c r="S148" i="1"/>
  <c r="U146" i="1"/>
  <c r="T146" i="1"/>
  <c r="S146" i="1"/>
  <c r="U144" i="1"/>
  <c r="T144" i="1"/>
  <c r="S144" i="1"/>
  <c r="U142" i="1"/>
  <c r="T142" i="1"/>
  <c r="S142" i="1"/>
  <c r="U140" i="1"/>
  <c r="T140" i="1"/>
  <c r="S140" i="1"/>
  <c r="U138" i="1"/>
  <c r="T138" i="1"/>
  <c r="S138" i="1"/>
  <c r="U136" i="1"/>
  <c r="T136" i="1"/>
  <c r="S136" i="1"/>
  <c r="U134" i="1"/>
  <c r="T134" i="1"/>
  <c r="S134" i="1"/>
  <c r="U132" i="1"/>
  <c r="T132" i="1"/>
  <c r="S132" i="1"/>
  <c r="U130" i="1"/>
  <c r="T130" i="1"/>
  <c r="S130" i="1"/>
  <c r="U128" i="1"/>
  <c r="T128" i="1"/>
  <c r="S128" i="1"/>
  <c r="U126" i="1"/>
  <c r="T126" i="1"/>
  <c r="S126" i="1"/>
  <c r="U124" i="1"/>
  <c r="T124" i="1"/>
  <c r="S124" i="1"/>
  <c r="U122" i="1"/>
  <c r="T122" i="1"/>
  <c r="S122" i="1"/>
  <c r="U120" i="1"/>
  <c r="T120" i="1"/>
  <c r="S120" i="1"/>
  <c r="U118" i="1"/>
  <c r="T118" i="1"/>
  <c r="S118" i="1"/>
  <c r="U116" i="1"/>
  <c r="T116" i="1"/>
  <c r="S116" i="1"/>
  <c r="U114" i="1"/>
  <c r="T114" i="1"/>
  <c r="S114" i="1"/>
  <c r="U112" i="1"/>
  <c r="T112" i="1"/>
  <c r="S112" i="1"/>
  <c r="U110" i="1"/>
  <c r="T110" i="1"/>
  <c r="S110" i="1"/>
  <c r="U108" i="1"/>
  <c r="T108" i="1"/>
  <c r="S108" i="1"/>
  <c r="U106" i="1"/>
  <c r="T106" i="1"/>
  <c r="S106" i="1"/>
  <c r="U104" i="1"/>
  <c r="T104" i="1"/>
  <c r="S104" i="1"/>
  <c r="U102" i="1"/>
  <c r="T102" i="1"/>
  <c r="S102" i="1"/>
  <c r="U100" i="1"/>
  <c r="T100" i="1"/>
  <c r="S100" i="1"/>
  <c r="U98" i="1"/>
  <c r="T98" i="1"/>
  <c r="S98" i="1"/>
  <c r="U96" i="1"/>
  <c r="T96" i="1"/>
  <c r="S96" i="1"/>
  <c r="U94" i="1"/>
  <c r="T94" i="1"/>
  <c r="S94" i="1"/>
  <c r="U92" i="1"/>
  <c r="T92" i="1"/>
  <c r="S92" i="1"/>
  <c r="U90" i="1"/>
  <c r="T90" i="1"/>
  <c r="S90" i="1"/>
  <c r="U88" i="1"/>
  <c r="T88" i="1"/>
  <c r="S88" i="1"/>
  <c r="U86" i="1"/>
  <c r="T86" i="1"/>
  <c r="S86" i="1"/>
  <c r="U84" i="1"/>
  <c r="T84" i="1"/>
  <c r="S84" i="1"/>
  <c r="U82" i="1"/>
  <c r="T82" i="1"/>
  <c r="S82" i="1"/>
  <c r="U80" i="1"/>
  <c r="T80" i="1"/>
  <c r="S80" i="1"/>
  <c r="U78" i="1"/>
  <c r="T78" i="1"/>
  <c r="S78" i="1"/>
  <c r="U76" i="1"/>
  <c r="T76" i="1"/>
  <c r="S76" i="1"/>
  <c r="U74" i="1"/>
  <c r="T74" i="1"/>
  <c r="S74" i="1"/>
  <c r="U72" i="1"/>
  <c r="T72" i="1"/>
  <c r="S72" i="1"/>
  <c r="U70" i="1"/>
  <c r="T70" i="1"/>
  <c r="S70" i="1"/>
  <c r="U68" i="1"/>
  <c r="T68" i="1"/>
  <c r="S68" i="1"/>
  <c r="U66" i="1"/>
  <c r="T66" i="1"/>
  <c r="S66" i="1"/>
  <c r="U64" i="1"/>
  <c r="T64" i="1"/>
  <c r="S64" i="1"/>
  <c r="U62" i="1"/>
  <c r="T62" i="1"/>
  <c r="S62" i="1"/>
  <c r="U60" i="1"/>
  <c r="T60" i="1"/>
  <c r="S60" i="1"/>
  <c r="U58" i="1"/>
  <c r="T58" i="1"/>
  <c r="S58" i="1"/>
  <c r="U56" i="1"/>
  <c r="T56" i="1"/>
  <c r="S56" i="1"/>
  <c r="U54" i="1"/>
  <c r="T54" i="1"/>
  <c r="S54" i="1"/>
  <c r="U52" i="1"/>
  <c r="T52" i="1"/>
  <c r="S52" i="1"/>
  <c r="U50" i="1"/>
  <c r="T50" i="1"/>
  <c r="S50" i="1"/>
  <c r="U48" i="1"/>
  <c r="T48" i="1"/>
  <c r="S48" i="1"/>
  <c r="U46" i="1"/>
  <c r="T46" i="1"/>
  <c r="S46" i="1"/>
  <c r="U44" i="1"/>
  <c r="T44" i="1"/>
  <c r="S44" i="1"/>
  <c r="U42" i="1"/>
  <c r="T42" i="1"/>
  <c r="S42" i="1"/>
  <c r="U40" i="1"/>
  <c r="T40" i="1"/>
  <c r="S40" i="1"/>
  <c r="U38" i="1"/>
  <c r="T38" i="1"/>
  <c r="S38" i="1"/>
  <c r="U36" i="1"/>
  <c r="T36" i="1"/>
  <c r="S36" i="1"/>
  <c r="U34" i="1"/>
  <c r="T34" i="1"/>
  <c r="S34" i="1"/>
  <c r="U32" i="1"/>
  <c r="T32" i="1"/>
  <c r="S32" i="1"/>
  <c r="U30" i="1"/>
  <c r="T30" i="1"/>
  <c r="S30" i="1"/>
  <c r="U28" i="1"/>
  <c r="T28" i="1"/>
  <c r="S28" i="1"/>
  <c r="U26" i="1"/>
  <c r="T26" i="1"/>
  <c r="S26" i="1"/>
  <c r="U24" i="1"/>
  <c r="T24" i="1"/>
  <c r="S24" i="1"/>
  <c r="U22" i="1"/>
  <c r="T22" i="1"/>
  <c r="S22" i="1"/>
  <c r="U20" i="1"/>
  <c r="T20" i="1"/>
  <c r="S20" i="1"/>
  <c r="U18" i="1"/>
  <c r="T18" i="1"/>
  <c r="S18" i="1"/>
  <c r="U16" i="1"/>
  <c r="T16" i="1"/>
  <c r="S16" i="1"/>
  <c r="U14" i="1"/>
  <c r="T14" i="1"/>
  <c r="S14" i="1"/>
  <c r="U12" i="1"/>
  <c r="T12" i="1"/>
  <c r="S12" i="1"/>
  <c r="U10" i="1"/>
  <c r="T10" i="1"/>
  <c r="S10" i="1"/>
  <c r="U8" i="1"/>
  <c r="T8" i="1"/>
  <c r="S8" i="1"/>
  <c r="U6" i="1"/>
  <c r="T6" i="1"/>
  <c r="S6" i="1"/>
  <c r="U4" i="1"/>
  <c r="T4" i="1"/>
  <c r="S4" i="1"/>
  <c r="T2" i="1"/>
  <c r="U2" i="1"/>
  <c r="S2" i="1"/>
</calcChain>
</file>

<file path=xl/sharedStrings.xml><?xml version="1.0" encoding="utf-8"?>
<sst xmlns="http://schemas.openxmlformats.org/spreadsheetml/2006/main" count="992" uniqueCount="225">
  <si>
    <t>seed</t>
  </si>
  <si>
    <t>ladder_step</t>
  </si>
  <si>
    <t>lam</t>
  </si>
  <si>
    <t>warm_start</t>
  </si>
  <si>
    <t>source_lam</t>
  </si>
  <si>
    <t>K_re</t>
  </si>
  <si>
    <t>K_im</t>
  </si>
  <si>
    <t>abs_K</t>
  </si>
  <si>
    <t>std_err</t>
  </si>
  <si>
    <t>final_loss</t>
  </si>
  <si>
    <t>ess_n</t>
  </si>
  <si>
    <t>K_mehler_re</t>
  </si>
  <si>
    <t>K_mehler_im</t>
  </si>
  <si>
    <t>epochs_used</t>
  </si>
  <si>
    <t>N</t>
  </si>
  <si>
    <t>T</t>
  </si>
  <si>
    <t>m</t>
  </si>
  <si>
    <t>omega</t>
  </si>
  <si>
    <t>eps</t>
  </si>
  <si>
    <t>rank</t>
  </si>
  <si>
    <t>x_i</t>
  </si>
  <si>
    <t>x_f</t>
  </si>
  <si>
    <t>time_s</t>
  </si>
  <si>
    <t>weight_file</t>
  </si>
  <si>
    <t>xf_from_filename</t>
  </si>
  <si>
    <t>source_csv</t>
  </si>
  <si>
    <t>warm_start_weights_vary_end_points/seed42_step00_lam0.0000_xi0_xf0.25.pt</t>
  </si>
  <si>
    <t>warm_start_scan_xi0_xf0.25.csv</t>
  </si>
  <si>
    <t>Y</t>
  </si>
  <si>
    <t>warm_start_weights_vary_end_points/seed42_step01_lam0.1000_xi0_xf0.25.pt</t>
  </si>
  <si>
    <t>warm_start_weights_vary_end_points/seed45_step00_lam0.0000_xi0_xf0.25.pt</t>
  </si>
  <si>
    <t>warm_start_weights_vary_end_points/seed45_step01_lam0.1000_xi0_xf0.25.pt</t>
  </si>
  <si>
    <t>warm_start_weights_vary_end_points/seed42_step00_lam0.0000_xi0_xf0.5.pt</t>
  </si>
  <si>
    <t>warm_start_scan_xi0_xf0.5.csv</t>
  </si>
  <si>
    <t>warm_start_weights_vary_end_points/seed42_step01_lam0.1000_xi0_xf0.5.pt</t>
  </si>
  <si>
    <t>warm_start_weights_vary_end_points/seed45_step00_lam0.0000_xi0_xf0.5.pt</t>
  </si>
  <si>
    <t>warm_start_weights_vary_end_points/seed45_step01_lam0.1000_xi0_xf0.5.pt</t>
  </si>
  <si>
    <t>warm_start_weights_vary_end_points/seed42_step00_lam0.0000_xi0_xf0.75.pt</t>
  </si>
  <si>
    <t>warm_start_scan_xi0_xf0.75.csv</t>
  </si>
  <si>
    <t>warm_start_weights_vary_end_points/seed42_step01_lam0.1000_xi0_xf0.75.pt</t>
  </si>
  <si>
    <t>warm_start_weights_vary_end_points/seed45_step00_lam0.0000_xi0_xf0.75.pt</t>
  </si>
  <si>
    <t>warm_start_weights_vary_end_points/seed45_step01_lam0.1000_xi0_xf0.75.pt</t>
  </si>
  <si>
    <t>warm_start_weights_vary_end_points/seed42_step00_lam0.0000_xi0_xf1.0.pt</t>
  </si>
  <si>
    <t>warm_start_scan_xi0_xf1.0.csv</t>
  </si>
  <si>
    <t>warm_start_weights_vary_end_points/seed42_step01_lam0.1000_xi0_xf1.0.pt</t>
  </si>
  <si>
    <t>warm_start_weights_vary_end_points/seed45_step00_lam0.0000_xi0_xf1.0.pt</t>
  </si>
  <si>
    <t>warm_start_weights_vary_end_points/seed45_step01_lam0.1000_xi0_xf1.0.pt</t>
  </si>
  <si>
    <t>warm_start_weights_vary_end_points/seed42_step00_lam0.0000_xi0_xf1.25.pt</t>
  </si>
  <si>
    <t>warm_start_scan_xi0_xf1.25.csv</t>
  </si>
  <si>
    <t>warm_start_weights_vary_end_points/seed42_step01_lam0.1000_xi0_xf1.25.pt</t>
  </si>
  <si>
    <t>warm_start_weights_vary_end_points/seed45_step00_lam0.0000_xi0_xf1.25.pt</t>
  </si>
  <si>
    <t>warm_start_weights_vary_end_points/seed45_step01_lam0.1000_xi0_xf1.25.pt</t>
  </si>
  <si>
    <t>warm_start_weights_vary_end_points/seed42_step00_lam0.0000_xi0_xf1.5.pt</t>
  </si>
  <si>
    <t>warm_start_scan_xi0_xf1.5.csv</t>
  </si>
  <si>
    <t>warm_start_weights_vary_end_points/seed42_step01_lam0.1000_xi0_xf1.5.pt</t>
  </si>
  <si>
    <t>warm_start_weights_vary_end_points/seed45_step00_lam0.0000_xi0_xf1.5.pt</t>
  </si>
  <si>
    <t>warm_start_weights_vary_end_points/seed45_step01_lam0.1000_xi0_xf1.5.pt</t>
  </si>
  <si>
    <t>warm_start_weights_vary_end_points/seed42_step00_lam0.0000_xi0_xf1.75.pt</t>
  </si>
  <si>
    <t>warm_start_scan_xi0_xf1.75.csv</t>
  </si>
  <si>
    <t>warm_start_weights_vary_end_points/seed42_step01_lam0.1000_xi0_xf1.75.pt</t>
  </si>
  <si>
    <t>warm_start_weights_vary_end_points/seed45_step00_lam0.0000_xi0_xf1.75.pt</t>
  </si>
  <si>
    <t>warm_start_weights_vary_end_points/seed45_step01_lam0.1000_xi0_xf1.75.pt</t>
  </si>
  <si>
    <t>warm_start_weights_vary_end_points/seed42_step00_lam0.0000_xi0_xf2.0.pt</t>
  </si>
  <si>
    <t>warm_start_scan_xi0_xf2.0.csv</t>
  </si>
  <si>
    <t>warm_start_weights_vary_end_points/seed42_step01_lam0.1000_xi0_xf2.0.pt</t>
  </si>
  <si>
    <t>warm_start_weights_vary_end_points/seed45_step00_lam0.0000_xi0_xf2.0.pt</t>
  </si>
  <si>
    <t>warm_start_weights_vary_end_points/seed45_step01_lam0.1000_xi0_xf2.0.pt</t>
  </si>
  <si>
    <t>warm_start_weights_vary_end_points/seed42_step00_lam0.0000_xi0_xf2.25.pt</t>
  </si>
  <si>
    <t>warm_start_scan_xi0_xf2.25.csv</t>
  </si>
  <si>
    <t>warm_start_weights_vary_end_points/seed42_step01_lam0.1000_xi0_xf2.25.pt</t>
  </si>
  <si>
    <t>warm_start_weights_vary_end_points/seed45_step00_lam0.0000_xi0_xf2.25.pt</t>
  </si>
  <si>
    <t>warm_start_weights_vary_end_points/seed45_step01_lam0.1000_xi0_xf2.25.pt</t>
  </si>
  <si>
    <t>warm_start_weights_vary_end_points/seed42_step00_lam0.0000_xi0_xf2.5.pt</t>
  </si>
  <si>
    <t>warm_start_scan_xi0_xf2.5.csv</t>
  </si>
  <si>
    <t>warm_start_weights_vary_end_points/seed42_step01_lam0.1000_xi0_xf2.5.pt</t>
  </si>
  <si>
    <t>warm_start_weights_vary_end_points/seed45_step00_lam0.0000_xi0_xf2.5.pt</t>
  </si>
  <si>
    <t>warm_start_weights_vary_end_points/seed45_step01_lam0.1000_xi0_xf2.5.pt</t>
  </si>
  <si>
    <t>warm_start_weights_vary_end_points/seed42_step00_lam0.0000_xi0_xf2.75.pt</t>
  </si>
  <si>
    <t>warm_start_scan_xi0_xf2.75.csv</t>
  </si>
  <si>
    <t>warm_start_weights_vary_end_points/seed42_step01_lam0.1000_xi0_xf2.75.pt</t>
  </si>
  <si>
    <t>warm_start_weights_vary_end_points/seed45_step00_lam0.0000_xi0_xf2.75.pt</t>
  </si>
  <si>
    <t>warm_start_weights_vary_end_points/seed45_step01_lam0.1000_xi0_xf2.75.pt</t>
  </si>
  <si>
    <t>warm_start_weights_vary_end_points/seed42_step00_lam0.0000_xi0_xf3.0.pt</t>
  </si>
  <si>
    <t>warm_start_scan_xi0_xf3.0.csv</t>
  </si>
  <si>
    <t>warm_start_weights_vary_end_points/seed42_step01_lam0.1000_xi0_xf3.0.pt</t>
  </si>
  <si>
    <t>warm_start_weights_vary_end_points/seed45_step00_lam0.0000_xi0_xf3.0.pt</t>
  </si>
  <si>
    <t>warm_start_weights_vary_end_points/seed45_step01_lam0.1000_xi0_xf3.0.pt</t>
  </si>
  <si>
    <t>warm_start_weights_vary_end_points/seed42_step00_lam0.0000_xi0_xf3.25.pt</t>
  </si>
  <si>
    <t>warm_start_scan_xi0_xf3.25.csv</t>
  </si>
  <si>
    <t>warm_start_weights_vary_end_points/seed42_step01_lam0.1000_xi0_xf3.25.pt</t>
  </si>
  <si>
    <t>warm_start_weights_vary_end_points/seed45_step00_lam0.0000_xi0_xf3.25.pt</t>
  </si>
  <si>
    <t>warm_start_weights_vary_end_points/seed45_step01_lam0.1000_xi0_xf3.25.pt</t>
  </si>
  <si>
    <t>warm_start_weights_vary_end_points/seed42_step00_lam0.0000_xi0_xf3.5.pt</t>
  </si>
  <si>
    <t>warm_start_scan_xi0_xf3.5.csv</t>
  </si>
  <si>
    <t>warm_start_weights_vary_end_points/seed42_step01_lam0.1000_xi0_xf3.5.pt</t>
  </si>
  <si>
    <t>warm_start_weights_vary_end_points/seed45_step00_lam0.0000_xi0_xf3.5.pt</t>
  </si>
  <si>
    <t>warm_start_weights_vary_end_points/seed45_step01_lam0.1000_xi0_xf3.5.pt</t>
  </si>
  <si>
    <t>warm_start_weights_vary_end_points/seed42_step00_lam0.0000_xi0_xf3.75.pt</t>
  </si>
  <si>
    <t>warm_start_scan_xi0_xf3.75.csv</t>
  </si>
  <si>
    <t>warm_start_weights_vary_end_points/seed42_step01_lam0.1000_xi0_xf3.75.pt</t>
  </si>
  <si>
    <t>warm_start_weights_vary_end_points/seed45_step00_lam0.0000_xi0_xf3.75.pt</t>
  </si>
  <si>
    <t>warm_start_weights_vary_end_points/seed45_step01_lam0.1000_xi0_xf3.75.pt</t>
  </si>
  <si>
    <t>warm_start_weights_vary_end_points/seed42_step00_lam0.0000_xi0_xf4.0.pt</t>
  </si>
  <si>
    <t>warm_start_scan_xi0_xf4.0.csv</t>
  </si>
  <si>
    <t>warm_start_weights_vary_end_points/seed42_step01_lam0.1000_xi0_xf4.0.pt</t>
  </si>
  <si>
    <t>warm_start_weights_vary_end_points/seed45_step00_lam0.0000_xi0_xf4.0.pt</t>
  </si>
  <si>
    <t>warm_start_weights_vary_end_points/seed45_step01_lam0.1000_xi0_xf4.0.pt</t>
  </si>
  <si>
    <t>warm_start_weights_vary_end_points/seed42_step00_lam0.0000_xi0_xf4.25.pt</t>
  </si>
  <si>
    <t>warm_start_scan_xi0_xf4.25.csv</t>
  </si>
  <si>
    <t>warm_start_weights_vary_end_points/seed42_step01_lam0.1000_xi0_xf4.25.pt</t>
  </si>
  <si>
    <t>warm_start_weights_vary_end_points/seed45_step00_lam0.0000_xi0_xf4.25.pt</t>
  </si>
  <si>
    <t>warm_start_weights_vary_end_points/seed45_step01_lam0.1000_xi0_xf4.25.pt</t>
  </si>
  <si>
    <t>warm_start_weights_vary_end_points/seed42_step00_lam0.0000_xi0_xf4.5.pt</t>
  </si>
  <si>
    <t>warm_start_scan_xi0_xf4.5.csv</t>
  </si>
  <si>
    <t>warm_start_weights_vary_end_points/seed42_step01_lam0.1000_xi0_xf4.5.pt</t>
  </si>
  <si>
    <t>warm_start_weights_vary_end_points/seed45_step00_lam0.0000_xi0_xf4.5.pt</t>
  </si>
  <si>
    <t>warm_start_weights_vary_end_points/seed45_step01_lam0.1000_xi0_xf4.5.pt</t>
  </si>
  <si>
    <t>warm_start_weights_vary_end_points/seed42_step00_lam0.0000_xi0_xf4.75.pt</t>
  </si>
  <si>
    <t>warm_start_scan_xi0_xf4.75.csv</t>
  </si>
  <si>
    <t>warm_start_weights_vary_end_points/seed42_step01_lam0.1000_xi0_xf4.75.pt</t>
  </si>
  <si>
    <t>warm_start_weights_vary_end_points/seed45_step00_lam0.0000_xi0_xf4.75.pt</t>
  </si>
  <si>
    <t>warm_start_weights_vary_end_points/seed45_step01_lam0.1000_xi0_xf4.75.pt</t>
  </si>
  <si>
    <t>warm_start_weights_vary_end_points/seed42_step00_lam0.0000_xi0_xf5.0.pt</t>
  </si>
  <si>
    <t>warm_start_scan_xi0_xf5.0.csv</t>
  </si>
  <si>
    <t>warm_start_weights_vary_end_points/seed42_step01_lam0.1000_xi0_xf5.0.pt</t>
  </si>
  <si>
    <t>warm_start_weights_vary_end_points/seed45_step00_lam0.0000_xi0_xf5.0.pt</t>
  </si>
  <si>
    <t>warm_start_weights_vary_end_points/seed45_step01_lam0.1000_xi0_xf5.0.pt</t>
  </si>
  <si>
    <t>warm_start_weights_vary_end_points/seed42_step00_lam0.0000_xi0_xf5.25.pt</t>
  </si>
  <si>
    <t>warm_start_scan_xi0_xf5.25.csv</t>
  </si>
  <si>
    <t>warm_start_weights_vary_end_points/seed42_step01_lam0.1000_xi0_xf5.25.pt</t>
  </si>
  <si>
    <t>warm_start_weights_vary_end_points/seed45_step00_lam0.0000_xi0_xf5.25.pt</t>
  </si>
  <si>
    <t>warm_start_weights_vary_end_points/seed45_step01_lam0.1000_xi0_xf5.25.pt</t>
  </si>
  <si>
    <t>warm_start_weights_vary_end_points/seed42_step00_lam0.0000_xi0_xf5.5.pt</t>
  </si>
  <si>
    <t>warm_start_scan_xi0_xf5.5.csv</t>
  </si>
  <si>
    <t>warm_start_weights_vary_end_points/seed42_step01_lam0.1000_xi0_xf5.5.pt</t>
  </si>
  <si>
    <t>warm_start_weights_vary_end_points/seed45_step00_lam0.0000_xi0_xf5.5.pt</t>
  </si>
  <si>
    <t>warm_start_weights_vary_end_points/seed45_step01_lam0.1000_xi0_xf5.5.pt</t>
  </si>
  <si>
    <t>warm_start_weights_vary_end_points/seed42_step00_lam0.0000_xi0_xf5.75.pt</t>
  </si>
  <si>
    <t>warm_start_scan_xi0_xf5.75.csv</t>
  </si>
  <si>
    <t>warm_start_weights_vary_end_points/seed42_step01_lam0.1000_xi0_xf5.75.pt</t>
  </si>
  <si>
    <t>warm_start_weights_vary_end_points/seed45_step00_lam0.0000_xi0_xf5.75.pt</t>
  </si>
  <si>
    <t>warm_start_weights_vary_end_points/seed45_step01_lam0.1000_xi0_xf5.75.pt</t>
  </si>
  <si>
    <t>warm_start_weights_vary_end_points/seed42_step00_lam0.0000_xi0_xf6.0.pt</t>
  </si>
  <si>
    <t>warm_start_scan_xi0_xf6.0.csv</t>
  </si>
  <si>
    <t>warm_start_weights_vary_end_points/seed42_step01_lam0.1000_xi0_xf6.0.pt</t>
  </si>
  <si>
    <t>warm_start_weights_vary_end_points/seed45_step00_lam0.0000_xi0_xf6.0.pt</t>
  </si>
  <si>
    <t>warm_start_weights_vary_end_points/seed45_step01_lam0.1000_xi0_xf6.0.pt</t>
  </si>
  <si>
    <t>warm_start_weights_vary_end_points/seed42_step00_lam0.0000_xi0_xf6.25.pt</t>
  </si>
  <si>
    <t>warm_start_scan_xi0_xf6.25.csv</t>
  </si>
  <si>
    <t>warm_start_weights_vary_end_points/seed42_step01_lam0.1000_xi0_xf6.25.pt</t>
  </si>
  <si>
    <t>warm_start_weights_vary_end_points/seed45_step00_lam0.0000_xi0_xf6.25.pt</t>
  </si>
  <si>
    <t>warm_start_weights_vary_end_points/seed45_step01_lam0.1000_xi0_xf6.25.pt</t>
  </si>
  <si>
    <t>warm_start_weights_vary_end_points/seed42_step00_lam0.0000_xi0_xf6.5.pt</t>
  </si>
  <si>
    <t>warm_start_scan_xi0_xf6.5.csv</t>
  </si>
  <si>
    <t>warm_start_weights_vary_end_points/seed42_step01_lam0.1000_xi0_xf6.5.pt</t>
  </si>
  <si>
    <t>warm_start_weights_vary_end_points/seed45_step00_lam0.0000_xi0_xf6.5.pt</t>
  </si>
  <si>
    <t>warm_start_weights_vary_end_points/seed45_step01_lam0.1000_xi0_xf6.5.pt</t>
  </si>
  <si>
    <t>warm_start_weights_vary_end_points/seed42_step00_lam0.0000_xi0_xf6.75.pt</t>
  </si>
  <si>
    <t>warm_start_scan_xi0_xf6.75.csv</t>
  </si>
  <si>
    <t>warm_start_weights_vary_end_points/seed42_step01_lam0.1000_xi0_xf6.75.pt</t>
  </si>
  <si>
    <t>warm_start_weights_vary_end_points/seed45_step00_lam0.0000_xi0_xf6.75.pt</t>
  </si>
  <si>
    <t>warm_start_weights_vary_end_points/seed45_step01_lam0.1000_xi0_xf6.75.pt</t>
  </si>
  <si>
    <t>warm_start_weights_vary_end_points/seed42_step00_lam0.0000_xi0_xf7.0.pt</t>
  </si>
  <si>
    <t>warm_start_scan_xi0_xf7.0.csv</t>
  </si>
  <si>
    <t>warm_start_weights_vary_end_points/seed42_step01_lam0.1000_xi0_xf7.0.pt</t>
  </si>
  <si>
    <t>warm_start_weights_vary_end_points/seed45_step00_lam0.0000_xi0_xf7.0.pt</t>
  </si>
  <si>
    <t>warm_start_weights_vary_end_points/seed45_step01_lam0.1000_xi0_xf7.0.pt</t>
  </si>
  <si>
    <t>warm_start_weights_vary_end_points/seed42_step00_lam0.0000_xi0_xf7.25.pt</t>
  </si>
  <si>
    <t>warm_start_scan_xi0_xf7.25.csv</t>
  </si>
  <si>
    <t>warm_start_weights_vary_end_points/seed42_step01_lam0.1000_xi0_xf7.25.pt</t>
  </si>
  <si>
    <t>warm_start_weights_vary_end_points/seed45_step00_lam0.0000_xi0_xf7.25.pt</t>
  </si>
  <si>
    <t>warm_start_weights_vary_end_points/seed45_step01_lam0.1000_xi0_xf7.25.pt</t>
  </si>
  <si>
    <t>warm_start_weights_vary_end_points/seed42_step00_lam0.0000_xi0_xf7.5.pt</t>
  </si>
  <si>
    <t>warm_start_scan_xi0_xf7.5.csv</t>
  </si>
  <si>
    <t>warm_start_weights_vary_end_points/seed42_step01_lam0.1000_xi0_xf7.5.pt</t>
  </si>
  <si>
    <t>warm_start_weights_vary_end_points/seed45_step00_lam0.0000_xi0_xf7.5.pt</t>
  </si>
  <si>
    <t>warm_start_weights_vary_end_points/seed45_step01_lam0.1000_xi0_xf7.5.pt</t>
  </si>
  <si>
    <t>warm_start_weights_vary_end_points/seed42_step00_lam0.0000_xi0_xf7.75.pt</t>
  </si>
  <si>
    <t>warm_start_scan_xi0_xf7.75.csv</t>
  </si>
  <si>
    <t>warm_start_weights_vary_end_points/seed42_step01_lam0.1000_xi0_xf7.75.pt</t>
  </si>
  <si>
    <t>warm_start_weights_vary_end_points/seed45_step00_lam0.0000_xi0_xf7.75.pt</t>
  </si>
  <si>
    <t>warm_start_weights_vary_end_points/seed45_step01_lam0.1000_xi0_xf7.75.pt</t>
  </si>
  <si>
    <t>warm_start_weights_vary_end_points/seed42_step00_lam0.0000_xi0_xf8.0.pt</t>
  </si>
  <si>
    <t>warm_start_scan_xi0_xf8.0.csv</t>
  </si>
  <si>
    <t>warm_start_weights_vary_end_points/seed42_step01_lam0.1000_xi0_xf8.0.pt</t>
  </si>
  <si>
    <t>warm_start_weights_vary_end_points/seed45_step00_lam0.0000_xi0_xf8.0.pt</t>
  </si>
  <si>
    <t>warm_start_weights_vary_end_points/seed45_step01_lam0.1000_xi0_xf8.0.pt</t>
  </si>
  <si>
    <t>warm_start_weights_vary_end_points/seed42_step00_lam0.0000_xi0_xf8.25.pt</t>
  </si>
  <si>
    <t>warm_start_scan_xi0_xf8.25.csv</t>
  </si>
  <si>
    <t>warm_start_weights_vary_end_points/seed42_step01_lam0.1000_xi0_xf8.25.pt</t>
  </si>
  <si>
    <t>warm_start_weights_vary_end_points/seed45_step00_lam0.0000_xi0_xf8.25.pt</t>
  </si>
  <si>
    <t>warm_start_weights_vary_end_points/seed45_step01_lam0.1000_xi0_xf8.25.pt</t>
  </si>
  <si>
    <t>warm_start_weights_vary_end_points/seed42_step00_lam0.0000_xi0_xf8.5.pt</t>
  </si>
  <si>
    <t>warm_start_scan_xi0_xf8.5.csv</t>
  </si>
  <si>
    <t>warm_start_weights_vary_end_points/seed42_step01_lam0.1000_xi0_xf8.5.pt</t>
  </si>
  <si>
    <t>warm_start_weights_vary_end_points/seed45_step00_lam0.0000_xi0_xf8.5.pt</t>
  </si>
  <si>
    <t>warm_start_weights_vary_end_points/seed45_step01_lam0.1000_xi0_xf8.5.pt</t>
  </si>
  <si>
    <t>warm_start_weights_vary_end_points/seed42_step00_lam0.0000_xi0_xf8.75.pt</t>
  </si>
  <si>
    <t>warm_start_scan_xi0_xf8.75.csv</t>
  </si>
  <si>
    <t>warm_start_weights_vary_end_points/seed42_step01_lam0.1000_xi0_xf8.75.pt</t>
  </si>
  <si>
    <t>warm_start_weights_vary_end_points/seed45_step00_lam0.0000_xi0_xf8.75.pt</t>
  </si>
  <si>
    <t>warm_start_weights_vary_end_points/seed45_step01_lam0.1000_xi0_xf8.75.pt</t>
  </si>
  <si>
    <t>warm_start_weights_vary_end_points/seed42_step00_lam0.0000_xi0_xf9.0.pt</t>
  </si>
  <si>
    <t>warm_start_scan_xi0_xf9.0.csv</t>
  </si>
  <si>
    <t>warm_start_weights_vary_end_points/seed42_step01_lam0.1000_xi0_xf9.0.pt</t>
  </si>
  <si>
    <t>warm_start_weights_vary_end_points/seed45_step00_lam0.0000_xi0_xf9.0.pt</t>
  </si>
  <si>
    <t>warm_start_weights_vary_end_points/seed45_step01_lam0.1000_xi0_xf9.0.pt</t>
  </si>
  <si>
    <t>warm_start_weights_vary_end_points/seed42_step00_lam0.0000_xi0_xf9.25.pt</t>
  </si>
  <si>
    <t>warm_start_scan_xi0_xf9.25.csv</t>
  </si>
  <si>
    <t>warm_start_weights_vary_end_points/seed42_step01_lam0.1000_xi0_xf9.25.pt</t>
  </si>
  <si>
    <t>warm_start_weights_vary_end_points/seed45_step00_lam0.0000_xi0_xf9.25.pt</t>
  </si>
  <si>
    <t>warm_start_weights_vary_end_points/seed45_step01_lam0.1000_xi0_xf9.25.pt</t>
  </si>
  <si>
    <t>warm_start_weights_vary_end_points/seed42_step00_lam0.0000_xi0_xf9.5.pt</t>
  </si>
  <si>
    <t>warm_start_scan_xi0_xf9.5.csv</t>
  </si>
  <si>
    <t>warm_start_weights_vary_end_points/seed42_step01_lam0.1000_xi0_xf9.5.pt</t>
  </si>
  <si>
    <t>warm_start_weights_vary_end_points/seed45_step00_lam0.0000_xi0_xf9.5.pt</t>
  </si>
  <si>
    <t>warm_start_weights_vary_end_points/seed45_step01_lam0.1000_xi0_xf9.5.pt</t>
  </si>
  <si>
    <t>warm_start_weights_vary_end_points/seed42_step00_lam0.0000_xi0_xf9.75.pt</t>
  </si>
  <si>
    <t>warm_start_scan_xi0_xf9.75.csv</t>
  </si>
  <si>
    <t>warm_start_weights_vary_end_points/seed42_step01_lam0.1000_xi0_xf9.75.pt</t>
  </si>
  <si>
    <t>warm_start_weights_vary_end_points/seed45_step00_lam0.0000_xi0_xf9.75.pt</t>
  </si>
  <si>
    <t>warm_start_weights_vary_end_points/seed45_step01_lam0.1000_xi0_xf9.75.pt</t>
  </si>
  <si>
    <t>Need to sort the sign swithing and IM+Real Swithing</t>
  </si>
  <si>
    <t>Exact Mehler Result</t>
  </si>
  <si>
    <t>absML_RL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</si>
</sst>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89AE-B68F-40A6-BA76-FB1AE22F7C8B}">
  <sheetPr filterMode="1"/>
  <dimension ref="A1:AK161"/>
  <sheetViews>
    <sheetView tabSelected="1" topLeftCell="A116" zoomScale="115" zoomScaleNormal="115" workbookViewId="0">
      <selection activeCell="J128" sqref="J128"/>
    </sheetView>
  </sheetViews>
  <sheetFormatPr defaultRowHeight="14.4" x14ac:dyDescent="0.3"/>
  <cols>
    <col min="7" max="7" width="13.109375" bestFit="1" customWidth="1"/>
  </cols>
  <sheetData>
    <row r="1" spans="1:37" x14ac:dyDescent="0.3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I1" s="2"/>
      <c r="J1" s="3" t="s">
        <v>223</v>
      </c>
      <c r="K1" s="3"/>
      <c r="L1" s="4"/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224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</row>
    <row r="2" spans="1:37" x14ac:dyDescent="0.3">
      <c r="A2">
        <v>0.25</v>
      </c>
      <c r="B2">
        <v>42</v>
      </c>
      <c r="C2">
        <v>0</v>
      </c>
      <c r="D2">
        <v>0</v>
      </c>
      <c r="E2" t="s">
        <v>14</v>
      </c>
      <c r="G2" s="1">
        <f>J2-S2</f>
        <v>-4.6182254741011786E-5</v>
      </c>
      <c r="H2" s="1">
        <f>K2+T2</f>
        <v>-3.2283990424197828E-4</v>
      </c>
      <c r="I2" s="5">
        <v>0.25</v>
      </c>
      <c r="J2" s="6">
        <v>0.31362972888000001</v>
      </c>
      <c r="K2" s="6">
        <v>-0.30128947640699999</v>
      </c>
      <c r="L2" s="7">
        <v>0.43490108695099999</v>
      </c>
      <c r="M2">
        <v>-0.31367591113474103</v>
      </c>
      <c r="N2">
        <v>0.30096663650275801</v>
      </c>
      <c r="O2">
        <v>0.434710815961593</v>
      </c>
      <c r="P2">
        <v>2.878037E-9</v>
      </c>
      <c r="Q2" s="1">
        <v>5.171002E-12</v>
      </c>
      <c r="R2">
        <v>1</v>
      </c>
      <c r="S2">
        <f>ABS(M2)</f>
        <v>0.31367591113474103</v>
      </c>
      <c r="T2">
        <f t="shared" ref="T2:U2" si="0">ABS(N2)</f>
        <v>0.30096663650275801</v>
      </c>
      <c r="U2">
        <f t="shared" si="0"/>
        <v>0.434710815961593</v>
      </c>
      <c r="W2" s="1">
        <v>0.31362972888013302</v>
      </c>
      <c r="X2" s="1">
        <v>-0.30128947640662401</v>
      </c>
      <c r="Y2">
        <v>15000</v>
      </c>
      <c r="Z2">
        <v>16</v>
      </c>
      <c r="AA2">
        <v>1</v>
      </c>
      <c r="AB2">
        <v>1</v>
      </c>
      <c r="AC2">
        <v>1</v>
      </c>
      <c r="AD2">
        <v>0.01</v>
      </c>
      <c r="AE2">
        <v>16</v>
      </c>
      <c r="AF2">
        <v>0</v>
      </c>
      <c r="AG2">
        <v>0.25</v>
      </c>
      <c r="AH2">
        <v>308.7</v>
      </c>
      <c r="AI2" t="s">
        <v>26</v>
      </c>
      <c r="AJ2">
        <v>0.25</v>
      </c>
      <c r="AK2" t="s">
        <v>27</v>
      </c>
    </row>
    <row r="3" spans="1:37" hidden="1" x14ac:dyDescent="0.3">
      <c r="A3">
        <v>0.25</v>
      </c>
      <c r="B3">
        <v>42</v>
      </c>
      <c r="C3">
        <v>1</v>
      </c>
      <c r="D3">
        <v>0.1</v>
      </c>
      <c r="E3" t="s">
        <v>28</v>
      </c>
      <c r="F3">
        <v>0</v>
      </c>
      <c r="G3" s="1"/>
      <c r="H3" s="1"/>
      <c r="I3" s="5"/>
      <c r="J3" s="6"/>
      <c r="K3" s="6"/>
      <c r="L3" s="7"/>
      <c r="M3">
        <v>-0.31458179788690599</v>
      </c>
      <c r="N3">
        <v>0.30040485483457702</v>
      </c>
      <c r="O3">
        <v>0.434976763022971</v>
      </c>
      <c r="P3">
        <v>5.9733549999999997E-6</v>
      </c>
      <c r="Q3" s="1">
        <v>1.3577829999999999E-5</v>
      </c>
      <c r="R3">
        <v>0.99998200000000004</v>
      </c>
      <c r="W3" s="1">
        <v>0.31362972888013302</v>
      </c>
      <c r="X3" s="1">
        <v>-0.30128947640662401</v>
      </c>
      <c r="Y3">
        <v>9000</v>
      </c>
      <c r="Z3">
        <v>16</v>
      </c>
      <c r="AA3">
        <v>1</v>
      </c>
      <c r="AB3">
        <v>1</v>
      </c>
      <c r="AC3">
        <v>1</v>
      </c>
      <c r="AD3">
        <v>0.01</v>
      </c>
      <c r="AE3">
        <v>16</v>
      </c>
      <c r="AF3">
        <v>0</v>
      </c>
      <c r="AG3">
        <v>0.25</v>
      </c>
      <c r="AH3">
        <v>174.4</v>
      </c>
      <c r="AI3" t="s">
        <v>29</v>
      </c>
      <c r="AJ3">
        <v>0.25</v>
      </c>
      <c r="AK3" t="s">
        <v>27</v>
      </c>
    </row>
    <row r="4" spans="1:37" x14ac:dyDescent="0.3">
      <c r="A4">
        <v>0.25</v>
      </c>
      <c r="B4">
        <v>45</v>
      </c>
      <c r="C4">
        <v>0</v>
      </c>
      <c r="D4">
        <v>0</v>
      </c>
      <c r="E4" t="s">
        <v>14</v>
      </c>
      <c r="G4" s="1">
        <f>J4-S4</f>
        <v>5.6003134070170546E-6</v>
      </c>
      <c r="H4" s="1">
        <f>K4+T4</f>
        <v>-2.3609897979298688E-4</v>
      </c>
      <c r="I4" s="5">
        <v>0.25</v>
      </c>
      <c r="J4" s="6">
        <v>0.31362972888000001</v>
      </c>
      <c r="K4" s="6">
        <v>-0.30128947640699999</v>
      </c>
      <c r="L4" s="7">
        <v>0.43490108695099999</v>
      </c>
      <c r="M4">
        <v>-0.313624128566593</v>
      </c>
      <c r="N4">
        <v>0.301053377427207</v>
      </c>
      <c r="O4">
        <v>0.434733516167644</v>
      </c>
      <c r="P4">
        <v>2.8719749999999999E-9</v>
      </c>
      <c r="Q4" s="1">
        <v>5.6692630000000001E-12</v>
      </c>
      <c r="R4">
        <v>1</v>
      </c>
      <c r="S4">
        <f>ABS(M4)</f>
        <v>0.313624128566593</v>
      </c>
      <c r="T4">
        <f t="shared" ref="T4" si="1">ABS(N4)</f>
        <v>0.301053377427207</v>
      </c>
      <c r="U4">
        <f t="shared" ref="U4" si="2">ABS(O4)</f>
        <v>0.434733516167644</v>
      </c>
      <c r="W4" s="1">
        <v>0.31362972888013302</v>
      </c>
      <c r="X4" s="1">
        <v>-0.30128947640662401</v>
      </c>
      <c r="Y4">
        <v>15000</v>
      </c>
      <c r="Z4">
        <v>16</v>
      </c>
      <c r="AA4">
        <v>1</v>
      </c>
      <c r="AB4">
        <v>1</v>
      </c>
      <c r="AC4">
        <v>1</v>
      </c>
      <c r="AD4">
        <v>0.01</v>
      </c>
      <c r="AE4">
        <v>16</v>
      </c>
      <c r="AF4">
        <v>0</v>
      </c>
      <c r="AG4">
        <v>0.25</v>
      </c>
      <c r="AH4">
        <v>289</v>
      </c>
      <c r="AI4" t="s">
        <v>30</v>
      </c>
      <c r="AJ4">
        <v>0.25</v>
      </c>
      <c r="AK4" t="s">
        <v>27</v>
      </c>
    </row>
    <row r="5" spans="1:37" hidden="1" x14ac:dyDescent="0.3">
      <c r="A5">
        <v>0.25</v>
      </c>
      <c r="B5">
        <v>45</v>
      </c>
      <c r="C5">
        <v>1</v>
      </c>
      <c r="D5">
        <v>0.1</v>
      </c>
      <c r="E5" t="s">
        <v>28</v>
      </c>
      <c r="F5">
        <v>0</v>
      </c>
      <c r="I5" s="5"/>
      <c r="J5" s="6"/>
      <c r="K5" s="6"/>
      <c r="L5" s="7"/>
      <c r="M5">
        <v>-0.31457804437230003</v>
      </c>
      <c r="N5">
        <v>0.30041436109768899</v>
      </c>
      <c r="O5">
        <v>0.43498061376897501</v>
      </c>
      <c r="P5">
        <v>5.0755239999999998E-6</v>
      </c>
      <c r="Q5" s="1">
        <v>1.029095E-5</v>
      </c>
      <c r="R5">
        <v>0.99998600000000004</v>
      </c>
      <c r="W5" s="1">
        <v>0.31362972888013302</v>
      </c>
      <c r="X5" s="1">
        <v>-0.30128947640662401</v>
      </c>
      <c r="Y5">
        <v>9000</v>
      </c>
      <c r="Z5">
        <v>16</v>
      </c>
      <c r="AA5">
        <v>1</v>
      </c>
      <c r="AB5">
        <v>1</v>
      </c>
      <c r="AC5">
        <v>1</v>
      </c>
      <c r="AD5">
        <v>0.01</v>
      </c>
      <c r="AE5">
        <v>16</v>
      </c>
      <c r="AF5">
        <v>0</v>
      </c>
      <c r="AG5">
        <v>0.25</v>
      </c>
      <c r="AH5">
        <v>172.8</v>
      </c>
      <c r="AI5" t="s">
        <v>31</v>
      </c>
      <c r="AJ5">
        <v>0.25</v>
      </c>
      <c r="AK5" t="s">
        <v>27</v>
      </c>
    </row>
    <row r="6" spans="1:37" x14ac:dyDescent="0.3">
      <c r="A6">
        <v>0.5</v>
      </c>
      <c r="B6">
        <v>42</v>
      </c>
      <c r="C6">
        <v>0</v>
      </c>
      <c r="D6">
        <v>0</v>
      </c>
      <c r="E6" t="s">
        <v>14</v>
      </c>
      <c r="G6" s="1">
        <f>J6-S6</f>
        <v>-6.7821716318700043E-4</v>
      </c>
      <c r="H6" s="1">
        <f>K6+T6</f>
        <v>-1.2536485832460031E-3</v>
      </c>
      <c r="I6" s="5">
        <v>0.5</v>
      </c>
      <c r="J6" s="6">
        <v>0.33118719437499999</v>
      </c>
      <c r="K6" s="6">
        <v>-0.28187585514300001</v>
      </c>
      <c r="L6" s="7">
        <v>0.43490108695099999</v>
      </c>
      <c r="M6">
        <v>0.33186541153818699</v>
      </c>
      <c r="N6">
        <v>-0.28062220655975401</v>
      </c>
      <c r="O6">
        <v>0.43460726430868102</v>
      </c>
      <c r="P6">
        <v>2.6988060000000001E-9</v>
      </c>
      <c r="Q6" s="1">
        <v>5.3051579999999996E-12</v>
      </c>
      <c r="R6">
        <v>1</v>
      </c>
      <c r="S6">
        <f>ABS(M6)</f>
        <v>0.33186541153818699</v>
      </c>
      <c r="T6">
        <f t="shared" ref="T6" si="3">ABS(N6)</f>
        <v>0.28062220655975401</v>
      </c>
      <c r="U6">
        <f t="shared" ref="U6" si="4">ABS(O6)</f>
        <v>0.43460726430868102</v>
      </c>
      <c r="W6" s="1">
        <v>0.33118719437495803</v>
      </c>
      <c r="X6" s="1">
        <v>-0.28187585514344299</v>
      </c>
      <c r="Y6">
        <v>15000</v>
      </c>
      <c r="Z6">
        <v>16</v>
      </c>
      <c r="AA6">
        <v>1</v>
      </c>
      <c r="AB6">
        <v>1</v>
      </c>
      <c r="AC6">
        <v>1</v>
      </c>
      <c r="AD6">
        <v>0.01</v>
      </c>
      <c r="AE6">
        <v>16</v>
      </c>
      <c r="AF6">
        <v>0</v>
      </c>
      <c r="AG6">
        <v>0.5</v>
      </c>
      <c r="AH6">
        <v>290</v>
      </c>
      <c r="AI6" t="s">
        <v>32</v>
      </c>
      <c r="AJ6">
        <v>0.5</v>
      </c>
      <c r="AK6" t="s">
        <v>33</v>
      </c>
    </row>
    <row r="7" spans="1:37" hidden="1" x14ac:dyDescent="0.3">
      <c r="A7">
        <v>0.5</v>
      </c>
      <c r="B7">
        <v>42</v>
      </c>
      <c r="C7">
        <v>1</v>
      </c>
      <c r="D7">
        <v>0.1</v>
      </c>
      <c r="E7" t="s">
        <v>28</v>
      </c>
      <c r="F7">
        <v>0</v>
      </c>
      <c r="I7" s="5"/>
      <c r="J7" s="6"/>
      <c r="K7" s="6"/>
      <c r="L7" s="7"/>
      <c r="M7">
        <v>0.33329903079145901</v>
      </c>
      <c r="N7">
        <v>-0.28049227414286998</v>
      </c>
      <c r="O7">
        <v>0.43561928306763997</v>
      </c>
      <c r="P7">
        <v>7.9090380000000006E-6</v>
      </c>
      <c r="Q7" s="1">
        <v>2.4465219999999999E-5</v>
      </c>
      <c r="R7">
        <v>0.99996799999999997</v>
      </c>
      <c r="W7" s="1">
        <v>0.33118719437495803</v>
      </c>
      <c r="X7" s="1">
        <v>-0.28187585514344299</v>
      </c>
      <c r="Y7">
        <v>9000</v>
      </c>
      <c r="Z7">
        <v>16</v>
      </c>
      <c r="AA7">
        <v>1</v>
      </c>
      <c r="AB7">
        <v>1</v>
      </c>
      <c r="AC7">
        <v>1</v>
      </c>
      <c r="AD7">
        <v>0.01</v>
      </c>
      <c r="AE7">
        <v>16</v>
      </c>
      <c r="AF7">
        <v>0</v>
      </c>
      <c r="AG7">
        <v>0.5</v>
      </c>
      <c r="AH7">
        <v>172.8</v>
      </c>
      <c r="AI7" t="s">
        <v>34</v>
      </c>
      <c r="AJ7">
        <v>0.5</v>
      </c>
      <c r="AK7" t="s">
        <v>33</v>
      </c>
    </row>
    <row r="8" spans="1:37" x14ac:dyDescent="0.3">
      <c r="A8">
        <v>0.5</v>
      </c>
      <c r="B8">
        <v>45</v>
      </c>
      <c r="C8">
        <v>0</v>
      </c>
      <c r="D8">
        <v>0</v>
      </c>
      <c r="E8" t="s">
        <v>14</v>
      </c>
      <c r="G8" s="1">
        <f>J8-S8</f>
        <v>-6.8144664635499952E-4</v>
      </c>
      <c r="H8" s="1">
        <f>K8+T8</f>
        <v>-1.2871662256500049E-3</v>
      </c>
      <c r="I8" s="5">
        <v>0.5</v>
      </c>
      <c r="J8" s="6">
        <v>0.33118719437499999</v>
      </c>
      <c r="K8" s="6">
        <v>-0.28187585514300001</v>
      </c>
      <c r="L8" s="7">
        <v>0.43490108695099999</v>
      </c>
      <c r="M8">
        <v>0.33186864102135499</v>
      </c>
      <c r="N8">
        <v>-0.28058868891735</v>
      </c>
      <c r="O8">
        <v>0.43458808916227598</v>
      </c>
      <c r="P8">
        <v>2.461049E-9</v>
      </c>
      <c r="Q8" s="1">
        <v>3.599166E-12</v>
      </c>
      <c r="R8">
        <v>1</v>
      </c>
      <c r="S8">
        <f>ABS(M8)</f>
        <v>0.33186864102135499</v>
      </c>
      <c r="T8">
        <f t="shared" ref="T8" si="5">ABS(N8)</f>
        <v>0.28058868891735</v>
      </c>
      <c r="U8">
        <f t="shared" ref="U8" si="6">ABS(O8)</f>
        <v>0.43458808916227598</v>
      </c>
      <c r="W8" s="1">
        <v>0.33118719437495803</v>
      </c>
      <c r="X8" s="1">
        <v>-0.28187585514344299</v>
      </c>
      <c r="Y8">
        <v>15000</v>
      </c>
      <c r="Z8">
        <v>16</v>
      </c>
      <c r="AA8">
        <v>1</v>
      </c>
      <c r="AB8">
        <v>1</v>
      </c>
      <c r="AC8">
        <v>1</v>
      </c>
      <c r="AD8">
        <v>0.01</v>
      </c>
      <c r="AE8">
        <v>16</v>
      </c>
      <c r="AF8">
        <v>0</v>
      </c>
      <c r="AG8">
        <v>0.5</v>
      </c>
      <c r="AH8">
        <v>288.2</v>
      </c>
      <c r="AI8" t="s">
        <v>35</v>
      </c>
      <c r="AJ8">
        <v>0.5</v>
      </c>
      <c r="AK8" t="s">
        <v>33</v>
      </c>
    </row>
    <row r="9" spans="1:37" hidden="1" x14ac:dyDescent="0.3">
      <c r="A9">
        <v>0.5</v>
      </c>
      <c r="B9">
        <v>45</v>
      </c>
      <c r="C9">
        <v>1</v>
      </c>
      <c r="D9">
        <v>0.1</v>
      </c>
      <c r="E9" t="s">
        <v>28</v>
      </c>
      <c r="F9">
        <v>0</v>
      </c>
      <c r="I9" s="5"/>
      <c r="J9" s="6"/>
      <c r="K9" s="6"/>
      <c r="L9" s="7"/>
      <c r="M9">
        <v>0.33331077942133402</v>
      </c>
      <c r="N9">
        <v>-0.28047493418889502</v>
      </c>
      <c r="O9">
        <v>0.43561710754597599</v>
      </c>
      <c r="P9">
        <v>7.073358E-6</v>
      </c>
      <c r="Q9" s="1">
        <v>2.0240629999999999E-5</v>
      </c>
      <c r="R9">
        <v>0.999973</v>
      </c>
      <c r="W9" s="1">
        <v>0.33118719437495803</v>
      </c>
      <c r="X9" s="1">
        <v>-0.28187585514344299</v>
      </c>
      <c r="Y9">
        <v>9000</v>
      </c>
      <c r="Z9">
        <v>16</v>
      </c>
      <c r="AA9">
        <v>1</v>
      </c>
      <c r="AB9">
        <v>1</v>
      </c>
      <c r="AC9">
        <v>1</v>
      </c>
      <c r="AD9">
        <v>0.01</v>
      </c>
      <c r="AE9">
        <v>16</v>
      </c>
      <c r="AF9">
        <v>0</v>
      </c>
      <c r="AG9">
        <v>0.5</v>
      </c>
      <c r="AH9">
        <v>171.4</v>
      </c>
      <c r="AI9" t="s">
        <v>36</v>
      </c>
      <c r="AJ9">
        <v>0.5</v>
      </c>
      <c r="AK9" t="s">
        <v>33</v>
      </c>
    </row>
    <row r="10" spans="1:37" x14ac:dyDescent="0.3">
      <c r="A10">
        <v>0.75</v>
      </c>
      <c r="B10">
        <v>42</v>
      </c>
      <c r="C10">
        <v>0</v>
      </c>
      <c r="D10">
        <v>0</v>
      </c>
      <c r="E10" t="s">
        <v>14</v>
      </c>
      <c r="G10" s="1">
        <f>J10-S10</f>
        <v>-1.4897074920129927E-3</v>
      </c>
      <c r="H10" s="1">
        <f>K10+T10</f>
        <v>-3.2053275674479853E-3</v>
      </c>
      <c r="I10" s="5">
        <v>0.75</v>
      </c>
      <c r="J10" s="6">
        <v>0.357754142484</v>
      </c>
      <c r="K10" s="6">
        <v>-0.24728713869999999</v>
      </c>
      <c r="L10" s="7">
        <v>0.43490108695099999</v>
      </c>
      <c r="M10">
        <v>-0.359243849976013</v>
      </c>
      <c r="N10">
        <v>0.24408181113255201</v>
      </c>
      <c r="O10">
        <v>0.43431794145687203</v>
      </c>
      <c r="P10">
        <v>3.1362370000000002E-9</v>
      </c>
      <c r="Q10" s="1">
        <v>6.5925040000000003E-12</v>
      </c>
      <c r="R10">
        <v>1</v>
      </c>
      <c r="S10">
        <f>ABS(M10)</f>
        <v>0.359243849976013</v>
      </c>
      <c r="T10">
        <f t="shared" ref="T10" si="7">ABS(N10)</f>
        <v>0.24408181113255201</v>
      </c>
      <c r="U10">
        <f t="shared" ref="U10" si="8">ABS(O10)</f>
        <v>0.43431794145687203</v>
      </c>
      <c r="W10" s="1">
        <v>0.35775414248369602</v>
      </c>
      <c r="X10" s="1">
        <v>-0.24728713870025401</v>
      </c>
      <c r="Y10">
        <v>15000</v>
      </c>
      <c r="Z10">
        <v>16</v>
      </c>
      <c r="AA10">
        <v>1</v>
      </c>
      <c r="AB10">
        <v>1</v>
      </c>
      <c r="AC10">
        <v>1</v>
      </c>
      <c r="AD10">
        <v>0.01</v>
      </c>
      <c r="AE10">
        <v>16</v>
      </c>
      <c r="AF10">
        <v>0</v>
      </c>
      <c r="AG10">
        <v>0.75</v>
      </c>
      <c r="AH10">
        <v>290.7</v>
      </c>
      <c r="AI10" t="s">
        <v>37</v>
      </c>
      <c r="AJ10">
        <v>0.75</v>
      </c>
      <c r="AK10" t="s">
        <v>38</v>
      </c>
    </row>
    <row r="11" spans="1:37" hidden="1" x14ac:dyDescent="0.3">
      <c r="A11">
        <v>0.75</v>
      </c>
      <c r="B11">
        <v>42</v>
      </c>
      <c r="C11">
        <v>1</v>
      </c>
      <c r="D11">
        <v>0.1</v>
      </c>
      <c r="E11" t="s">
        <v>28</v>
      </c>
      <c r="F11">
        <v>0</v>
      </c>
      <c r="I11" s="5"/>
      <c r="J11" s="6"/>
      <c r="K11" s="6"/>
      <c r="L11" s="7"/>
      <c r="M11">
        <v>-0.361463810999544</v>
      </c>
      <c r="N11">
        <v>0.24506101300599401</v>
      </c>
      <c r="O11">
        <v>0.43670469056083899</v>
      </c>
      <c r="P11">
        <v>1.039406E-5</v>
      </c>
      <c r="Q11" s="1">
        <v>4.0502310000000001E-5</v>
      </c>
      <c r="R11">
        <v>0.99994700000000003</v>
      </c>
      <c r="W11" s="1">
        <v>0.35775414248369602</v>
      </c>
      <c r="X11" s="1">
        <v>-0.24728713870025401</v>
      </c>
      <c r="Y11">
        <v>9000</v>
      </c>
      <c r="Z11">
        <v>16</v>
      </c>
      <c r="AA11">
        <v>1</v>
      </c>
      <c r="AB11">
        <v>1</v>
      </c>
      <c r="AC11">
        <v>1</v>
      </c>
      <c r="AD11">
        <v>0.01</v>
      </c>
      <c r="AE11">
        <v>16</v>
      </c>
      <c r="AF11">
        <v>0</v>
      </c>
      <c r="AG11">
        <v>0.75</v>
      </c>
      <c r="AH11">
        <v>172.2</v>
      </c>
      <c r="AI11" t="s">
        <v>39</v>
      </c>
      <c r="AJ11">
        <v>0.75</v>
      </c>
      <c r="AK11" t="s">
        <v>38</v>
      </c>
    </row>
    <row r="12" spans="1:37" x14ac:dyDescent="0.3">
      <c r="A12">
        <v>0.75</v>
      </c>
      <c r="B12">
        <v>45</v>
      </c>
      <c r="C12">
        <v>0</v>
      </c>
      <c r="D12">
        <v>0</v>
      </c>
      <c r="E12" t="s">
        <v>14</v>
      </c>
      <c r="G12" s="1">
        <f>J12-S12</f>
        <v>-1.5257152822730213E-3</v>
      </c>
      <c r="H12" s="1">
        <f>K12+T12</f>
        <v>-3.214526619590985E-3</v>
      </c>
      <c r="I12" s="5">
        <v>0.75</v>
      </c>
      <c r="J12" s="6">
        <v>0.357754142484</v>
      </c>
      <c r="K12" s="6">
        <v>-0.24728713869999999</v>
      </c>
      <c r="L12" s="7">
        <v>0.43490108695099999</v>
      </c>
      <c r="M12">
        <v>0.35927985776627303</v>
      </c>
      <c r="N12">
        <v>-0.24407261208040901</v>
      </c>
      <c r="O12">
        <v>0.434342556243695</v>
      </c>
      <c r="P12">
        <v>2.6213080000000001E-9</v>
      </c>
      <c r="Q12" s="1">
        <v>3.6932269999999999E-12</v>
      </c>
      <c r="R12">
        <v>1</v>
      </c>
      <c r="S12">
        <f>ABS(M12)</f>
        <v>0.35927985776627303</v>
      </c>
      <c r="T12">
        <f t="shared" ref="T12" si="9">ABS(N12)</f>
        <v>0.24407261208040901</v>
      </c>
      <c r="U12">
        <f t="shared" ref="U12" si="10">ABS(O12)</f>
        <v>0.434342556243695</v>
      </c>
      <c r="W12" s="1">
        <v>0.35775414248369602</v>
      </c>
      <c r="X12" s="1">
        <v>-0.24728713870025401</v>
      </c>
      <c r="Y12">
        <v>15000</v>
      </c>
      <c r="Z12">
        <v>16</v>
      </c>
      <c r="AA12">
        <v>1</v>
      </c>
      <c r="AB12">
        <v>1</v>
      </c>
      <c r="AC12">
        <v>1</v>
      </c>
      <c r="AD12">
        <v>0.01</v>
      </c>
      <c r="AE12">
        <v>16</v>
      </c>
      <c r="AF12">
        <v>0</v>
      </c>
      <c r="AG12">
        <v>0.75</v>
      </c>
      <c r="AH12">
        <v>290.10000000000002</v>
      </c>
      <c r="AI12" t="s">
        <v>40</v>
      </c>
      <c r="AJ12">
        <v>0.75</v>
      </c>
      <c r="AK12" t="s">
        <v>38</v>
      </c>
    </row>
    <row r="13" spans="1:37" hidden="1" x14ac:dyDescent="0.3">
      <c r="A13">
        <v>0.75</v>
      </c>
      <c r="B13">
        <v>45</v>
      </c>
      <c r="C13">
        <v>1</v>
      </c>
      <c r="D13">
        <v>0.1</v>
      </c>
      <c r="E13" t="s">
        <v>28</v>
      </c>
      <c r="F13">
        <v>0</v>
      </c>
      <c r="I13" s="5"/>
      <c r="J13" s="6"/>
      <c r="K13" s="6"/>
      <c r="L13" s="7"/>
      <c r="M13">
        <v>0.36153183484726997</v>
      </c>
      <c r="N13">
        <v>-0.24496929430209999</v>
      </c>
      <c r="O13">
        <v>0.43670954049448302</v>
      </c>
      <c r="P13">
        <v>9.1813219999999998E-6</v>
      </c>
      <c r="Q13" s="1">
        <v>3.415238E-5</v>
      </c>
      <c r="R13">
        <v>0.99995599999999996</v>
      </c>
      <c r="W13" s="1">
        <v>0.35775414248369602</v>
      </c>
      <c r="X13" s="1">
        <v>-0.24728713870025401</v>
      </c>
      <c r="Y13">
        <v>9000</v>
      </c>
      <c r="Z13">
        <v>16</v>
      </c>
      <c r="AA13">
        <v>1</v>
      </c>
      <c r="AB13">
        <v>1</v>
      </c>
      <c r="AC13">
        <v>1</v>
      </c>
      <c r="AD13">
        <v>0.01</v>
      </c>
      <c r="AE13">
        <v>16</v>
      </c>
      <c r="AF13">
        <v>0</v>
      </c>
      <c r="AG13">
        <v>0.75</v>
      </c>
      <c r="AH13">
        <v>173.5</v>
      </c>
      <c r="AI13" t="s">
        <v>41</v>
      </c>
      <c r="AJ13">
        <v>0.75</v>
      </c>
      <c r="AK13" t="s">
        <v>38</v>
      </c>
    </row>
    <row r="14" spans="1:37" x14ac:dyDescent="0.3">
      <c r="A14">
        <v>1</v>
      </c>
      <c r="B14">
        <v>42</v>
      </c>
      <c r="C14">
        <v>0</v>
      </c>
      <c r="D14">
        <v>0</v>
      </c>
      <c r="E14" t="s">
        <v>14</v>
      </c>
      <c r="G14" s="1">
        <f>J14-S14</f>
        <v>-2.0822571573310134E-3</v>
      </c>
      <c r="H14" s="1">
        <f>K14+T14</f>
        <v>-6.2845665991239918E-3</v>
      </c>
      <c r="I14" s="5">
        <v>1</v>
      </c>
      <c r="J14" s="6">
        <v>0.38885028963500001</v>
      </c>
      <c r="K14" s="6">
        <v>-0.19476757348599999</v>
      </c>
      <c r="L14" s="7">
        <v>0.43490108695099999</v>
      </c>
      <c r="M14">
        <v>0.39093254679233103</v>
      </c>
      <c r="N14">
        <v>-0.188483006886876</v>
      </c>
      <c r="O14">
        <v>0.433997811085098</v>
      </c>
      <c r="P14">
        <v>2.7234070000000001E-9</v>
      </c>
      <c r="Q14" s="1">
        <v>4.5580379999999999E-12</v>
      </c>
      <c r="R14">
        <v>1</v>
      </c>
      <c r="S14">
        <f>ABS(M14)</f>
        <v>0.39093254679233103</v>
      </c>
      <c r="T14">
        <f t="shared" ref="T14" si="11">ABS(N14)</f>
        <v>0.188483006886876</v>
      </c>
      <c r="U14">
        <f t="shared" ref="U14" si="12">ABS(O14)</f>
        <v>0.433997811085098</v>
      </c>
      <c r="W14" s="1">
        <v>0.38885028963483798</v>
      </c>
      <c r="X14" s="1">
        <v>-0.19476757348620899</v>
      </c>
      <c r="Y14">
        <v>15000</v>
      </c>
      <c r="Z14">
        <v>16</v>
      </c>
      <c r="AA14">
        <v>1</v>
      </c>
      <c r="AB14">
        <v>1</v>
      </c>
      <c r="AC14">
        <v>1</v>
      </c>
      <c r="AD14">
        <v>0.01</v>
      </c>
      <c r="AE14">
        <v>16</v>
      </c>
      <c r="AF14">
        <v>0</v>
      </c>
      <c r="AG14">
        <v>1</v>
      </c>
      <c r="AH14">
        <v>290.2</v>
      </c>
      <c r="AI14" t="s">
        <v>42</v>
      </c>
      <c r="AJ14">
        <v>1</v>
      </c>
      <c r="AK14" t="s">
        <v>43</v>
      </c>
    </row>
    <row r="15" spans="1:37" hidden="1" x14ac:dyDescent="0.3">
      <c r="A15">
        <v>1</v>
      </c>
      <c r="B15">
        <v>42</v>
      </c>
      <c r="C15">
        <v>1</v>
      </c>
      <c r="D15">
        <v>0.1</v>
      </c>
      <c r="E15" t="s">
        <v>28</v>
      </c>
      <c r="F15">
        <v>0</v>
      </c>
      <c r="I15" s="5"/>
      <c r="J15" s="6"/>
      <c r="K15" s="6"/>
      <c r="L15" s="7"/>
      <c r="M15">
        <v>0.39482690610493598</v>
      </c>
      <c r="N15">
        <v>-0.19066924078382599</v>
      </c>
      <c r="O15">
        <v>0.43845529437501002</v>
      </c>
      <c r="P15">
        <v>1.3019590000000001E-5</v>
      </c>
      <c r="Q15" s="1">
        <v>6.7296070000000006E-5</v>
      </c>
      <c r="R15">
        <v>0.99991699999999994</v>
      </c>
      <c r="W15" s="1">
        <v>0.38885028963483798</v>
      </c>
      <c r="X15" s="1">
        <v>-0.19476757348620899</v>
      </c>
      <c r="Y15">
        <v>9000</v>
      </c>
      <c r="Z15">
        <v>16</v>
      </c>
      <c r="AA15">
        <v>1</v>
      </c>
      <c r="AB15">
        <v>1</v>
      </c>
      <c r="AC15">
        <v>1</v>
      </c>
      <c r="AD15">
        <v>0.01</v>
      </c>
      <c r="AE15">
        <v>16</v>
      </c>
      <c r="AF15">
        <v>0</v>
      </c>
      <c r="AG15">
        <v>1</v>
      </c>
      <c r="AH15">
        <v>172.8</v>
      </c>
      <c r="AI15" t="s">
        <v>44</v>
      </c>
      <c r="AJ15">
        <v>1</v>
      </c>
      <c r="AK15" t="s">
        <v>43</v>
      </c>
    </row>
    <row r="16" spans="1:37" x14ac:dyDescent="0.3">
      <c r="A16">
        <v>1</v>
      </c>
      <c r="B16">
        <v>45</v>
      </c>
      <c r="C16">
        <v>0</v>
      </c>
      <c r="D16">
        <v>0</v>
      </c>
      <c r="E16" t="s">
        <v>14</v>
      </c>
      <c r="G16" s="1">
        <f>J16-S16</f>
        <v>-2.0089395850089731E-3</v>
      </c>
      <c r="H16" s="1">
        <f>K16+T16</f>
        <v>-6.1707325662850032E-3</v>
      </c>
      <c r="I16" s="5">
        <v>1</v>
      </c>
      <c r="J16" s="6">
        <v>0.38885028963500001</v>
      </c>
      <c r="K16" s="6">
        <v>-0.19476757348599999</v>
      </c>
      <c r="L16" s="7">
        <v>0.43490108695099999</v>
      </c>
      <c r="M16">
        <v>0.39085922922000899</v>
      </c>
      <c r="N16">
        <v>-0.18859684091971499</v>
      </c>
      <c r="O16">
        <v>0.43398122709554598</v>
      </c>
      <c r="P16">
        <v>2.6199900000000002E-9</v>
      </c>
      <c r="Q16" s="1">
        <v>5.2912279999999999E-12</v>
      </c>
      <c r="R16">
        <v>1</v>
      </c>
      <c r="S16">
        <f>ABS(M16)</f>
        <v>0.39085922922000899</v>
      </c>
      <c r="T16">
        <f t="shared" ref="T16" si="13">ABS(N16)</f>
        <v>0.18859684091971499</v>
      </c>
      <c r="U16">
        <f t="shared" ref="U16" si="14">ABS(O16)</f>
        <v>0.43398122709554598</v>
      </c>
      <c r="W16" s="1">
        <v>0.38885028963483798</v>
      </c>
      <c r="X16" s="1">
        <v>-0.19476757348620899</v>
      </c>
      <c r="Y16">
        <v>15000</v>
      </c>
      <c r="Z16">
        <v>16</v>
      </c>
      <c r="AA16">
        <v>1</v>
      </c>
      <c r="AB16">
        <v>1</v>
      </c>
      <c r="AC16">
        <v>1</v>
      </c>
      <c r="AD16">
        <v>0.01</v>
      </c>
      <c r="AE16">
        <v>16</v>
      </c>
      <c r="AF16">
        <v>0</v>
      </c>
      <c r="AG16">
        <v>1</v>
      </c>
      <c r="AH16">
        <v>290</v>
      </c>
      <c r="AI16" t="s">
        <v>45</v>
      </c>
      <c r="AJ16">
        <v>1</v>
      </c>
      <c r="AK16" t="s">
        <v>43</v>
      </c>
    </row>
    <row r="17" spans="1:37" hidden="1" x14ac:dyDescent="0.3">
      <c r="A17">
        <v>1</v>
      </c>
      <c r="B17">
        <v>45</v>
      </c>
      <c r="C17">
        <v>1</v>
      </c>
      <c r="D17">
        <v>0.1</v>
      </c>
      <c r="E17" t="s">
        <v>28</v>
      </c>
      <c r="F17">
        <v>0</v>
      </c>
      <c r="I17" s="5"/>
      <c r="J17" s="6"/>
      <c r="K17" s="6"/>
      <c r="L17" s="7"/>
      <c r="M17">
        <v>0.39524930206525899</v>
      </c>
      <c r="N17">
        <v>-0.188458986245257</v>
      </c>
      <c r="O17">
        <v>0.43787989252723702</v>
      </c>
      <c r="P17">
        <v>1.210843E-5</v>
      </c>
      <c r="Q17" s="1">
        <v>6.1151880000000005E-5</v>
      </c>
      <c r="R17">
        <v>0.99992499999999995</v>
      </c>
      <c r="W17" s="1">
        <v>0.38885028963483798</v>
      </c>
      <c r="X17" s="1">
        <v>-0.19476757348620899</v>
      </c>
      <c r="Y17">
        <v>9000</v>
      </c>
      <c r="Z17">
        <v>16</v>
      </c>
      <c r="AA17">
        <v>1</v>
      </c>
      <c r="AB17">
        <v>1</v>
      </c>
      <c r="AC17">
        <v>1</v>
      </c>
      <c r="AD17">
        <v>0.01</v>
      </c>
      <c r="AE17">
        <v>16</v>
      </c>
      <c r="AF17">
        <v>0</v>
      </c>
      <c r="AG17">
        <v>1</v>
      </c>
      <c r="AH17">
        <v>175.6</v>
      </c>
      <c r="AI17" t="s">
        <v>46</v>
      </c>
      <c r="AJ17">
        <v>1</v>
      </c>
      <c r="AK17" t="s">
        <v>43</v>
      </c>
    </row>
    <row r="18" spans="1:37" x14ac:dyDescent="0.3">
      <c r="A18">
        <v>1.25</v>
      </c>
      <c r="B18">
        <v>42</v>
      </c>
      <c r="C18">
        <v>0</v>
      </c>
      <c r="D18">
        <v>0</v>
      </c>
      <c r="E18" t="s">
        <v>14</v>
      </c>
      <c r="G18" s="1">
        <f>J18-S18</f>
        <v>-1.4451932695229708E-3</v>
      </c>
      <c r="H18" s="1">
        <f>K18+T18</f>
        <v>-1.0287162185787999E-2</v>
      </c>
      <c r="I18" s="5">
        <v>1.25</v>
      </c>
      <c r="J18" s="6">
        <v>0.417508794106</v>
      </c>
      <c r="K18" s="6">
        <v>-0.121759444294</v>
      </c>
      <c r="L18" s="7">
        <v>0.43490108695099999</v>
      </c>
      <c r="M18">
        <v>-0.41895398737552297</v>
      </c>
      <c r="N18">
        <v>0.111472282108212</v>
      </c>
      <c r="O18">
        <v>0.43353029100198098</v>
      </c>
      <c r="P18">
        <v>3.2206490000000001E-9</v>
      </c>
      <c r="Q18" s="1">
        <v>5.7962510000000002E-12</v>
      </c>
      <c r="R18">
        <v>1</v>
      </c>
      <c r="S18">
        <f>ABS(M18)</f>
        <v>0.41895398737552297</v>
      </c>
      <c r="T18">
        <f t="shared" ref="T18" si="15">ABS(N18)</f>
        <v>0.111472282108212</v>
      </c>
      <c r="U18">
        <f t="shared" ref="U18" si="16">ABS(O18)</f>
        <v>0.43353029100198098</v>
      </c>
      <c r="W18" s="1">
        <v>0.41750879410619202</v>
      </c>
      <c r="X18" s="1">
        <v>-0.121759444294053</v>
      </c>
      <c r="Y18">
        <v>15000</v>
      </c>
      <c r="Z18">
        <v>16</v>
      </c>
      <c r="AA18">
        <v>1</v>
      </c>
      <c r="AB18">
        <v>1</v>
      </c>
      <c r="AC18">
        <v>1</v>
      </c>
      <c r="AD18">
        <v>0.01</v>
      </c>
      <c r="AE18">
        <v>16</v>
      </c>
      <c r="AF18">
        <v>0</v>
      </c>
      <c r="AG18">
        <v>1.25</v>
      </c>
      <c r="AH18">
        <v>292.10000000000002</v>
      </c>
      <c r="AI18" t="s">
        <v>47</v>
      </c>
      <c r="AJ18">
        <v>1.25</v>
      </c>
      <c r="AK18" t="s">
        <v>48</v>
      </c>
    </row>
    <row r="19" spans="1:37" hidden="1" x14ac:dyDescent="0.3">
      <c r="A19">
        <v>1.25</v>
      </c>
      <c r="B19">
        <v>42</v>
      </c>
      <c r="C19">
        <v>1</v>
      </c>
      <c r="D19">
        <v>0.1</v>
      </c>
      <c r="E19" t="s">
        <v>28</v>
      </c>
      <c r="F19">
        <v>0</v>
      </c>
      <c r="I19" s="5"/>
      <c r="J19" s="6"/>
      <c r="K19" s="6"/>
      <c r="L19" s="7"/>
      <c r="M19">
        <v>-0.42560135674819599</v>
      </c>
      <c r="N19">
        <v>0.11443927126643599</v>
      </c>
      <c r="O19">
        <v>0.44071857423291999</v>
      </c>
      <c r="P19">
        <v>1.5634999999999999E-5</v>
      </c>
      <c r="Q19" s="1">
        <v>9.0084329999999996E-5</v>
      </c>
      <c r="R19">
        <v>0.99988299999999997</v>
      </c>
      <c r="W19" s="1">
        <v>0.41750879410619202</v>
      </c>
      <c r="X19" s="1">
        <v>-0.121759444294053</v>
      </c>
      <c r="Y19">
        <v>9000</v>
      </c>
      <c r="Z19">
        <v>16</v>
      </c>
      <c r="AA19">
        <v>1</v>
      </c>
      <c r="AB19">
        <v>1</v>
      </c>
      <c r="AC19">
        <v>1</v>
      </c>
      <c r="AD19">
        <v>0.01</v>
      </c>
      <c r="AE19">
        <v>16</v>
      </c>
      <c r="AF19">
        <v>0</v>
      </c>
      <c r="AG19">
        <v>1.25</v>
      </c>
      <c r="AH19">
        <v>173.4</v>
      </c>
      <c r="AI19" t="s">
        <v>49</v>
      </c>
      <c r="AJ19">
        <v>1.25</v>
      </c>
      <c r="AK19" t="s">
        <v>48</v>
      </c>
    </row>
    <row r="20" spans="1:37" x14ac:dyDescent="0.3">
      <c r="A20">
        <v>1.25</v>
      </c>
      <c r="B20">
        <v>45</v>
      </c>
      <c r="C20">
        <v>0</v>
      </c>
      <c r="D20">
        <v>0</v>
      </c>
      <c r="E20" t="s">
        <v>14</v>
      </c>
      <c r="G20" s="1">
        <f>J20-S20</f>
        <v>-1.4252477287229892E-3</v>
      </c>
      <c r="H20" s="1">
        <f>K20+T20</f>
        <v>-1.0097234184794995E-2</v>
      </c>
      <c r="I20" s="5">
        <v>1.25</v>
      </c>
      <c r="J20" s="6">
        <v>0.417508794106</v>
      </c>
      <c r="K20" s="6">
        <v>-0.121759444294</v>
      </c>
      <c r="L20" s="7">
        <v>0.43490108695099999</v>
      </c>
      <c r="M20">
        <v>0.41893404183472299</v>
      </c>
      <c r="N20">
        <v>-0.111662210109205</v>
      </c>
      <c r="O20">
        <v>0.43355989271892997</v>
      </c>
      <c r="P20">
        <v>2.793639E-9</v>
      </c>
      <c r="Q20" s="1">
        <v>4.2668850000000002E-12</v>
      </c>
      <c r="R20">
        <v>1</v>
      </c>
      <c r="S20">
        <f>ABS(M20)</f>
        <v>0.41893404183472299</v>
      </c>
      <c r="T20">
        <f t="shared" ref="T20" si="17">ABS(N20)</f>
        <v>0.111662210109205</v>
      </c>
      <c r="U20">
        <f t="shared" ref="U20" si="18">ABS(O20)</f>
        <v>0.43355989271892997</v>
      </c>
      <c r="W20" s="1">
        <v>0.41750879410619202</v>
      </c>
      <c r="X20" s="1">
        <v>-0.121759444294053</v>
      </c>
      <c r="Y20">
        <v>15000</v>
      </c>
      <c r="Z20">
        <v>16</v>
      </c>
      <c r="AA20">
        <v>1</v>
      </c>
      <c r="AB20">
        <v>1</v>
      </c>
      <c r="AC20">
        <v>1</v>
      </c>
      <c r="AD20">
        <v>0.01</v>
      </c>
      <c r="AE20">
        <v>16</v>
      </c>
      <c r="AF20">
        <v>0</v>
      </c>
      <c r="AG20">
        <v>1.25</v>
      </c>
      <c r="AH20">
        <v>291</v>
      </c>
      <c r="AI20" t="s">
        <v>50</v>
      </c>
      <c r="AJ20">
        <v>1.25</v>
      </c>
      <c r="AK20" t="s">
        <v>48</v>
      </c>
    </row>
    <row r="21" spans="1:37" hidden="1" x14ac:dyDescent="0.3">
      <c r="A21">
        <v>1.25</v>
      </c>
      <c r="B21">
        <v>45</v>
      </c>
      <c r="C21">
        <v>1</v>
      </c>
      <c r="D21">
        <v>0.1</v>
      </c>
      <c r="E21" t="s">
        <v>28</v>
      </c>
      <c r="F21">
        <v>0</v>
      </c>
      <c r="I21" s="5"/>
      <c r="J21" s="6"/>
      <c r="K21" s="6"/>
      <c r="L21" s="7"/>
      <c r="M21">
        <v>0.424301341581377</v>
      </c>
      <c r="N21">
        <v>-0.117625465511991</v>
      </c>
      <c r="O21">
        <v>0.44030373448867</v>
      </c>
      <c r="P21">
        <v>1.431789E-5</v>
      </c>
      <c r="Q21" s="1">
        <v>8.1233610000000002E-5</v>
      </c>
      <c r="R21">
        <v>0.99989700000000004</v>
      </c>
      <c r="W21" s="1">
        <v>0.41750879410619202</v>
      </c>
      <c r="X21" s="1">
        <v>-0.121759444294053</v>
      </c>
      <c r="Y21">
        <v>9000</v>
      </c>
      <c r="Z21">
        <v>16</v>
      </c>
      <c r="AA21">
        <v>1</v>
      </c>
      <c r="AB21">
        <v>1</v>
      </c>
      <c r="AC21">
        <v>1</v>
      </c>
      <c r="AD21">
        <v>0.01</v>
      </c>
      <c r="AE21">
        <v>16</v>
      </c>
      <c r="AF21">
        <v>0</v>
      </c>
      <c r="AG21">
        <v>1.25</v>
      </c>
      <c r="AH21">
        <v>174.1</v>
      </c>
      <c r="AI21" t="s">
        <v>51</v>
      </c>
      <c r="AJ21">
        <v>1.25</v>
      </c>
      <c r="AK21" t="s">
        <v>48</v>
      </c>
    </row>
    <row r="22" spans="1:37" x14ac:dyDescent="0.3">
      <c r="A22">
        <v>1.5</v>
      </c>
      <c r="B22">
        <v>42</v>
      </c>
      <c r="C22">
        <v>0</v>
      </c>
      <c r="D22">
        <v>0</v>
      </c>
      <c r="E22" t="s">
        <v>14</v>
      </c>
      <c r="G22" s="1">
        <f>J22-S22</f>
        <v>1.2006027115039619E-3</v>
      </c>
      <c r="H22" s="1">
        <f>K22+T22</f>
        <v>-1.48953651411986E-2</v>
      </c>
      <c r="I22" s="5">
        <v>1.5</v>
      </c>
      <c r="J22" s="6">
        <v>0.43403710680399998</v>
      </c>
      <c r="K22" s="6">
        <v>-2.7399732632000001E-2</v>
      </c>
      <c r="L22" s="7">
        <v>0.43490108695099999</v>
      </c>
      <c r="M22">
        <v>-0.43283650409249602</v>
      </c>
      <c r="N22">
        <v>1.25043674908014E-2</v>
      </c>
      <c r="O22">
        <v>0.43301708797847499</v>
      </c>
      <c r="P22">
        <v>2.998813E-9</v>
      </c>
      <c r="Q22" s="1">
        <v>5.9107149999999996E-12</v>
      </c>
      <c r="R22">
        <v>1</v>
      </c>
      <c r="S22">
        <f>ABS(M22)</f>
        <v>0.43283650409249602</v>
      </c>
      <c r="T22">
        <f t="shared" ref="T22" si="19">ABS(N22)</f>
        <v>1.25043674908014E-2</v>
      </c>
      <c r="U22">
        <f t="shared" ref="U22" si="20">ABS(O22)</f>
        <v>0.43301708797847499</v>
      </c>
      <c r="W22" s="1">
        <v>0.43403710680369301</v>
      </c>
      <c r="X22" s="1">
        <v>-2.7399732631603901E-2</v>
      </c>
      <c r="Y22">
        <v>15000</v>
      </c>
      <c r="Z22">
        <v>16</v>
      </c>
      <c r="AA22">
        <v>1</v>
      </c>
      <c r="AB22">
        <v>1</v>
      </c>
      <c r="AC22">
        <v>1</v>
      </c>
      <c r="AD22">
        <v>0.01</v>
      </c>
      <c r="AE22">
        <v>16</v>
      </c>
      <c r="AF22">
        <v>0</v>
      </c>
      <c r="AG22">
        <v>1.5</v>
      </c>
      <c r="AH22">
        <v>290.8</v>
      </c>
      <c r="AI22" t="s">
        <v>52</v>
      </c>
      <c r="AJ22">
        <v>1.5</v>
      </c>
      <c r="AK22" t="s">
        <v>53</v>
      </c>
    </row>
    <row r="23" spans="1:37" hidden="1" x14ac:dyDescent="0.3">
      <c r="A23">
        <v>1.5</v>
      </c>
      <c r="B23">
        <v>42</v>
      </c>
      <c r="C23">
        <v>1</v>
      </c>
      <c r="D23">
        <v>0.1</v>
      </c>
      <c r="E23" t="s">
        <v>28</v>
      </c>
      <c r="F23">
        <v>0</v>
      </c>
      <c r="I23" s="5"/>
      <c r="J23" s="6"/>
      <c r="K23" s="6"/>
      <c r="L23" s="7"/>
      <c r="M23">
        <v>-0.44311271780836697</v>
      </c>
      <c r="N23">
        <v>2.1019014779760498E-2</v>
      </c>
      <c r="O23">
        <v>0.44361095530411399</v>
      </c>
      <c r="P23">
        <v>1.8438979999999999E-5</v>
      </c>
      <c r="Q23" s="1">
        <v>1.2668E-4</v>
      </c>
      <c r="R23">
        <v>0.999838</v>
      </c>
      <c r="W23" s="1">
        <v>0.43403710680369301</v>
      </c>
      <c r="X23" s="1">
        <v>-2.7399732631603901E-2</v>
      </c>
      <c r="Y23">
        <v>9000</v>
      </c>
      <c r="Z23">
        <v>16</v>
      </c>
      <c r="AA23">
        <v>1</v>
      </c>
      <c r="AB23">
        <v>1</v>
      </c>
      <c r="AC23">
        <v>1</v>
      </c>
      <c r="AD23">
        <v>0.01</v>
      </c>
      <c r="AE23">
        <v>16</v>
      </c>
      <c r="AF23">
        <v>0</v>
      </c>
      <c r="AG23">
        <v>1.5</v>
      </c>
      <c r="AH23">
        <v>173.9</v>
      </c>
      <c r="AI23" t="s">
        <v>54</v>
      </c>
      <c r="AJ23">
        <v>1.5</v>
      </c>
      <c r="AK23" t="s">
        <v>53</v>
      </c>
    </row>
    <row r="24" spans="1:37" x14ac:dyDescent="0.3">
      <c r="A24">
        <v>1.5</v>
      </c>
      <c r="B24">
        <v>45</v>
      </c>
      <c r="C24">
        <v>0</v>
      </c>
      <c r="D24">
        <v>0</v>
      </c>
      <c r="E24" t="s">
        <v>14</v>
      </c>
      <c r="G24" s="1">
        <f>J24-S24</f>
        <v>1.161101752589988E-3</v>
      </c>
      <c r="H24" s="1">
        <f>K24+T24</f>
        <v>-1.4825419830670001E-2</v>
      </c>
      <c r="I24" s="5">
        <v>1.5</v>
      </c>
      <c r="J24" s="6">
        <v>0.43403710680399998</v>
      </c>
      <c r="K24" s="6">
        <v>-2.7399732632000001E-2</v>
      </c>
      <c r="L24" s="7">
        <v>0.43490108695099999</v>
      </c>
      <c r="M24">
        <v>-0.43287600505141</v>
      </c>
      <c r="N24">
        <v>1.257431280133E-2</v>
      </c>
      <c r="O24">
        <v>0.433058597757502</v>
      </c>
      <c r="P24">
        <v>2.995315E-9</v>
      </c>
      <c r="Q24" s="1">
        <v>5.1394829999999999E-12</v>
      </c>
      <c r="R24">
        <v>1</v>
      </c>
      <c r="S24">
        <f>ABS(M24)</f>
        <v>0.43287600505141</v>
      </c>
      <c r="T24">
        <f t="shared" ref="T24" si="21">ABS(N24)</f>
        <v>1.257431280133E-2</v>
      </c>
      <c r="U24">
        <f t="shared" ref="U24" si="22">ABS(O24)</f>
        <v>0.433058597757502</v>
      </c>
      <c r="W24" s="1">
        <v>0.43403710680369301</v>
      </c>
      <c r="X24" s="1">
        <v>-2.7399732631603901E-2</v>
      </c>
      <c r="Y24">
        <v>15000</v>
      </c>
      <c r="Z24">
        <v>16</v>
      </c>
      <c r="AA24">
        <v>1</v>
      </c>
      <c r="AB24">
        <v>1</v>
      </c>
      <c r="AC24">
        <v>1</v>
      </c>
      <c r="AD24">
        <v>0.01</v>
      </c>
      <c r="AE24">
        <v>16</v>
      </c>
      <c r="AF24">
        <v>0</v>
      </c>
      <c r="AG24">
        <v>1.5</v>
      </c>
      <c r="AH24">
        <v>288.10000000000002</v>
      </c>
      <c r="AI24" t="s">
        <v>55</v>
      </c>
      <c r="AJ24">
        <v>1.5</v>
      </c>
      <c r="AK24" t="s">
        <v>53</v>
      </c>
    </row>
    <row r="25" spans="1:37" hidden="1" x14ac:dyDescent="0.3">
      <c r="A25">
        <v>1.5</v>
      </c>
      <c r="B25">
        <v>45</v>
      </c>
      <c r="C25">
        <v>1</v>
      </c>
      <c r="D25">
        <v>0.1</v>
      </c>
      <c r="E25" t="s">
        <v>28</v>
      </c>
      <c r="F25">
        <v>0</v>
      </c>
      <c r="I25" s="5"/>
      <c r="J25" s="6"/>
      <c r="K25" s="6"/>
      <c r="L25" s="7"/>
      <c r="M25">
        <v>-0.44238232286032803</v>
      </c>
      <c r="N25">
        <v>2.3551353538518598E-2</v>
      </c>
      <c r="O25">
        <v>0.44300878753450901</v>
      </c>
      <c r="P25">
        <v>1.698746E-5</v>
      </c>
      <c r="Q25" s="1">
        <v>1.1594080000000001E-4</v>
      </c>
      <c r="R25">
        <v>0.99985599999999997</v>
      </c>
      <c r="W25" s="1">
        <v>0.43403710680369301</v>
      </c>
      <c r="X25" s="1">
        <v>-2.7399732631603901E-2</v>
      </c>
      <c r="Y25">
        <v>9000</v>
      </c>
      <c r="Z25">
        <v>16</v>
      </c>
      <c r="AA25">
        <v>1</v>
      </c>
      <c r="AB25">
        <v>1</v>
      </c>
      <c r="AC25">
        <v>1</v>
      </c>
      <c r="AD25">
        <v>0.01</v>
      </c>
      <c r="AE25">
        <v>16</v>
      </c>
      <c r="AF25">
        <v>0</v>
      </c>
      <c r="AG25">
        <v>1.5</v>
      </c>
      <c r="AH25">
        <v>174.1</v>
      </c>
      <c r="AI25" t="s">
        <v>56</v>
      </c>
      <c r="AJ25">
        <v>1.5</v>
      </c>
      <c r="AK25" t="s">
        <v>53</v>
      </c>
    </row>
    <row r="26" spans="1:37" x14ac:dyDescent="0.3">
      <c r="A26">
        <v>1.75</v>
      </c>
      <c r="B26">
        <v>42</v>
      </c>
      <c r="C26">
        <v>0</v>
      </c>
      <c r="D26">
        <v>0</v>
      </c>
      <c r="E26" t="s">
        <v>14</v>
      </c>
      <c r="G26" s="1">
        <f>J26-S26</f>
        <v>6.8497461558009731E-3</v>
      </c>
      <c r="H26" s="1">
        <f>K26+T26</f>
        <v>0.19030760969668498</v>
      </c>
      <c r="I26" s="5">
        <v>1.75</v>
      </c>
      <c r="J26" s="6">
        <v>0.42642054565499998</v>
      </c>
      <c r="K26" s="6">
        <v>8.5466213641999994E-2</v>
      </c>
      <c r="L26" s="7">
        <v>0.43490108695099999</v>
      </c>
      <c r="M26">
        <v>0.41957079949919901</v>
      </c>
      <c r="N26">
        <v>0.104841396054685</v>
      </c>
      <c r="O26">
        <v>0.43247124080000099</v>
      </c>
      <c r="P26">
        <v>2.8814499999999998E-9</v>
      </c>
      <c r="Q26" s="1">
        <v>4.8222600000000001E-12</v>
      </c>
      <c r="R26">
        <v>1</v>
      </c>
      <c r="S26">
        <f>ABS(M26)</f>
        <v>0.41957079949919901</v>
      </c>
      <c r="T26">
        <f t="shared" ref="T26" si="23">ABS(N26)</f>
        <v>0.104841396054685</v>
      </c>
      <c r="U26">
        <f t="shared" ref="U26" si="24">ABS(O26)</f>
        <v>0.43247124080000099</v>
      </c>
      <c r="W26" s="1">
        <v>0.42642054565481502</v>
      </c>
      <c r="X26" s="1">
        <v>8.5466213641724506E-2</v>
      </c>
      <c r="Y26">
        <v>15000</v>
      </c>
      <c r="Z26">
        <v>16</v>
      </c>
      <c r="AA26">
        <v>1</v>
      </c>
      <c r="AB26">
        <v>1</v>
      </c>
      <c r="AC26">
        <v>1</v>
      </c>
      <c r="AD26">
        <v>0.01</v>
      </c>
      <c r="AE26">
        <v>16</v>
      </c>
      <c r="AF26">
        <v>0</v>
      </c>
      <c r="AG26">
        <v>1.75</v>
      </c>
      <c r="AH26">
        <v>289.7</v>
      </c>
      <c r="AI26" t="s">
        <v>57</v>
      </c>
      <c r="AJ26">
        <v>1.75</v>
      </c>
      <c r="AK26" t="s">
        <v>58</v>
      </c>
    </row>
    <row r="27" spans="1:37" hidden="1" x14ac:dyDescent="0.3">
      <c r="A27">
        <v>1.75</v>
      </c>
      <c r="B27">
        <v>42</v>
      </c>
      <c r="C27">
        <v>1</v>
      </c>
      <c r="D27">
        <v>0.1</v>
      </c>
      <c r="E27" t="s">
        <v>28</v>
      </c>
      <c r="F27">
        <v>0</v>
      </c>
      <c r="I27" s="5"/>
      <c r="J27" s="6"/>
      <c r="K27" s="6"/>
      <c r="L27" s="7"/>
      <c r="M27">
        <v>0.43871759620009898</v>
      </c>
      <c r="N27">
        <v>0.10227163177441199</v>
      </c>
      <c r="O27">
        <v>0.450480427856077</v>
      </c>
      <c r="P27">
        <v>2.131018E-5</v>
      </c>
      <c r="Q27" s="1">
        <v>1.631003E-4</v>
      </c>
      <c r="R27">
        <v>0.99977800000000006</v>
      </c>
      <c r="W27" s="1">
        <v>0.42642054565481502</v>
      </c>
      <c r="X27" s="1">
        <v>8.5466213641724506E-2</v>
      </c>
      <c r="Y27">
        <v>9000</v>
      </c>
      <c r="Z27">
        <v>16</v>
      </c>
      <c r="AA27">
        <v>1</v>
      </c>
      <c r="AB27">
        <v>1</v>
      </c>
      <c r="AC27">
        <v>1</v>
      </c>
      <c r="AD27">
        <v>0.01</v>
      </c>
      <c r="AE27">
        <v>16</v>
      </c>
      <c r="AF27">
        <v>0</v>
      </c>
      <c r="AG27">
        <v>1.75</v>
      </c>
      <c r="AH27">
        <v>173</v>
      </c>
      <c r="AI27" t="s">
        <v>59</v>
      </c>
      <c r="AJ27">
        <v>1.75</v>
      </c>
      <c r="AK27" t="s">
        <v>58</v>
      </c>
    </row>
    <row r="28" spans="1:37" x14ac:dyDescent="0.3">
      <c r="A28">
        <v>1.75</v>
      </c>
      <c r="B28">
        <v>45</v>
      </c>
      <c r="C28">
        <v>0</v>
      </c>
      <c r="D28">
        <v>0</v>
      </c>
      <c r="E28" t="s">
        <v>14</v>
      </c>
      <c r="G28" s="1">
        <f>J28-S28</f>
        <v>6.8198049779459868E-3</v>
      </c>
      <c r="H28" s="1">
        <f>K28+T28</f>
        <v>0.18996263103566299</v>
      </c>
      <c r="I28" s="5">
        <v>1.75</v>
      </c>
      <c r="J28" s="6">
        <v>0.42642054565499998</v>
      </c>
      <c r="K28" s="6">
        <v>8.5466213641999994E-2</v>
      </c>
      <c r="L28" s="7">
        <v>0.43490108695099999</v>
      </c>
      <c r="M28">
        <v>0.419600740677054</v>
      </c>
      <c r="N28">
        <v>0.104496417393663</v>
      </c>
      <c r="O28">
        <v>0.43241679294962998</v>
      </c>
      <c r="P28">
        <v>2.8267840000000001E-9</v>
      </c>
      <c r="Q28" s="1">
        <v>4.0495519999999998E-12</v>
      </c>
      <c r="R28">
        <v>1</v>
      </c>
      <c r="S28">
        <f>ABS(M28)</f>
        <v>0.419600740677054</v>
      </c>
      <c r="T28">
        <f t="shared" ref="T28" si="25">ABS(N28)</f>
        <v>0.104496417393663</v>
      </c>
      <c r="U28">
        <f t="shared" ref="U28" si="26">ABS(O28)</f>
        <v>0.43241679294962998</v>
      </c>
      <c r="W28" s="1">
        <v>0.42642054565481502</v>
      </c>
      <c r="X28" s="1">
        <v>8.5466213641724506E-2</v>
      </c>
      <c r="Y28">
        <v>15000</v>
      </c>
      <c r="Z28">
        <v>16</v>
      </c>
      <c r="AA28">
        <v>1</v>
      </c>
      <c r="AB28">
        <v>1</v>
      </c>
      <c r="AC28">
        <v>1</v>
      </c>
      <c r="AD28">
        <v>0.01</v>
      </c>
      <c r="AE28">
        <v>16</v>
      </c>
      <c r="AF28">
        <v>0</v>
      </c>
      <c r="AG28">
        <v>1.75</v>
      </c>
      <c r="AH28">
        <v>285.3</v>
      </c>
      <c r="AI28" t="s">
        <v>60</v>
      </c>
      <c r="AJ28">
        <v>1.75</v>
      </c>
      <c r="AK28" t="s">
        <v>58</v>
      </c>
    </row>
    <row r="29" spans="1:37" hidden="1" x14ac:dyDescent="0.3">
      <c r="A29">
        <v>1.75</v>
      </c>
      <c r="B29">
        <v>45</v>
      </c>
      <c r="C29">
        <v>1</v>
      </c>
      <c r="D29">
        <v>0.1</v>
      </c>
      <c r="E29" t="s">
        <v>28</v>
      </c>
      <c r="F29">
        <v>0</v>
      </c>
      <c r="I29" s="5"/>
      <c r="J29" s="6"/>
      <c r="K29" s="6"/>
      <c r="L29" s="7"/>
      <c r="M29">
        <v>0.434606882567391</v>
      </c>
      <c r="N29">
        <v>0.10065891264325</v>
      </c>
      <c r="O29">
        <v>0.44611137518501698</v>
      </c>
      <c r="P29">
        <v>1.9875099999999999E-5</v>
      </c>
      <c r="Q29" s="1">
        <v>1.5277739999999999E-4</v>
      </c>
      <c r="R29">
        <v>0.999803</v>
      </c>
      <c r="W29" s="1">
        <v>0.42642054565481502</v>
      </c>
      <c r="X29" s="1">
        <v>8.5466213641724506E-2</v>
      </c>
      <c r="Y29">
        <v>9000</v>
      </c>
      <c r="Z29">
        <v>16</v>
      </c>
      <c r="AA29">
        <v>1</v>
      </c>
      <c r="AB29">
        <v>1</v>
      </c>
      <c r="AC29">
        <v>1</v>
      </c>
      <c r="AD29">
        <v>0.01</v>
      </c>
      <c r="AE29">
        <v>16</v>
      </c>
      <c r="AF29">
        <v>0</v>
      </c>
      <c r="AG29">
        <v>1.75</v>
      </c>
      <c r="AH29">
        <v>172.8</v>
      </c>
      <c r="AI29" t="s">
        <v>61</v>
      </c>
      <c r="AJ29">
        <v>1.75</v>
      </c>
      <c r="AK29" t="s">
        <v>58</v>
      </c>
    </row>
    <row r="30" spans="1:37" x14ac:dyDescent="0.3">
      <c r="A30">
        <v>2</v>
      </c>
      <c r="B30">
        <v>42</v>
      </c>
      <c r="C30">
        <v>0</v>
      </c>
      <c r="D30">
        <v>0</v>
      </c>
      <c r="E30" t="s">
        <v>14</v>
      </c>
      <c r="G30" s="1">
        <f>J30-S30</f>
        <v>1.6128494858678011E-2</v>
      </c>
      <c r="H30" s="1">
        <f>K30+T30</f>
        <v>0.43731668074110996</v>
      </c>
      <c r="I30" s="5">
        <v>2</v>
      </c>
      <c r="J30" s="6">
        <v>0.381914228726</v>
      </c>
      <c r="K30" s="6">
        <v>0.208039605189</v>
      </c>
      <c r="L30" s="7">
        <v>0.43490108695099999</v>
      </c>
      <c r="M30">
        <v>0.36578573386732199</v>
      </c>
      <c r="N30">
        <v>0.22927707555210999</v>
      </c>
      <c r="O30">
        <v>0.431702652846358</v>
      </c>
      <c r="P30">
        <v>2.8600279999999999E-9</v>
      </c>
      <c r="Q30" s="1">
        <v>5.0161609999999997E-12</v>
      </c>
      <c r="R30">
        <v>1</v>
      </c>
      <c r="S30">
        <f>ABS(M30)</f>
        <v>0.36578573386732199</v>
      </c>
      <c r="T30">
        <f t="shared" ref="T30" si="27">ABS(N30)</f>
        <v>0.22927707555210999</v>
      </c>
      <c r="U30">
        <f t="shared" ref="U30" si="28">ABS(O30)</f>
        <v>0.431702652846358</v>
      </c>
      <c r="W30" s="1">
        <v>0.38191422872612701</v>
      </c>
      <c r="X30" s="1">
        <v>0.20803960518932599</v>
      </c>
      <c r="Y30">
        <v>15000</v>
      </c>
      <c r="Z30">
        <v>16</v>
      </c>
      <c r="AA30">
        <v>1</v>
      </c>
      <c r="AB30">
        <v>1</v>
      </c>
      <c r="AC30">
        <v>1</v>
      </c>
      <c r="AD30">
        <v>0.01</v>
      </c>
      <c r="AE30">
        <v>16</v>
      </c>
      <c r="AF30">
        <v>0</v>
      </c>
      <c r="AG30">
        <v>2</v>
      </c>
      <c r="AH30">
        <v>290.5</v>
      </c>
      <c r="AI30" t="s">
        <v>62</v>
      </c>
      <c r="AJ30">
        <v>2</v>
      </c>
      <c r="AK30" t="s">
        <v>63</v>
      </c>
    </row>
    <row r="31" spans="1:37" hidden="1" x14ac:dyDescent="0.3">
      <c r="A31">
        <v>2</v>
      </c>
      <c r="B31">
        <v>42</v>
      </c>
      <c r="C31">
        <v>1</v>
      </c>
      <c r="D31">
        <v>0.1</v>
      </c>
      <c r="E31" t="s">
        <v>28</v>
      </c>
      <c r="F31">
        <v>0</v>
      </c>
      <c r="I31" s="5"/>
      <c r="J31" s="6"/>
      <c r="K31" s="6"/>
      <c r="L31" s="7"/>
      <c r="M31">
        <v>0.38190066967500702</v>
      </c>
      <c r="N31">
        <v>0.23434022872556401</v>
      </c>
      <c r="O31">
        <v>0.44806636148830498</v>
      </c>
      <c r="P31">
        <v>2.366977E-5</v>
      </c>
      <c r="Q31" s="1">
        <v>1.927047E-4</v>
      </c>
      <c r="R31">
        <v>0.99972799999999995</v>
      </c>
      <c r="W31" s="1">
        <v>0.38191422872612701</v>
      </c>
      <c r="X31" s="1">
        <v>0.20803960518932599</v>
      </c>
      <c r="Y31">
        <v>9000</v>
      </c>
      <c r="Z31">
        <v>16</v>
      </c>
      <c r="AA31">
        <v>1</v>
      </c>
      <c r="AB31">
        <v>1</v>
      </c>
      <c r="AC31">
        <v>1</v>
      </c>
      <c r="AD31">
        <v>0.01</v>
      </c>
      <c r="AE31">
        <v>16</v>
      </c>
      <c r="AF31">
        <v>0</v>
      </c>
      <c r="AG31">
        <v>2</v>
      </c>
      <c r="AH31">
        <v>171.1</v>
      </c>
      <c r="AI31" t="s">
        <v>64</v>
      </c>
      <c r="AJ31">
        <v>2</v>
      </c>
      <c r="AK31" t="s">
        <v>63</v>
      </c>
    </row>
    <row r="32" spans="1:37" x14ac:dyDescent="0.3">
      <c r="A32">
        <v>2</v>
      </c>
      <c r="B32">
        <v>45</v>
      </c>
      <c r="C32">
        <v>0</v>
      </c>
      <c r="D32">
        <v>0</v>
      </c>
      <c r="E32" t="s">
        <v>14</v>
      </c>
      <c r="G32" s="1">
        <f>J32-S32</f>
        <v>1.6087007764146011E-2</v>
      </c>
      <c r="H32" s="1">
        <f>K32+T32</f>
        <v>0.437312453198347</v>
      </c>
      <c r="I32" s="5">
        <v>2</v>
      </c>
      <c r="J32" s="6">
        <v>0.381914228726</v>
      </c>
      <c r="K32" s="6">
        <v>0.208039605189</v>
      </c>
      <c r="L32" s="7">
        <v>0.43490108695099999</v>
      </c>
      <c r="M32">
        <v>-0.36582722096185399</v>
      </c>
      <c r="N32">
        <v>-0.229272848009347</v>
      </c>
      <c r="O32">
        <v>0.43173556076722502</v>
      </c>
      <c r="P32">
        <v>3.4813799999999998E-9</v>
      </c>
      <c r="Q32" s="1">
        <v>6.6315470000000002E-12</v>
      </c>
      <c r="R32">
        <v>1</v>
      </c>
      <c r="S32">
        <f>ABS(M32)</f>
        <v>0.36582722096185399</v>
      </c>
      <c r="T32">
        <f t="shared" ref="T32" si="29">ABS(N32)</f>
        <v>0.229272848009347</v>
      </c>
      <c r="U32">
        <f t="shared" ref="U32" si="30">ABS(O32)</f>
        <v>0.43173556076722502</v>
      </c>
      <c r="W32" s="1">
        <v>0.38191422872612701</v>
      </c>
      <c r="X32" s="1">
        <v>0.20803960518932599</v>
      </c>
      <c r="Y32">
        <v>15000</v>
      </c>
      <c r="Z32">
        <v>16</v>
      </c>
      <c r="AA32">
        <v>1</v>
      </c>
      <c r="AB32">
        <v>1</v>
      </c>
      <c r="AC32">
        <v>1</v>
      </c>
      <c r="AD32">
        <v>0.01</v>
      </c>
      <c r="AE32">
        <v>16</v>
      </c>
      <c r="AF32">
        <v>0</v>
      </c>
      <c r="AG32">
        <v>2</v>
      </c>
      <c r="AH32">
        <v>288.10000000000002</v>
      </c>
      <c r="AI32" t="s">
        <v>65</v>
      </c>
      <c r="AJ32">
        <v>2</v>
      </c>
      <c r="AK32" t="s">
        <v>63</v>
      </c>
    </row>
    <row r="33" spans="1:37" hidden="1" x14ac:dyDescent="0.3">
      <c r="A33">
        <v>2</v>
      </c>
      <c r="B33">
        <v>45</v>
      </c>
      <c r="C33">
        <v>1</v>
      </c>
      <c r="D33">
        <v>0.1</v>
      </c>
      <c r="E33" t="s">
        <v>28</v>
      </c>
      <c r="F33">
        <v>0</v>
      </c>
      <c r="I33" s="5"/>
      <c r="J33" s="6"/>
      <c r="K33" s="6"/>
      <c r="L33" s="7"/>
      <c r="M33">
        <v>-0.39792526184118299</v>
      </c>
      <c r="N33">
        <v>-0.21222989313476101</v>
      </c>
      <c r="O33">
        <v>0.45098341604915598</v>
      </c>
      <c r="P33">
        <v>2.2954899999999999E-5</v>
      </c>
      <c r="Q33" s="1">
        <v>2.018357E-4</v>
      </c>
      <c r="R33">
        <v>0.99974300000000005</v>
      </c>
      <c r="W33" s="1">
        <v>0.38191422872612701</v>
      </c>
      <c r="X33" s="1">
        <v>0.20803960518932599</v>
      </c>
      <c r="Y33">
        <v>9000</v>
      </c>
      <c r="Z33">
        <v>16</v>
      </c>
      <c r="AA33">
        <v>1</v>
      </c>
      <c r="AB33">
        <v>1</v>
      </c>
      <c r="AC33">
        <v>1</v>
      </c>
      <c r="AD33">
        <v>0.01</v>
      </c>
      <c r="AE33">
        <v>16</v>
      </c>
      <c r="AF33">
        <v>0</v>
      </c>
      <c r="AG33">
        <v>2</v>
      </c>
      <c r="AH33">
        <v>172.7</v>
      </c>
      <c r="AI33" t="s">
        <v>66</v>
      </c>
      <c r="AJ33">
        <v>2</v>
      </c>
      <c r="AK33" t="s">
        <v>63</v>
      </c>
    </row>
    <row r="34" spans="1:37" x14ac:dyDescent="0.3">
      <c r="A34">
        <v>2.25</v>
      </c>
      <c r="B34">
        <v>42</v>
      </c>
      <c r="C34">
        <v>0</v>
      </c>
      <c r="D34">
        <v>0</v>
      </c>
      <c r="E34" t="s">
        <v>14</v>
      </c>
      <c r="G34" s="1">
        <f>J34-S34</f>
        <v>2.8487188058239965E-2</v>
      </c>
      <c r="H34" s="1">
        <f>K34+T34</f>
        <v>0.66613437995469793</v>
      </c>
      <c r="I34" s="5">
        <v>2.25</v>
      </c>
      <c r="J34" s="6">
        <v>0.29031308968899999</v>
      </c>
      <c r="K34" s="6">
        <v>0.32381671572999998</v>
      </c>
      <c r="L34" s="7">
        <v>0.43490108695099999</v>
      </c>
      <c r="M34">
        <v>-0.26182590163076003</v>
      </c>
      <c r="N34">
        <v>-0.342317664224698</v>
      </c>
      <c r="O34">
        <v>0.430968892154658</v>
      </c>
      <c r="P34">
        <v>3.6781290000000001E-9</v>
      </c>
      <c r="Q34" s="1">
        <v>8.5517830000000007E-12</v>
      </c>
      <c r="R34">
        <v>1</v>
      </c>
      <c r="S34">
        <f>ABS(M34)</f>
        <v>0.26182590163076003</v>
      </c>
      <c r="T34">
        <f t="shared" ref="T34" si="31">ABS(N34)</f>
        <v>0.342317664224698</v>
      </c>
      <c r="U34">
        <f t="shared" ref="U34" si="32">ABS(O34)</f>
        <v>0.430968892154658</v>
      </c>
      <c r="W34" s="1">
        <v>0.29031308968880298</v>
      </c>
      <c r="X34" s="1">
        <v>0.32381671572997001</v>
      </c>
      <c r="Y34">
        <v>15000</v>
      </c>
      <c r="Z34">
        <v>16</v>
      </c>
      <c r="AA34">
        <v>1</v>
      </c>
      <c r="AB34">
        <v>1</v>
      </c>
      <c r="AC34">
        <v>1</v>
      </c>
      <c r="AD34">
        <v>0.01</v>
      </c>
      <c r="AE34">
        <v>16</v>
      </c>
      <c r="AF34">
        <v>0</v>
      </c>
      <c r="AG34">
        <v>2.25</v>
      </c>
      <c r="AH34">
        <v>286.7</v>
      </c>
      <c r="AI34" t="s">
        <v>67</v>
      </c>
      <c r="AJ34">
        <v>2.25</v>
      </c>
      <c r="AK34" t="s">
        <v>68</v>
      </c>
    </row>
    <row r="35" spans="1:37" hidden="1" x14ac:dyDescent="0.3">
      <c r="A35">
        <v>2.25</v>
      </c>
      <c r="B35">
        <v>42</v>
      </c>
      <c r="C35">
        <v>1</v>
      </c>
      <c r="D35">
        <v>0.1</v>
      </c>
      <c r="E35" t="s">
        <v>28</v>
      </c>
      <c r="F35">
        <v>0</v>
      </c>
      <c r="I35" s="5"/>
      <c r="J35" s="6"/>
      <c r="K35" s="6"/>
      <c r="L35" s="7"/>
      <c r="M35">
        <v>-0.30138152588852501</v>
      </c>
      <c r="N35">
        <v>-0.33986317075122302</v>
      </c>
      <c r="O35">
        <v>0.454244206325156</v>
      </c>
      <c r="P35">
        <v>2.7765919999999999E-5</v>
      </c>
      <c r="Q35" s="1">
        <v>2.8906670000000001E-4</v>
      </c>
      <c r="R35">
        <v>0.99965800000000005</v>
      </c>
      <c r="W35" s="1">
        <v>0.29031308968880298</v>
      </c>
      <c r="X35" s="1">
        <v>0.32381671572997001</v>
      </c>
      <c r="Y35">
        <v>9000</v>
      </c>
      <c r="Z35">
        <v>16</v>
      </c>
      <c r="AA35">
        <v>1</v>
      </c>
      <c r="AB35">
        <v>1</v>
      </c>
      <c r="AC35">
        <v>1</v>
      </c>
      <c r="AD35">
        <v>0.01</v>
      </c>
      <c r="AE35">
        <v>16</v>
      </c>
      <c r="AF35">
        <v>0</v>
      </c>
      <c r="AG35">
        <v>2.25</v>
      </c>
      <c r="AH35">
        <v>171.1</v>
      </c>
      <c r="AI35" t="s">
        <v>69</v>
      </c>
      <c r="AJ35">
        <v>2.25</v>
      </c>
      <c r="AK35" t="s">
        <v>68</v>
      </c>
    </row>
    <row r="36" spans="1:37" x14ac:dyDescent="0.3">
      <c r="A36">
        <v>2.25</v>
      </c>
      <c r="B36">
        <v>45</v>
      </c>
      <c r="C36">
        <v>0</v>
      </c>
      <c r="D36">
        <v>0</v>
      </c>
      <c r="E36" t="s">
        <v>14</v>
      </c>
      <c r="G36" s="1">
        <f>J36-S36</f>
        <v>2.8299281278304E-2</v>
      </c>
      <c r="H36" s="1">
        <f>K36+T36</f>
        <v>0.66589850631480496</v>
      </c>
      <c r="I36" s="5">
        <v>2.25</v>
      </c>
      <c r="J36" s="6">
        <v>0.29031308968899999</v>
      </c>
      <c r="K36" s="6">
        <v>0.32381671572999998</v>
      </c>
      <c r="L36" s="7">
        <v>0.43490108695099999</v>
      </c>
      <c r="M36">
        <v>0.26201380841069599</v>
      </c>
      <c r="N36">
        <v>0.34208179058480498</v>
      </c>
      <c r="O36">
        <v>0.43089579627513602</v>
      </c>
      <c r="P36">
        <v>3.1656869999999999E-9</v>
      </c>
      <c r="Q36" s="1">
        <v>6.5813340000000001E-12</v>
      </c>
      <c r="R36">
        <v>1</v>
      </c>
      <c r="S36">
        <f>ABS(M36)</f>
        <v>0.26201380841069599</v>
      </c>
      <c r="T36">
        <f t="shared" ref="T36" si="33">ABS(N36)</f>
        <v>0.34208179058480498</v>
      </c>
      <c r="U36">
        <f t="shared" ref="U36" si="34">ABS(O36)</f>
        <v>0.43089579627513602</v>
      </c>
      <c r="W36" s="1">
        <v>0.29031308968880298</v>
      </c>
      <c r="X36" s="1">
        <v>0.32381671572997001</v>
      </c>
      <c r="Y36">
        <v>15000</v>
      </c>
      <c r="Z36">
        <v>16</v>
      </c>
      <c r="AA36">
        <v>1</v>
      </c>
      <c r="AB36">
        <v>1</v>
      </c>
      <c r="AC36">
        <v>1</v>
      </c>
      <c r="AD36">
        <v>0.01</v>
      </c>
      <c r="AE36">
        <v>16</v>
      </c>
      <c r="AF36">
        <v>0</v>
      </c>
      <c r="AG36">
        <v>2.25</v>
      </c>
      <c r="AH36">
        <v>289</v>
      </c>
      <c r="AI36" t="s">
        <v>70</v>
      </c>
      <c r="AJ36">
        <v>2.25</v>
      </c>
      <c r="AK36" t="s">
        <v>68</v>
      </c>
    </row>
    <row r="37" spans="1:37" hidden="1" x14ac:dyDescent="0.3">
      <c r="A37">
        <v>2.25</v>
      </c>
      <c r="B37">
        <v>45</v>
      </c>
      <c r="C37">
        <v>1</v>
      </c>
      <c r="D37">
        <v>0.1</v>
      </c>
      <c r="E37" t="s">
        <v>28</v>
      </c>
      <c r="F37">
        <v>0</v>
      </c>
      <c r="I37" s="5"/>
      <c r="J37" s="6"/>
      <c r="K37" s="6"/>
      <c r="L37" s="7"/>
      <c r="M37">
        <v>0.304973558009833</v>
      </c>
      <c r="N37">
        <v>0.33284768715365198</v>
      </c>
      <c r="O37">
        <v>0.45143820610213398</v>
      </c>
      <c r="P37">
        <v>2.5945179999999999E-5</v>
      </c>
      <c r="Q37" s="1">
        <v>2.5490149999999999E-4</v>
      </c>
      <c r="R37">
        <v>0.99967200000000001</v>
      </c>
      <c r="W37" s="1">
        <v>0.29031308968880298</v>
      </c>
      <c r="X37" s="1">
        <v>0.32381671572997001</v>
      </c>
      <c r="Y37">
        <v>9000</v>
      </c>
      <c r="Z37">
        <v>16</v>
      </c>
      <c r="AA37">
        <v>1</v>
      </c>
      <c r="AB37">
        <v>1</v>
      </c>
      <c r="AC37">
        <v>1</v>
      </c>
      <c r="AD37">
        <v>0.01</v>
      </c>
      <c r="AE37">
        <v>16</v>
      </c>
      <c r="AF37">
        <v>0</v>
      </c>
      <c r="AG37">
        <v>2.25</v>
      </c>
      <c r="AH37">
        <v>169.5</v>
      </c>
      <c r="AI37" t="s">
        <v>71</v>
      </c>
      <c r="AJ37">
        <v>2.25</v>
      </c>
      <c r="AK37" t="s">
        <v>68</v>
      </c>
    </row>
    <row r="38" spans="1:37" x14ac:dyDescent="0.3">
      <c r="A38">
        <v>2.5</v>
      </c>
      <c r="B38">
        <v>42</v>
      </c>
      <c r="C38">
        <v>0</v>
      </c>
      <c r="D38">
        <v>0</v>
      </c>
      <c r="E38" t="s">
        <v>14</v>
      </c>
      <c r="G38" s="1">
        <f>J38-S38</f>
        <v>4.0960947522449997E-2</v>
      </c>
      <c r="H38" s="1">
        <f>K38+T38</f>
        <v>0.82483279717400304</v>
      </c>
      <c r="I38" s="5">
        <v>2.5</v>
      </c>
      <c r="J38" s="6">
        <v>0.14898570272</v>
      </c>
      <c r="K38" s="6">
        <v>0.40858562849899999</v>
      </c>
      <c r="L38" s="7">
        <v>0.43490108695099999</v>
      </c>
      <c r="M38">
        <v>0.10802475519755</v>
      </c>
      <c r="N38">
        <v>0.416247168675003</v>
      </c>
      <c r="O38">
        <v>0.43003610681598198</v>
      </c>
      <c r="P38">
        <v>3.2076659999999999E-9</v>
      </c>
      <c r="Q38" s="1">
        <v>5.94054E-12</v>
      </c>
      <c r="R38">
        <v>1</v>
      </c>
      <c r="S38">
        <f>ABS(M38)</f>
        <v>0.10802475519755</v>
      </c>
      <c r="T38">
        <f t="shared" ref="T38" si="35">ABS(N38)</f>
        <v>0.416247168675003</v>
      </c>
      <c r="U38">
        <f t="shared" ref="U38" si="36">ABS(O38)</f>
        <v>0.43003610681598198</v>
      </c>
      <c r="W38" s="1">
        <v>0.148985702719966</v>
      </c>
      <c r="X38" s="1">
        <v>0.40858562849890001</v>
      </c>
      <c r="Y38">
        <v>15000</v>
      </c>
      <c r="Z38">
        <v>16</v>
      </c>
      <c r="AA38">
        <v>1</v>
      </c>
      <c r="AB38">
        <v>1</v>
      </c>
      <c r="AC38">
        <v>1</v>
      </c>
      <c r="AD38">
        <v>0.01</v>
      </c>
      <c r="AE38">
        <v>16</v>
      </c>
      <c r="AF38">
        <v>0</v>
      </c>
      <c r="AG38">
        <v>2.5</v>
      </c>
      <c r="AH38">
        <v>284.2</v>
      </c>
      <c r="AI38" t="s">
        <v>72</v>
      </c>
      <c r="AJ38">
        <v>2.5</v>
      </c>
      <c r="AK38" t="s">
        <v>73</v>
      </c>
    </row>
    <row r="39" spans="1:37" hidden="1" x14ac:dyDescent="0.3">
      <c r="A39">
        <v>2.5</v>
      </c>
      <c r="B39">
        <v>42</v>
      </c>
      <c r="C39">
        <v>1</v>
      </c>
      <c r="D39">
        <v>0.1</v>
      </c>
      <c r="E39" t="s">
        <v>28</v>
      </c>
      <c r="F39">
        <v>0</v>
      </c>
      <c r="I39" s="5"/>
      <c r="J39" s="6"/>
      <c r="K39" s="6"/>
      <c r="L39" s="7"/>
      <c r="M39">
        <v>0.19678809089538701</v>
      </c>
      <c r="N39">
        <v>0.41739275714040103</v>
      </c>
      <c r="O39">
        <v>0.461456678824261</v>
      </c>
      <c r="P39">
        <v>1.1941570000000001E-5</v>
      </c>
      <c r="Q39" s="1">
        <v>6.0927719999999997E-5</v>
      </c>
      <c r="R39">
        <v>0.99993500000000002</v>
      </c>
      <c r="W39" s="1">
        <v>0.148985702719966</v>
      </c>
      <c r="X39" s="1">
        <v>0.40858562849890001</v>
      </c>
      <c r="Y39">
        <v>9000</v>
      </c>
      <c r="Z39">
        <v>16</v>
      </c>
      <c r="AA39">
        <v>1</v>
      </c>
      <c r="AB39">
        <v>1</v>
      </c>
      <c r="AC39">
        <v>1</v>
      </c>
      <c r="AD39">
        <v>0.01</v>
      </c>
      <c r="AE39">
        <v>16</v>
      </c>
      <c r="AF39">
        <v>0</v>
      </c>
      <c r="AG39">
        <v>2.5</v>
      </c>
      <c r="AH39">
        <v>170.7</v>
      </c>
      <c r="AI39" t="s">
        <v>74</v>
      </c>
      <c r="AJ39">
        <v>2.5</v>
      </c>
      <c r="AK39" t="s">
        <v>73</v>
      </c>
    </row>
    <row r="40" spans="1:37" x14ac:dyDescent="0.3">
      <c r="A40">
        <v>2.5</v>
      </c>
      <c r="B40">
        <v>45</v>
      </c>
      <c r="C40">
        <v>0</v>
      </c>
      <c r="D40">
        <v>0</v>
      </c>
      <c r="E40" t="s">
        <v>14</v>
      </c>
      <c r="G40" s="1">
        <f>J40-S40</f>
        <v>4.0957588925283006E-2</v>
      </c>
      <c r="H40" s="1">
        <f>K40+T40</f>
        <v>0.82477794203732002</v>
      </c>
      <c r="I40" s="5">
        <v>2.5</v>
      </c>
      <c r="J40" s="6">
        <v>0.14898570272</v>
      </c>
      <c r="K40" s="6">
        <v>0.40858562849899999</v>
      </c>
      <c r="L40" s="7">
        <v>0.43490108695099999</v>
      </c>
      <c r="M40">
        <v>0.108028113794717</v>
      </c>
      <c r="N40">
        <v>0.41619231353831998</v>
      </c>
      <c r="O40">
        <v>0.42998385460203498</v>
      </c>
      <c r="P40">
        <v>3.2693569999999998E-9</v>
      </c>
      <c r="Q40" s="1">
        <v>6.1743839999999997E-12</v>
      </c>
      <c r="R40">
        <v>1</v>
      </c>
      <c r="S40">
        <f>ABS(M40)</f>
        <v>0.108028113794717</v>
      </c>
      <c r="T40">
        <f t="shared" ref="T40" si="37">ABS(N40)</f>
        <v>0.41619231353831998</v>
      </c>
      <c r="U40">
        <f t="shared" ref="U40" si="38">ABS(O40)</f>
        <v>0.42998385460203498</v>
      </c>
      <c r="W40" s="1">
        <v>0.148985702719966</v>
      </c>
      <c r="X40" s="1">
        <v>0.40858562849890001</v>
      </c>
      <c r="Y40">
        <v>15000</v>
      </c>
      <c r="Z40">
        <v>16</v>
      </c>
      <c r="AA40">
        <v>1</v>
      </c>
      <c r="AB40">
        <v>1</v>
      </c>
      <c r="AC40">
        <v>1</v>
      </c>
      <c r="AD40">
        <v>0.01</v>
      </c>
      <c r="AE40">
        <v>16</v>
      </c>
      <c r="AF40">
        <v>0</v>
      </c>
      <c r="AG40">
        <v>2.5</v>
      </c>
      <c r="AH40">
        <v>285.89999999999998</v>
      </c>
      <c r="AI40" t="s">
        <v>75</v>
      </c>
      <c r="AJ40">
        <v>2.5</v>
      </c>
      <c r="AK40" t="s">
        <v>73</v>
      </c>
    </row>
    <row r="41" spans="1:37" hidden="1" x14ac:dyDescent="0.3">
      <c r="A41">
        <v>2.5</v>
      </c>
      <c r="B41">
        <v>45</v>
      </c>
      <c r="C41">
        <v>1</v>
      </c>
      <c r="D41">
        <v>0.1</v>
      </c>
      <c r="E41" t="s">
        <v>28</v>
      </c>
      <c r="F41">
        <v>0</v>
      </c>
      <c r="I41" s="5"/>
      <c r="J41" s="6"/>
      <c r="K41" s="6"/>
      <c r="L41" s="7"/>
      <c r="M41">
        <v>0.18082888341580799</v>
      </c>
      <c r="N41">
        <v>0.41588261829975798</v>
      </c>
      <c r="O41">
        <v>0.45349469377410601</v>
      </c>
      <c r="P41">
        <v>3.0014000000000001E-5</v>
      </c>
      <c r="Q41" s="1">
        <v>3.6462430000000002E-4</v>
      </c>
      <c r="R41">
        <v>0.999587</v>
      </c>
      <c r="W41" s="1">
        <v>0.148985702719966</v>
      </c>
      <c r="X41" s="1">
        <v>0.40858562849890001</v>
      </c>
      <c r="Y41">
        <v>9000</v>
      </c>
      <c r="Z41">
        <v>16</v>
      </c>
      <c r="AA41">
        <v>1</v>
      </c>
      <c r="AB41">
        <v>1</v>
      </c>
      <c r="AC41">
        <v>1</v>
      </c>
      <c r="AD41">
        <v>0.01</v>
      </c>
      <c r="AE41">
        <v>16</v>
      </c>
      <c r="AF41">
        <v>0</v>
      </c>
      <c r="AG41">
        <v>2.5</v>
      </c>
      <c r="AH41">
        <v>168.6</v>
      </c>
      <c r="AI41" t="s">
        <v>76</v>
      </c>
      <c r="AJ41">
        <v>2.5</v>
      </c>
      <c r="AK41" t="s">
        <v>73</v>
      </c>
    </row>
    <row r="42" spans="1:37" x14ac:dyDescent="0.3">
      <c r="A42">
        <v>2.75</v>
      </c>
      <c r="B42">
        <v>42</v>
      </c>
      <c r="C42">
        <v>0</v>
      </c>
      <c r="D42">
        <v>0</v>
      </c>
      <c r="E42" t="s">
        <v>14</v>
      </c>
      <c r="G42" s="1">
        <f>J42-S42</f>
        <v>-0.1116710659455422</v>
      </c>
      <c r="H42" s="1">
        <f>K42+T42</f>
        <v>0.85525457417644102</v>
      </c>
      <c r="I42" s="5">
        <v>2.75</v>
      </c>
      <c r="J42" s="6">
        <v>-3.1163598093999999E-2</v>
      </c>
      <c r="K42" s="6">
        <v>0.43378310891999999</v>
      </c>
      <c r="L42" s="7">
        <v>0.43490108695099999</v>
      </c>
      <c r="M42">
        <v>8.0507467851542197E-2</v>
      </c>
      <c r="N42">
        <v>-0.42147146525644102</v>
      </c>
      <c r="O42">
        <v>0.42909165501705798</v>
      </c>
      <c r="P42">
        <v>4.8833789999999998E-9</v>
      </c>
      <c r="Q42" s="1">
        <v>1.838139E-11</v>
      </c>
      <c r="R42">
        <v>1</v>
      </c>
      <c r="S42">
        <f>ABS(M42)</f>
        <v>8.0507467851542197E-2</v>
      </c>
      <c r="T42">
        <f t="shared" ref="T42" si="39">ABS(N42)</f>
        <v>0.42147146525644102</v>
      </c>
      <c r="U42">
        <f t="shared" ref="U42" si="40">ABS(O42)</f>
        <v>0.42909165501705798</v>
      </c>
      <c r="W42" s="1">
        <v>-3.1163598094273801E-2</v>
      </c>
      <c r="X42" s="1">
        <v>0.43378310892036998</v>
      </c>
      <c r="Y42">
        <v>15000</v>
      </c>
      <c r="Z42">
        <v>16</v>
      </c>
      <c r="AA42">
        <v>1</v>
      </c>
      <c r="AB42">
        <v>1</v>
      </c>
      <c r="AC42">
        <v>1</v>
      </c>
      <c r="AD42">
        <v>0.01</v>
      </c>
      <c r="AE42">
        <v>16</v>
      </c>
      <c r="AF42">
        <v>0</v>
      </c>
      <c r="AG42">
        <v>2.75</v>
      </c>
      <c r="AH42">
        <v>284.8</v>
      </c>
      <c r="AI42" t="s">
        <v>77</v>
      </c>
      <c r="AJ42">
        <v>2.75</v>
      </c>
      <c r="AK42" t="s">
        <v>78</v>
      </c>
    </row>
    <row r="43" spans="1:37" hidden="1" x14ac:dyDescent="0.3">
      <c r="A43">
        <v>2.75</v>
      </c>
      <c r="B43">
        <v>42</v>
      </c>
      <c r="C43">
        <v>1</v>
      </c>
      <c r="D43">
        <v>0.1</v>
      </c>
      <c r="E43" t="s">
        <v>28</v>
      </c>
      <c r="F43">
        <v>0</v>
      </c>
      <c r="I43" s="5"/>
      <c r="J43" s="6"/>
      <c r="K43" s="6"/>
      <c r="L43" s="7"/>
      <c r="M43">
        <v>1.5508770507426399E-2</v>
      </c>
      <c r="N43">
        <v>-0.451273923247905</v>
      </c>
      <c r="O43">
        <v>0.45154033680969002</v>
      </c>
      <c r="P43">
        <v>3.514941E-5</v>
      </c>
      <c r="Q43" s="1">
        <v>4.4937649999999998E-4</v>
      </c>
      <c r="R43">
        <v>0.99946599999999997</v>
      </c>
      <c r="W43" s="1">
        <v>-3.1163598094273801E-2</v>
      </c>
      <c r="X43" s="1">
        <v>0.43378310892036998</v>
      </c>
      <c r="Y43">
        <v>9000</v>
      </c>
      <c r="Z43">
        <v>16</v>
      </c>
      <c r="AA43">
        <v>1</v>
      </c>
      <c r="AB43">
        <v>1</v>
      </c>
      <c r="AC43">
        <v>1</v>
      </c>
      <c r="AD43">
        <v>0.01</v>
      </c>
      <c r="AE43">
        <v>16</v>
      </c>
      <c r="AF43">
        <v>0</v>
      </c>
      <c r="AG43">
        <v>2.75</v>
      </c>
      <c r="AH43">
        <v>170.9</v>
      </c>
      <c r="AI43" t="s">
        <v>79</v>
      </c>
      <c r="AJ43">
        <v>2.75</v>
      </c>
      <c r="AK43" t="s">
        <v>78</v>
      </c>
    </row>
    <row r="44" spans="1:37" x14ac:dyDescent="0.3">
      <c r="A44">
        <v>2.75</v>
      </c>
      <c r="B44">
        <v>45</v>
      </c>
      <c r="C44">
        <v>0</v>
      </c>
      <c r="D44">
        <v>0</v>
      </c>
      <c r="E44" t="s">
        <v>14</v>
      </c>
      <c r="G44" s="1">
        <f>J44-S44</f>
        <v>-0.1110306153445761</v>
      </c>
      <c r="H44" s="1">
        <f>K44+T44</f>
        <v>0.85527741908092891</v>
      </c>
      <c r="I44" s="5">
        <v>2.75</v>
      </c>
      <c r="J44" s="6">
        <v>-3.1163598093999999E-2</v>
      </c>
      <c r="K44" s="6">
        <v>0.43378310891999999</v>
      </c>
      <c r="L44" s="7">
        <v>0.43490108695099999</v>
      </c>
      <c r="M44">
        <v>-7.98670172505761E-2</v>
      </c>
      <c r="N44">
        <v>0.42149431016092898</v>
      </c>
      <c r="O44">
        <v>0.42899439849785997</v>
      </c>
      <c r="P44">
        <v>3.3897879999999999E-9</v>
      </c>
      <c r="Q44" s="1">
        <v>6.1248709999999997E-12</v>
      </c>
      <c r="R44">
        <v>1</v>
      </c>
      <c r="S44">
        <f>ABS(M44)</f>
        <v>7.98670172505761E-2</v>
      </c>
      <c r="T44">
        <f t="shared" ref="T44" si="41">ABS(N44)</f>
        <v>0.42149431016092898</v>
      </c>
      <c r="U44">
        <f t="shared" ref="U44" si="42">ABS(O44)</f>
        <v>0.42899439849785997</v>
      </c>
      <c r="W44" s="1">
        <v>-3.1163598094273801E-2</v>
      </c>
      <c r="X44" s="1">
        <v>0.43378310892036998</v>
      </c>
      <c r="Y44">
        <v>15000</v>
      </c>
      <c r="Z44">
        <v>16</v>
      </c>
      <c r="AA44">
        <v>1</v>
      </c>
      <c r="AB44">
        <v>1</v>
      </c>
      <c r="AC44">
        <v>1</v>
      </c>
      <c r="AD44">
        <v>0.01</v>
      </c>
      <c r="AE44">
        <v>16</v>
      </c>
      <c r="AF44">
        <v>0</v>
      </c>
      <c r="AG44">
        <v>2.75</v>
      </c>
      <c r="AH44">
        <v>284.10000000000002</v>
      </c>
      <c r="AI44" t="s">
        <v>80</v>
      </c>
      <c r="AJ44">
        <v>2.75</v>
      </c>
      <c r="AK44" t="s">
        <v>78</v>
      </c>
    </row>
    <row r="45" spans="1:37" hidden="1" x14ac:dyDescent="0.3">
      <c r="A45">
        <v>2.75</v>
      </c>
      <c r="B45">
        <v>45</v>
      </c>
      <c r="C45">
        <v>1</v>
      </c>
      <c r="D45">
        <v>0.1</v>
      </c>
      <c r="E45" t="s">
        <v>28</v>
      </c>
      <c r="F45">
        <v>0</v>
      </c>
      <c r="I45" s="5"/>
      <c r="J45" s="6"/>
      <c r="K45" s="6"/>
      <c r="L45" s="7"/>
      <c r="M45">
        <v>2.4506386035675499E-2</v>
      </c>
      <c r="N45">
        <v>0.455704612386298</v>
      </c>
      <c r="O45">
        <v>0.45636307552942501</v>
      </c>
      <c r="P45">
        <v>3.4612720000000003E-5</v>
      </c>
      <c r="Q45" s="1">
        <v>4.62781E-4</v>
      </c>
      <c r="R45">
        <v>0.99945600000000001</v>
      </c>
      <c r="W45" s="1">
        <v>-3.1163598094273801E-2</v>
      </c>
      <c r="X45" s="1">
        <v>0.43378310892036998</v>
      </c>
      <c r="Y45">
        <v>9000</v>
      </c>
      <c r="Z45">
        <v>16</v>
      </c>
      <c r="AA45">
        <v>1</v>
      </c>
      <c r="AB45">
        <v>1</v>
      </c>
      <c r="AC45">
        <v>1</v>
      </c>
      <c r="AD45">
        <v>0.01</v>
      </c>
      <c r="AE45">
        <v>16</v>
      </c>
      <c r="AF45">
        <v>0</v>
      </c>
      <c r="AG45">
        <v>2.75</v>
      </c>
      <c r="AH45">
        <v>168.8</v>
      </c>
      <c r="AI45" t="s">
        <v>81</v>
      </c>
      <c r="AJ45">
        <v>2.75</v>
      </c>
      <c r="AK45" t="s">
        <v>78</v>
      </c>
    </row>
    <row r="46" spans="1:37" x14ac:dyDescent="0.3">
      <c r="A46">
        <v>3</v>
      </c>
      <c r="B46">
        <v>42</v>
      </c>
      <c r="C46">
        <v>0</v>
      </c>
      <c r="D46">
        <v>0</v>
      </c>
      <c r="E46" t="s">
        <v>14</v>
      </c>
      <c r="G46" s="1">
        <f>J46-S46</f>
        <v>-0.48725086362499798</v>
      </c>
      <c r="H46" s="1">
        <f>K46+T46</f>
        <v>0.70957793226478794</v>
      </c>
      <c r="I46" s="5">
        <v>3</v>
      </c>
      <c r="J46" s="6">
        <v>-0.22106497125399999</v>
      </c>
      <c r="K46" s="6">
        <v>0.37452534482299998</v>
      </c>
      <c r="L46" s="7">
        <v>0.43490108695099999</v>
      </c>
      <c r="M46">
        <v>0.26618589237099799</v>
      </c>
      <c r="N46">
        <v>-0.33505258744178801</v>
      </c>
      <c r="O46">
        <v>0.42791957848266499</v>
      </c>
      <c r="P46">
        <v>4.5763950000000001E-9</v>
      </c>
      <c r="Q46" s="1">
        <v>1.033923E-11</v>
      </c>
      <c r="R46">
        <v>1</v>
      </c>
      <c r="S46">
        <f>ABS(M46)</f>
        <v>0.26618589237099799</v>
      </c>
      <c r="T46">
        <f t="shared" ref="T46" si="43">ABS(N46)</f>
        <v>0.33505258744178801</v>
      </c>
      <c r="U46">
        <f t="shared" ref="U46" si="44">ABS(O46)</f>
        <v>0.42791957848266499</v>
      </c>
      <c r="W46" s="1">
        <v>-0.22106497125442601</v>
      </c>
      <c r="X46" s="1">
        <v>0.374525344823395</v>
      </c>
      <c r="Y46">
        <v>15000</v>
      </c>
      <c r="Z46">
        <v>16</v>
      </c>
      <c r="AA46">
        <v>1</v>
      </c>
      <c r="AB46">
        <v>1</v>
      </c>
      <c r="AC46">
        <v>1</v>
      </c>
      <c r="AD46">
        <v>0.01</v>
      </c>
      <c r="AE46">
        <v>16</v>
      </c>
      <c r="AF46">
        <v>0</v>
      </c>
      <c r="AG46">
        <v>3</v>
      </c>
      <c r="AH46">
        <v>280.39999999999998</v>
      </c>
      <c r="AI46" t="s">
        <v>82</v>
      </c>
      <c r="AJ46">
        <v>3</v>
      </c>
      <c r="AK46" t="s">
        <v>83</v>
      </c>
    </row>
    <row r="47" spans="1:37" hidden="1" x14ac:dyDescent="0.3">
      <c r="A47">
        <v>3</v>
      </c>
      <c r="B47">
        <v>42</v>
      </c>
      <c r="C47">
        <v>1</v>
      </c>
      <c r="D47">
        <v>0.1</v>
      </c>
      <c r="E47" t="s">
        <v>28</v>
      </c>
      <c r="F47">
        <v>0</v>
      </c>
      <c r="I47" s="5"/>
      <c r="J47" s="6"/>
      <c r="K47" s="6"/>
      <c r="L47" s="7"/>
      <c r="M47">
        <v>0.150683421731202</v>
      </c>
      <c r="N47">
        <v>-0.44601422152411702</v>
      </c>
      <c r="O47">
        <v>0.47078039401231098</v>
      </c>
      <c r="P47">
        <v>1.4835890000000001E-5</v>
      </c>
      <c r="Q47" s="1">
        <v>9.1945210000000003E-5</v>
      </c>
      <c r="R47">
        <v>0.99990500000000004</v>
      </c>
      <c r="W47" s="1">
        <v>-0.22106497125442601</v>
      </c>
      <c r="X47" s="1">
        <v>0.374525344823395</v>
      </c>
      <c r="Y47">
        <v>9000</v>
      </c>
      <c r="Z47">
        <v>16</v>
      </c>
      <c r="AA47">
        <v>1</v>
      </c>
      <c r="AB47">
        <v>1</v>
      </c>
      <c r="AC47">
        <v>1</v>
      </c>
      <c r="AD47">
        <v>0.01</v>
      </c>
      <c r="AE47">
        <v>16</v>
      </c>
      <c r="AF47">
        <v>0</v>
      </c>
      <c r="AG47">
        <v>3</v>
      </c>
      <c r="AH47">
        <v>169.2</v>
      </c>
      <c r="AI47" t="s">
        <v>84</v>
      </c>
      <c r="AJ47">
        <v>3</v>
      </c>
      <c r="AK47" t="s">
        <v>83</v>
      </c>
    </row>
    <row r="48" spans="1:37" x14ac:dyDescent="0.3">
      <c r="A48">
        <v>3</v>
      </c>
      <c r="B48">
        <v>45</v>
      </c>
      <c r="C48">
        <v>0</v>
      </c>
      <c r="D48">
        <v>0</v>
      </c>
      <c r="E48" t="s">
        <v>14</v>
      </c>
      <c r="G48" s="1">
        <f>J48-S48</f>
        <v>-0.487133721555989</v>
      </c>
      <c r="H48" s="1">
        <f>K48+T48</f>
        <v>0.70963657451950501</v>
      </c>
      <c r="I48" s="5">
        <v>3</v>
      </c>
      <c r="J48" s="6">
        <v>-0.22106497125399999</v>
      </c>
      <c r="K48" s="6">
        <v>0.37452534482299998</v>
      </c>
      <c r="L48" s="7">
        <v>0.43490108695099999</v>
      </c>
      <c r="M48">
        <v>-0.26606875030198901</v>
      </c>
      <c r="N48">
        <v>0.33511122969650498</v>
      </c>
      <c r="O48">
        <v>0.42789264559696</v>
      </c>
      <c r="P48">
        <v>3.6958269999999999E-9</v>
      </c>
      <c r="Q48" s="1">
        <v>8.3103849999999992E-12</v>
      </c>
      <c r="R48">
        <v>1</v>
      </c>
      <c r="S48">
        <f>ABS(M48)</f>
        <v>0.26606875030198901</v>
      </c>
      <c r="T48">
        <f t="shared" ref="T48" si="45">ABS(N48)</f>
        <v>0.33511122969650498</v>
      </c>
      <c r="U48">
        <f t="shared" ref="U48" si="46">ABS(O48)</f>
        <v>0.42789264559696</v>
      </c>
      <c r="W48" s="1">
        <v>-0.22106497125442601</v>
      </c>
      <c r="X48" s="1">
        <v>0.374525344823395</v>
      </c>
      <c r="Y48">
        <v>15000</v>
      </c>
      <c r="Z48">
        <v>16</v>
      </c>
      <c r="AA48">
        <v>1</v>
      </c>
      <c r="AB48">
        <v>1</v>
      </c>
      <c r="AC48">
        <v>1</v>
      </c>
      <c r="AD48">
        <v>0.01</v>
      </c>
      <c r="AE48">
        <v>16</v>
      </c>
      <c r="AF48">
        <v>0</v>
      </c>
      <c r="AG48">
        <v>3</v>
      </c>
      <c r="AH48">
        <v>282.5</v>
      </c>
      <c r="AI48" t="s">
        <v>85</v>
      </c>
      <c r="AJ48">
        <v>3</v>
      </c>
      <c r="AK48" t="s">
        <v>83</v>
      </c>
    </row>
    <row r="49" spans="1:37" hidden="1" x14ac:dyDescent="0.3">
      <c r="A49">
        <v>3</v>
      </c>
      <c r="B49">
        <v>45</v>
      </c>
      <c r="C49">
        <v>1</v>
      </c>
      <c r="D49">
        <v>0.1</v>
      </c>
      <c r="E49" t="s">
        <v>28</v>
      </c>
      <c r="F49">
        <v>0</v>
      </c>
      <c r="I49" s="5"/>
      <c r="J49" s="6"/>
      <c r="K49" s="6"/>
      <c r="L49" s="7"/>
      <c r="M49">
        <v>-0.13840568580422399</v>
      </c>
      <c r="N49">
        <v>0.43774011602301299</v>
      </c>
      <c r="O49">
        <v>0.45909970925582</v>
      </c>
      <c r="P49">
        <v>3.966335E-5</v>
      </c>
      <c r="Q49" s="1">
        <v>6.2161740000000001E-4</v>
      </c>
      <c r="R49">
        <v>0.99931899999999996</v>
      </c>
      <c r="W49" s="1">
        <v>-0.22106497125442601</v>
      </c>
      <c r="X49" s="1">
        <v>0.374525344823395</v>
      </c>
      <c r="Y49">
        <v>9000</v>
      </c>
      <c r="Z49">
        <v>16</v>
      </c>
      <c r="AA49">
        <v>1</v>
      </c>
      <c r="AB49">
        <v>1</v>
      </c>
      <c r="AC49">
        <v>1</v>
      </c>
      <c r="AD49">
        <v>0.01</v>
      </c>
      <c r="AE49">
        <v>16</v>
      </c>
      <c r="AF49">
        <v>0</v>
      </c>
      <c r="AG49">
        <v>3</v>
      </c>
      <c r="AH49">
        <v>168.8</v>
      </c>
      <c r="AI49" t="s">
        <v>86</v>
      </c>
      <c r="AJ49">
        <v>3</v>
      </c>
      <c r="AK49" t="s">
        <v>83</v>
      </c>
    </row>
    <row r="50" spans="1:37" x14ac:dyDescent="0.3">
      <c r="A50">
        <v>3.25</v>
      </c>
      <c r="B50">
        <v>42</v>
      </c>
      <c r="C50">
        <v>0</v>
      </c>
      <c r="D50">
        <v>0</v>
      </c>
      <c r="E50" t="s">
        <v>14</v>
      </c>
      <c r="G50" s="1">
        <f>J50-S50</f>
        <v>-0.771405644695075</v>
      </c>
      <c r="H50" s="1">
        <f>K50+T50</f>
        <v>0.37774241507637796</v>
      </c>
      <c r="I50" s="5">
        <v>3.25</v>
      </c>
      <c r="J50" s="6">
        <v>-0.37392335017299999</v>
      </c>
      <c r="K50" s="6">
        <v>0.22208170484299999</v>
      </c>
      <c r="L50" s="7">
        <v>0.43490108695099999</v>
      </c>
      <c r="M50">
        <v>-0.39748229452207501</v>
      </c>
      <c r="N50">
        <v>0.15566071023337799</v>
      </c>
      <c r="O50">
        <v>0.42687519390202699</v>
      </c>
      <c r="P50">
        <v>4.831453E-9</v>
      </c>
      <c r="Q50" s="1">
        <v>1.2399200000000001E-11</v>
      </c>
      <c r="R50">
        <v>1</v>
      </c>
      <c r="S50">
        <f>ABS(M50)</f>
        <v>0.39748229452207501</v>
      </c>
      <c r="T50">
        <f t="shared" ref="T50" si="47">ABS(N50)</f>
        <v>0.15566071023337799</v>
      </c>
      <c r="U50">
        <f t="shared" ref="U50" si="48">ABS(O50)</f>
        <v>0.42687519390202699</v>
      </c>
      <c r="W50" s="1">
        <v>-0.37392335017320999</v>
      </c>
      <c r="X50" s="1">
        <v>0.222081704843164</v>
      </c>
      <c r="Y50">
        <v>15000</v>
      </c>
      <c r="Z50">
        <v>16</v>
      </c>
      <c r="AA50">
        <v>1</v>
      </c>
      <c r="AB50">
        <v>1</v>
      </c>
      <c r="AC50">
        <v>1</v>
      </c>
      <c r="AD50">
        <v>0.01</v>
      </c>
      <c r="AE50">
        <v>16</v>
      </c>
      <c r="AF50">
        <v>0</v>
      </c>
      <c r="AG50">
        <v>3.25</v>
      </c>
      <c r="AH50">
        <v>281.8</v>
      </c>
      <c r="AI50" t="s">
        <v>87</v>
      </c>
      <c r="AJ50">
        <v>3.25</v>
      </c>
      <c r="AK50" t="s">
        <v>88</v>
      </c>
    </row>
    <row r="51" spans="1:37" hidden="1" x14ac:dyDescent="0.3">
      <c r="A51">
        <v>3.25</v>
      </c>
      <c r="B51">
        <v>42</v>
      </c>
      <c r="C51">
        <v>1</v>
      </c>
      <c r="D51">
        <v>0.1</v>
      </c>
      <c r="E51" t="s">
        <v>28</v>
      </c>
      <c r="F51">
        <v>0</v>
      </c>
      <c r="I51" s="5"/>
      <c r="J51" s="6"/>
      <c r="K51" s="6"/>
      <c r="L51" s="7"/>
      <c r="M51">
        <v>-0.31126633732173897</v>
      </c>
      <c r="N51">
        <v>0.36855936939490802</v>
      </c>
      <c r="O51">
        <v>0.48241345495172799</v>
      </c>
      <c r="P51">
        <v>1.1052150000000001E-5</v>
      </c>
      <c r="Q51" s="1">
        <v>4.6953580000000003E-5</v>
      </c>
      <c r="R51">
        <v>0.99994899999999998</v>
      </c>
      <c r="W51" s="1">
        <v>-0.37392335017320999</v>
      </c>
      <c r="X51" s="1">
        <v>0.222081704843164</v>
      </c>
      <c r="Y51">
        <v>9000</v>
      </c>
      <c r="Z51">
        <v>16</v>
      </c>
      <c r="AA51">
        <v>1</v>
      </c>
      <c r="AB51">
        <v>1</v>
      </c>
      <c r="AC51">
        <v>1</v>
      </c>
      <c r="AD51">
        <v>0.01</v>
      </c>
      <c r="AE51">
        <v>16</v>
      </c>
      <c r="AF51">
        <v>0</v>
      </c>
      <c r="AG51">
        <v>3.25</v>
      </c>
      <c r="AH51">
        <v>168.5</v>
      </c>
      <c r="AI51" t="s">
        <v>89</v>
      </c>
      <c r="AJ51">
        <v>3.25</v>
      </c>
      <c r="AK51" t="s">
        <v>88</v>
      </c>
    </row>
    <row r="52" spans="1:37" x14ac:dyDescent="0.3">
      <c r="A52">
        <v>3.25</v>
      </c>
      <c r="B52">
        <v>45</v>
      </c>
      <c r="C52">
        <v>0</v>
      </c>
      <c r="D52">
        <v>0</v>
      </c>
      <c r="E52" t="s">
        <v>14</v>
      </c>
      <c r="G52" s="1">
        <f>J52-S52</f>
        <v>-0.77121711478709798</v>
      </c>
      <c r="H52" s="1">
        <f>K52+T52</f>
        <v>0.377982806120436</v>
      </c>
      <c r="I52" s="5">
        <v>3.25</v>
      </c>
      <c r="J52" s="6">
        <v>-0.37392335017299999</v>
      </c>
      <c r="K52" s="6">
        <v>0.22208170484299999</v>
      </c>
      <c r="L52" s="7">
        <v>0.43490108695099999</v>
      </c>
      <c r="M52">
        <v>0.39729376461409799</v>
      </c>
      <c r="N52">
        <v>-0.155901101277436</v>
      </c>
      <c r="O52">
        <v>0.42678740466508602</v>
      </c>
      <c r="P52">
        <v>4.1710129999999998E-9</v>
      </c>
      <c r="Q52" s="1">
        <v>9.6167850000000002E-12</v>
      </c>
      <c r="R52">
        <v>1</v>
      </c>
      <c r="S52">
        <f>ABS(M52)</f>
        <v>0.39729376461409799</v>
      </c>
      <c r="T52">
        <f t="shared" ref="T52" si="49">ABS(N52)</f>
        <v>0.155901101277436</v>
      </c>
      <c r="U52">
        <f t="shared" ref="U52" si="50">ABS(O52)</f>
        <v>0.42678740466508602</v>
      </c>
      <c r="W52" s="1">
        <v>-0.37392335017320999</v>
      </c>
      <c r="X52" s="1">
        <v>0.222081704843164</v>
      </c>
      <c r="Y52">
        <v>15000</v>
      </c>
      <c r="Z52">
        <v>16</v>
      </c>
      <c r="AA52">
        <v>1</v>
      </c>
      <c r="AB52">
        <v>1</v>
      </c>
      <c r="AC52">
        <v>1</v>
      </c>
      <c r="AD52">
        <v>0.01</v>
      </c>
      <c r="AE52">
        <v>16</v>
      </c>
      <c r="AF52">
        <v>0</v>
      </c>
      <c r="AG52">
        <v>3.25</v>
      </c>
      <c r="AH52">
        <v>280.10000000000002</v>
      </c>
      <c r="AI52" t="s">
        <v>90</v>
      </c>
      <c r="AJ52">
        <v>3.25</v>
      </c>
      <c r="AK52" t="s">
        <v>88</v>
      </c>
    </row>
    <row r="53" spans="1:37" hidden="1" x14ac:dyDescent="0.3">
      <c r="A53">
        <v>3.25</v>
      </c>
      <c r="B53">
        <v>45</v>
      </c>
      <c r="C53">
        <v>1</v>
      </c>
      <c r="D53">
        <v>0.1</v>
      </c>
      <c r="E53" t="s">
        <v>28</v>
      </c>
      <c r="F53">
        <v>0</v>
      </c>
      <c r="I53" s="5"/>
      <c r="J53" s="6"/>
      <c r="K53" s="6"/>
      <c r="L53" s="7"/>
      <c r="M53">
        <v>0.31804783708232698</v>
      </c>
      <c r="N53">
        <v>-0.37123412189072003</v>
      </c>
      <c r="O53">
        <v>0.48884476056179699</v>
      </c>
      <c r="P53">
        <v>1.21969E-5</v>
      </c>
      <c r="Q53" s="1">
        <v>6.0912039999999998E-5</v>
      </c>
      <c r="R53">
        <v>0.99993900000000002</v>
      </c>
      <c r="W53" s="1">
        <v>-0.37392335017320999</v>
      </c>
      <c r="X53" s="1">
        <v>0.222081704843164</v>
      </c>
      <c r="Y53">
        <v>9000</v>
      </c>
      <c r="Z53">
        <v>16</v>
      </c>
      <c r="AA53">
        <v>1</v>
      </c>
      <c r="AB53">
        <v>1</v>
      </c>
      <c r="AC53">
        <v>1</v>
      </c>
      <c r="AD53">
        <v>0.01</v>
      </c>
      <c r="AE53">
        <v>16</v>
      </c>
      <c r="AF53">
        <v>0</v>
      </c>
      <c r="AG53">
        <v>3.25</v>
      </c>
      <c r="AH53">
        <v>169.9</v>
      </c>
      <c r="AI53" t="s">
        <v>91</v>
      </c>
      <c r="AJ53">
        <v>3.25</v>
      </c>
      <c r="AK53" t="s">
        <v>88</v>
      </c>
    </row>
    <row r="54" spans="1:37" x14ac:dyDescent="0.3">
      <c r="A54">
        <v>3.5</v>
      </c>
      <c r="B54">
        <v>42</v>
      </c>
      <c r="C54">
        <v>0</v>
      </c>
      <c r="D54">
        <v>0</v>
      </c>
      <c r="E54" t="s">
        <v>14</v>
      </c>
      <c r="G54" s="1">
        <f>J54-S54</f>
        <v>-0.85239406161453102</v>
      </c>
      <c r="H54" s="1">
        <f>K54+T54</f>
        <v>7.9247261314779299E-2</v>
      </c>
      <c r="I54" s="5">
        <v>3.5</v>
      </c>
      <c r="J54" s="6">
        <v>-0.434893705051</v>
      </c>
      <c r="K54" s="6">
        <v>-2.5339175410000001E-3</v>
      </c>
      <c r="L54" s="7">
        <v>0.43490108695099999</v>
      </c>
      <c r="M54">
        <v>0.41750035656353102</v>
      </c>
      <c r="N54">
        <v>8.1781178855779305E-2</v>
      </c>
      <c r="O54">
        <v>0.425434729360117</v>
      </c>
      <c r="P54">
        <v>6.0011179999999998E-9</v>
      </c>
      <c r="Q54" s="1">
        <v>1.328253E-11</v>
      </c>
      <c r="R54">
        <v>1</v>
      </c>
      <c r="S54">
        <f>ABS(M54)</f>
        <v>0.41750035656353102</v>
      </c>
      <c r="T54">
        <f t="shared" ref="T54" si="51">ABS(N54)</f>
        <v>8.1781178855779305E-2</v>
      </c>
      <c r="U54">
        <f t="shared" ref="U54" si="52">ABS(O54)</f>
        <v>0.425434729360117</v>
      </c>
      <c r="W54" s="1">
        <v>-0.43489370505066799</v>
      </c>
      <c r="X54" s="1">
        <v>-2.5339175413038001E-3</v>
      </c>
      <c r="Y54">
        <v>15000</v>
      </c>
      <c r="Z54">
        <v>16</v>
      </c>
      <c r="AA54">
        <v>1</v>
      </c>
      <c r="AB54">
        <v>1</v>
      </c>
      <c r="AC54">
        <v>1</v>
      </c>
      <c r="AD54">
        <v>0.01</v>
      </c>
      <c r="AE54">
        <v>16</v>
      </c>
      <c r="AF54">
        <v>0</v>
      </c>
      <c r="AG54">
        <v>3.5</v>
      </c>
      <c r="AH54">
        <v>282.2</v>
      </c>
      <c r="AI54" t="s">
        <v>92</v>
      </c>
      <c r="AJ54">
        <v>3.5</v>
      </c>
      <c r="AK54" t="s">
        <v>93</v>
      </c>
    </row>
    <row r="55" spans="1:37" hidden="1" x14ac:dyDescent="0.3">
      <c r="A55">
        <v>3.5</v>
      </c>
      <c r="B55">
        <v>42</v>
      </c>
      <c r="C55">
        <v>1</v>
      </c>
      <c r="D55">
        <v>0.1</v>
      </c>
      <c r="E55" t="s">
        <v>28</v>
      </c>
      <c r="F55">
        <v>0</v>
      </c>
      <c r="I55" s="5"/>
      <c r="J55" s="6"/>
      <c r="K55" s="6"/>
      <c r="L55" s="7"/>
      <c r="M55">
        <v>0.42350999802175199</v>
      </c>
      <c r="N55">
        <v>-0.25438389587184301</v>
      </c>
      <c r="O55">
        <v>0.49403631941722798</v>
      </c>
      <c r="P55">
        <v>9.7535489999999997E-6</v>
      </c>
      <c r="Q55" s="1">
        <v>3.1216659999999999E-5</v>
      </c>
      <c r="R55">
        <v>0.99996499999999999</v>
      </c>
      <c r="W55" s="1">
        <v>-0.43489370505066799</v>
      </c>
      <c r="X55" s="1">
        <v>-2.5339175413038001E-3</v>
      </c>
      <c r="Y55">
        <v>9000</v>
      </c>
      <c r="Z55">
        <v>16</v>
      </c>
      <c r="AA55">
        <v>1</v>
      </c>
      <c r="AB55">
        <v>1</v>
      </c>
      <c r="AC55">
        <v>1</v>
      </c>
      <c r="AD55">
        <v>0.01</v>
      </c>
      <c r="AE55">
        <v>16</v>
      </c>
      <c r="AF55">
        <v>0</v>
      </c>
      <c r="AG55">
        <v>3.5</v>
      </c>
      <c r="AH55">
        <v>168.6</v>
      </c>
      <c r="AI55" t="s">
        <v>94</v>
      </c>
      <c r="AJ55">
        <v>3.5</v>
      </c>
      <c r="AK55" t="s">
        <v>93</v>
      </c>
    </row>
    <row r="56" spans="1:37" x14ac:dyDescent="0.3">
      <c r="A56">
        <v>3.5</v>
      </c>
      <c r="B56">
        <v>45</v>
      </c>
      <c r="C56">
        <v>0</v>
      </c>
      <c r="D56">
        <v>0</v>
      </c>
      <c r="E56" t="s">
        <v>14</v>
      </c>
      <c r="G56" s="1">
        <f>J56-S56</f>
        <v>-0.85242810034717198</v>
      </c>
      <c r="H56" s="1">
        <f>K56+T56</f>
        <v>7.9410713174860301E-2</v>
      </c>
      <c r="I56" s="5">
        <v>3.5</v>
      </c>
      <c r="J56" s="6">
        <v>-0.434893705051</v>
      </c>
      <c r="K56" s="6">
        <v>-2.5339175410000001E-3</v>
      </c>
      <c r="L56" s="7">
        <v>0.43490108695099999</v>
      </c>
      <c r="M56">
        <v>-0.41753439529617198</v>
      </c>
      <c r="N56">
        <v>-8.1944630715860306E-2</v>
      </c>
      <c r="O56">
        <v>0.42549958138463401</v>
      </c>
      <c r="P56">
        <v>3.5894979999999998E-9</v>
      </c>
      <c r="Q56" s="1">
        <v>7.7851320000000007E-12</v>
      </c>
      <c r="R56">
        <v>1</v>
      </c>
      <c r="S56">
        <f>ABS(M56)</f>
        <v>0.41753439529617198</v>
      </c>
      <c r="T56">
        <f t="shared" ref="T56" si="53">ABS(N56)</f>
        <v>8.1944630715860306E-2</v>
      </c>
      <c r="U56">
        <f t="shared" ref="U56" si="54">ABS(O56)</f>
        <v>0.42549958138463401</v>
      </c>
      <c r="W56" s="1">
        <v>-0.43489370505066799</v>
      </c>
      <c r="X56" s="1">
        <v>-2.5339175413038001E-3</v>
      </c>
      <c r="Y56">
        <v>15000</v>
      </c>
      <c r="Z56">
        <v>16</v>
      </c>
      <c r="AA56">
        <v>1</v>
      </c>
      <c r="AB56">
        <v>1</v>
      </c>
      <c r="AC56">
        <v>1</v>
      </c>
      <c r="AD56">
        <v>0.01</v>
      </c>
      <c r="AE56">
        <v>16</v>
      </c>
      <c r="AF56">
        <v>0</v>
      </c>
      <c r="AG56">
        <v>3.5</v>
      </c>
      <c r="AH56">
        <v>280.89999999999998</v>
      </c>
      <c r="AI56" t="s">
        <v>95</v>
      </c>
      <c r="AJ56">
        <v>3.5</v>
      </c>
      <c r="AK56" t="s">
        <v>93</v>
      </c>
    </row>
    <row r="57" spans="1:37" hidden="1" x14ac:dyDescent="0.3">
      <c r="A57">
        <v>3.5</v>
      </c>
      <c r="B57">
        <v>45</v>
      </c>
      <c r="C57">
        <v>1</v>
      </c>
      <c r="D57">
        <v>0.1</v>
      </c>
      <c r="E57" t="s">
        <v>28</v>
      </c>
      <c r="F57">
        <v>0</v>
      </c>
      <c r="I57" s="5"/>
      <c r="J57" s="6"/>
      <c r="K57" s="6"/>
      <c r="L57" s="7"/>
      <c r="M57">
        <v>-0.39567106828172699</v>
      </c>
      <c r="N57">
        <v>0.22693703389141501</v>
      </c>
      <c r="O57">
        <v>0.45613157271409799</v>
      </c>
      <c r="P57">
        <v>1.085735E-5</v>
      </c>
      <c r="Q57" s="1">
        <v>5.7723970000000003E-5</v>
      </c>
      <c r="R57">
        <v>0.999946</v>
      </c>
      <c r="W57" s="1">
        <v>-0.43489370505066799</v>
      </c>
      <c r="X57" s="1">
        <v>-2.5339175413038001E-3</v>
      </c>
      <c r="Y57">
        <v>9000</v>
      </c>
      <c r="Z57">
        <v>16</v>
      </c>
      <c r="AA57">
        <v>1</v>
      </c>
      <c r="AB57">
        <v>1</v>
      </c>
      <c r="AC57">
        <v>1</v>
      </c>
      <c r="AD57">
        <v>0.01</v>
      </c>
      <c r="AE57">
        <v>16</v>
      </c>
      <c r="AF57">
        <v>0</v>
      </c>
      <c r="AG57">
        <v>3.5</v>
      </c>
      <c r="AH57">
        <v>169.3</v>
      </c>
      <c r="AI57" t="s">
        <v>96</v>
      </c>
      <c r="AJ57">
        <v>3.5</v>
      </c>
      <c r="AK57" t="s">
        <v>93</v>
      </c>
    </row>
    <row r="58" spans="1:37" x14ac:dyDescent="0.3">
      <c r="A58">
        <v>3.75</v>
      </c>
      <c r="B58">
        <v>42</v>
      </c>
      <c r="C58">
        <v>0</v>
      </c>
      <c r="D58">
        <v>0</v>
      </c>
      <c r="E58" t="s">
        <v>14</v>
      </c>
      <c r="G58" s="1">
        <f>J58-S58</f>
        <v>-0.65623030265754201</v>
      </c>
      <c r="H58" s="1">
        <f>K58+T58</f>
        <v>6.446678835391001E-2</v>
      </c>
      <c r="I58" s="5">
        <v>3.75</v>
      </c>
      <c r="J58" s="6">
        <v>-0.361927041555</v>
      </c>
      <c r="K58" s="6">
        <v>-0.24113849137400001</v>
      </c>
      <c r="L58" s="7">
        <v>0.43490108695099999</v>
      </c>
      <c r="M58">
        <v>-0.29430326110254201</v>
      </c>
      <c r="N58">
        <v>-0.30560527972791002</v>
      </c>
      <c r="O58">
        <v>0.424274671048326</v>
      </c>
      <c r="P58">
        <v>4.2406020000000002E-9</v>
      </c>
      <c r="Q58" s="1">
        <v>9.6163410000000008E-12</v>
      </c>
      <c r="R58">
        <v>1</v>
      </c>
      <c r="S58">
        <f>ABS(M58)</f>
        <v>0.29430326110254201</v>
      </c>
      <c r="T58">
        <f t="shared" ref="T58" si="55">ABS(N58)</f>
        <v>0.30560527972791002</v>
      </c>
      <c r="U58">
        <f t="shared" ref="U58" si="56">ABS(O58)</f>
        <v>0.424274671048326</v>
      </c>
      <c r="W58" s="1">
        <v>-0.36192704155485</v>
      </c>
      <c r="X58" s="1">
        <v>-0.24113849137405899</v>
      </c>
      <c r="Y58">
        <v>15000</v>
      </c>
      <c r="Z58">
        <v>16</v>
      </c>
      <c r="AA58">
        <v>1</v>
      </c>
      <c r="AB58">
        <v>1</v>
      </c>
      <c r="AC58">
        <v>1</v>
      </c>
      <c r="AD58">
        <v>0.01</v>
      </c>
      <c r="AE58">
        <v>16</v>
      </c>
      <c r="AF58">
        <v>0</v>
      </c>
      <c r="AG58">
        <v>3.75</v>
      </c>
      <c r="AH58">
        <v>281.3</v>
      </c>
      <c r="AI58" t="s">
        <v>97</v>
      </c>
      <c r="AJ58">
        <v>3.75</v>
      </c>
      <c r="AK58" t="s">
        <v>98</v>
      </c>
    </row>
    <row r="59" spans="1:37" hidden="1" x14ac:dyDescent="0.3">
      <c r="A59">
        <v>3.75</v>
      </c>
      <c r="B59">
        <v>42</v>
      </c>
      <c r="C59">
        <v>1</v>
      </c>
      <c r="D59">
        <v>0.1</v>
      </c>
      <c r="E59" t="s">
        <v>28</v>
      </c>
      <c r="F59">
        <v>0</v>
      </c>
      <c r="I59" s="5"/>
      <c r="J59" s="6"/>
      <c r="K59" s="6"/>
      <c r="L59" s="7"/>
      <c r="M59">
        <v>-0.42701171652904002</v>
      </c>
      <c r="N59">
        <v>9.07693732204371E-2</v>
      </c>
      <c r="O59">
        <v>0.436552499898819</v>
      </c>
      <c r="P59">
        <v>8.2605750000000001E-6</v>
      </c>
      <c r="Q59" s="1">
        <v>2.7764970000000001E-5</v>
      </c>
      <c r="R59">
        <v>0.99997000000000003</v>
      </c>
      <c r="W59" s="1">
        <v>-0.36192704155485</v>
      </c>
      <c r="X59" s="1">
        <v>-0.24113849137405899</v>
      </c>
      <c r="Y59">
        <v>9000</v>
      </c>
      <c r="Z59">
        <v>16</v>
      </c>
      <c r="AA59">
        <v>1</v>
      </c>
      <c r="AB59">
        <v>1</v>
      </c>
      <c r="AC59">
        <v>1</v>
      </c>
      <c r="AD59">
        <v>0.01</v>
      </c>
      <c r="AE59">
        <v>16</v>
      </c>
      <c r="AF59">
        <v>0</v>
      </c>
      <c r="AG59">
        <v>3.75</v>
      </c>
      <c r="AH59">
        <v>168.3</v>
      </c>
      <c r="AI59" t="s">
        <v>99</v>
      </c>
      <c r="AJ59">
        <v>3.75</v>
      </c>
      <c r="AK59" t="s">
        <v>98</v>
      </c>
    </row>
    <row r="60" spans="1:37" x14ac:dyDescent="0.3">
      <c r="A60">
        <v>3.75</v>
      </c>
      <c r="B60">
        <v>45</v>
      </c>
      <c r="C60">
        <v>0</v>
      </c>
      <c r="D60">
        <v>0</v>
      </c>
      <c r="E60" t="s">
        <v>14</v>
      </c>
      <c r="G60" s="1">
        <f>J60-S60</f>
        <v>-0.65652968738672401</v>
      </c>
      <c r="H60" s="1">
        <f>K60+T60</f>
        <v>6.3680050503837016E-2</v>
      </c>
      <c r="I60" s="5">
        <v>3.75</v>
      </c>
      <c r="J60" s="6">
        <v>-0.361927041555</v>
      </c>
      <c r="K60" s="6">
        <v>-0.24113849137400001</v>
      </c>
      <c r="L60" s="7">
        <v>0.43490108695099999</v>
      </c>
      <c r="M60">
        <v>-0.29460264583172402</v>
      </c>
      <c r="N60">
        <v>-0.30481854187783702</v>
      </c>
      <c r="O60">
        <v>0.42391633892029101</v>
      </c>
      <c r="P60">
        <v>4.3596020000000002E-8</v>
      </c>
      <c r="Q60" s="1">
        <v>7.7833100000000005E-10</v>
      </c>
      <c r="R60">
        <v>1</v>
      </c>
      <c r="S60">
        <f>ABS(M60)</f>
        <v>0.29460264583172402</v>
      </c>
      <c r="T60">
        <f t="shared" ref="T60" si="57">ABS(N60)</f>
        <v>0.30481854187783702</v>
      </c>
      <c r="U60">
        <f t="shared" ref="U60" si="58">ABS(O60)</f>
        <v>0.42391633892029101</v>
      </c>
      <c r="W60" s="1">
        <v>-0.36192704155485</v>
      </c>
      <c r="X60" s="1">
        <v>-0.24113849137405899</v>
      </c>
      <c r="Y60">
        <v>15000</v>
      </c>
      <c r="Z60">
        <v>16</v>
      </c>
      <c r="AA60">
        <v>1</v>
      </c>
      <c r="AB60">
        <v>1</v>
      </c>
      <c r="AC60">
        <v>1</v>
      </c>
      <c r="AD60">
        <v>0.01</v>
      </c>
      <c r="AE60">
        <v>16</v>
      </c>
      <c r="AF60">
        <v>0</v>
      </c>
      <c r="AG60">
        <v>3.75</v>
      </c>
      <c r="AH60">
        <v>282.10000000000002</v>
      </c>
      <c r="AI60" t="s">
        <v>100</v>
      </c>
      <c r="AJ60">
        <v>3.75</v>
      </c>
      <c r="AK60" t="s">
        <v>98</v>
      </c>
    </row>
    <row r="61" spans="1:37" hidden="1" x14ac:dyDescent="0.3">
      <c r="A61">
        <v>3.75</v>
      </c>
      <c r="B61">
        <v>45</v>
      </c>
      <c r="C61">
        <v>1</v>
      </c>
      <c r="D61">
        <v>0.1</v>
      </c>
      <c r="E61" t="s">
        <v>28</v>
      </c>
      <c r="F61">
        <v>0</v>
      </c>
      <c r="I61" s="5"/>
      <c r="J61" s="6"/>
      <c r="K61" s="6"/>
      <c r="L61" s="7"/>
      <c r="M61">
        <v>-0.42031454331622498</v>
      </c>
      <c r="N61">
        <v>0.10163169431989801</v>
      </c>
      <c r="O61">
        <v>0.43242723851933701</v>
      </c>
      <c r="P61">
        <v>6.6075909999999996E-6</v>
      </c>
      <c r="Q61" s="1">
        <v>1.8858100000000002E-5</v>
      </c>
      <c r="R61">
        <v>0.999977</v>
      </c>
      <c r="W61" s="1">
        <v>-0.36192704155485</v>
      </c>
      <c r="X61" s="1">
        <v>-0.24113849137405899</v>
      </c>
      <c r="Y61">
        <v>9000</v>
      </c>
      <c r="Z61">
        <v>16</v>
      </c>
      <c r="AA61">
        <v>1</v>
      </c>
      <c r="AB61">
        <v>1</v>
      </c>
      <c r="AC61">
        <v>1</v>
      </c>
      <c r="AD61">
        <v>0.01</v>
      </c>
      <c r="AE61">
        <v>16</v>
      </c>
      <c r="AF61">
        <v>0</v>
      </c>
      <c r="AG61">
        <v>3.75</v>
      </c>
      <c r="AH61">
        <v>168.1</v>
      </c>
      <c r="AI61" t="s">
        <v>101</v>
      </c>
      <c r="AJ61">
        <v>3.75</v>
      </c>
      <c r="AK61" t="s">
        <v>98</v>
      </c>
    </row>
    <row r="62" spans="1:37" x14ac:dyDescent="0.3">
      <c r="A62">
        <v>4</v>
      </c>
      <c r="B62">
        <v>42</v>
      </c>
      <c r="C62">
        <v>0</v>
      </c>
      <c r="D62">
        <v>0</v>
      </c>
      <c r="E62" t="s">
        <v>14</v>
      </c>
      <c r="G62" s="1">
        <f>J62-S62</f>
        <v>-0.20172372670204342</v>
      </c>
      <c r="H62" s="1">
        <f>K62+T62</f>
        <v>1.3240242101657029E-2</v>
      </c>
      <c r="I62" s="5">
        <v>4</v>
      </c>
      <c r="J62" s="6">
        <v>-0.15363019665700001</v>
      </c>
      <c r="K62" s="6">
        <v>-0.40686203817299998</v>
      </c>
      <c r="L62" s="7">
        <v>0.43490108695099999</v>
      </c>
      <c r="M62">
        <v>-4.8093530045043402E-2</v>
      </c>
      <c r="N62">
        <v>-0.42010228027465701</v>
      </c>
      <c r="O62">
        <v>0.42284620552177099</v>
      </c>
      <c r="P62">
        <v>4.8434760000000003E-9</v>
      </c>
      <c r="Q62" s="1">
        <v>1.529013E-11</v>
      </c>
      <c r="R62">
        <v>1</v>
      </c>
      <c r="S62">
        <f>ABS(M62)</f>
        <v>4.8093530045043402E-2</v>
      </c>
      <c r="T62">
        <f t="shared" ref="T62" si="59">ABS(N62)</f>
        <v>0.42010228027465701</v>
      </c>
      <c r="U62">
        <f t="shared" ref="U62" si="60">ABS(O62)</f>
        <v>0.42284620552177099</v>
      </c>
      <c r="W62" s="1">
        <v>-0.15363019665698799</v>
      </c>
      <c r="X62" s="1">
        <v>-0.40686203817257099</v>
      </c>
      <c r="Y62">
        <v>15000</v>
      </c>
      <c r="Z62">
        <v>16</v>
      </c>
      <c r="AA62">
        <v>1</v>
      </c>
      <c r="AB62">
        <v>1</v>
      </c>
      <c r="AC62">
        <v>1</v>
      </c>
      <c r="AD62">
        <v>0.01</v>
      </c>
      <c r="AE62">
        <v>16</v>
      </c>
      <c r="AF62">
        <v>0</v>
      </c>
      <c r="AG62">
        <v>4</v>
      </c>
      <c r="AH62">
        <v>281.60000000000002</v>
      </c>
      <c r="AI62" t="s">
        <v>102</v>
      </c>
      <c r="AJ62">
        <v>4</v>
      </c>
      <c r="AK62" t="s">
        <v>103</v>
      </c>
    </row>
    <row r="63" spans="1:37" hidden="1" x14ac:dyDescent="0.3">
      <c r="A63">
        <v>4</v>
      </c>
      <c r="B63">
        <v>42</v>
      </c>
      <c r="C63">
        <v>1</v>
      </c>
      <c r="D63">
        <v>0.1</v>
      </c>
      <c r="E63" t="s">
        <v>28</v>
      </c>
      <c r="F63">
        <v>0</v>
      </c>
      <c r="I63" s="5"/>
      <c r="J63" s="6"/>
      <c r="K63" s="6"/>
      <c r="L63" s="7"/>
      <c r="M63">
        <v>-0.44629811688809401</v>
      </c>
      <c r="N63">
        <v>-7.8637387913993908E-3</v>
      </c>
      <c r="O63">
        <v>0.44636739075075599</v>
      </c>
      <c r="P63">
        <v>8.3666989999999996E-6</v>
      </c>
      <c r="Q63" s="1">
        <v>3.0769199999999997E-5</v>
      </c>
      <c r="R63">
        <v>0.99996700000000005</v>
      </c>
      <c r="W63" s="1">
        <v>-0.15363019665698799</v>
      </c>
      <c r="X63" s="1">
        <v>-0.40686203817257099</v>
      </c>
      <c r="Y63">
        <v>9000</v>
      </c>
      <c r="Z63">
        <v>16</v>
      </c>
      <c r="AA63">
        <v>1</v>
      </c>
      <c r="AB63">
        <v>1</v>
      </c>
      <c r="AC63">
        <v>1</v>
      </c>
      <c r="AD63">
        <v>0.01</v>
      </c>
      <c r="AE63">
        <v>16</v>
      </c>
      <c r="AF63">
        <v>0</v>
      </c>
      <c r="AG63">
        <v>4</v>
      </c>
      <c r="AH63">
        <v>168.4</v>
      </c>
      <c r="AI63" t="s">
        <v>104</v>
      </c>
      <c r="AJ63">
        <v>4</v>
      </c>
      <c r="AK63" t="s">
        <v>103</v>
      </c>
    </row>
    <row r="64" spans="1:37" x14ac:dyDescent="0.3">
      <c r="A64">
        <v>4</v>
      </c>
      <c r="B64">
        <v>45</v>
      </c>
      <c r="C64">
        <v>0</v>
      </c>
      <c r="D64">
        <v>0</v>
      </c>
      <c r="E64" t="s">
        <v>14</v>
      </c>
      <c r="G64" s="1">
        <f>J64-S64</f>
        <v>-0.2025311340207922</v>
      </c>
      <c r="H64" s="1">
        <f>K64+T64</f>
        <v>1.2761053623895013E-2</v>
      </c>
      <c r="I64" s="5">
        <v>4</v>
      </c>
      <c r="J64" s="6">
        <v>-0.15363019665700001</v>
      </c>
      <c r="K64" s="6">
        <v>-0.40686203817299998</v>
      </c>
      <c r="L64" s="7">
        <v>0.43490108695099999</v>
      </c>
      <c r="M64">
        <v>4.8900937363792203E-2</v>
      </c>
      <c r="N64">
        <v>0.419623091796895</v>
      </c>
      <c r="O64">
        <v>0.42246282776623401</v>
      </c>
      <c r="P64">
        <v>5.3938959999999998E-8</v>
      </c>
      <c r="Q64" s="1">
        <v>1.430663E-9</v>
      </c>
      <c r="R64">
        <v>1</v>
      </c>
      <c r="S64">
        <f>ABS(M64)</f>
        <v>4.8900937363792203E-2</v>
      </c>
      <c r="T64">
        <f t="shared" ref="T64" si="61">ABS(N64)</f>
        <v>0.419623091796895</v>
      </c>
      <c r="U64">
        <f t="shared" ref="U64" si="62">ABS(O64)</f>
        <v>0.42246282776623401</v>
      </c>
      <c r="W64" s="1">
        <v>-0.15363019665698799</v>
      </c>
      <c r="X64" s="1">
        <v>-0.40686203817257099</v>
      </c>
      <c r="Y64">
        <v>15000</v>
      </c>
      <c r="Z64">
        <v>16</v>
      </c>
      <c r="AA64">
        <v>1</v>
      </c>
      <c r="AB64">
        <v>1</v>
      </c>
      <c r="AC64">
        <v>1</v>
      </c>
      <c r="AD64">
        <v>0.01</v>
      </c>
      <c r="AE64">
        <v>16</v>
      </c>
      <c r="AF64">
        <v>0</v>
      </c>
      <c r="AG64">
        <v>4</v>
      </c>
      <c r="AH64">
        <v>281</v>
      </c>
      <c r="AI64" t="s">
        <v>105</v>
      </c>
      <c r="AJ64">
        <v>4</v>
      </c>
      <c r="AK64" t="s">
        <v>103</v>
      </c>
    </row>
    <row r="65" spans="1:37" hidden="1" x14ac:dyDescent="0.3">
      <c r="A65">
        <v>4</v>
      </c>
      <c r="B65">
        <v>45</v>
      </c>
      <c r="C65">
        <v>1</v>
      </c>
      <c r="D65">
        <v>0.1</v>
      </c>
      <c r="E65" t="s">
        <v>28</v>
      </c>
      <c r="F65">
        <v>0</v>
      </c>
      <c r="I65" s="5"/>
      <c r="J65" s="6"/>
      <c r="K65" s="6"/>
      <c r="L65" s="7"/>
      <c r="M65">
        <v>0.47752936970993098</v>
      </c>
      <c r="N65">
        <v>-4.2345286890114998E-2</v>
      </c>
      <c r="O65">
        <v>0.47940319383309299</v>
      </c>
      <c r="P65">
        <v>6.4032690000000004E-6</v>
      </c>
      <c r="Q65" s="1">
        <v>1.6313720000000001E-5</v>
      </c>
      <c r="R65">
        <v>0.99998399999999998</v>
      </c>
      <c r="W65" s="1">
        <v>-0.15363019665698799</v>
      </c>
      <c r="X65" s="1">
        <v>-0.40686203817257099</v>
      </c>
      <c r="Y65">
        <v>9000</v>
      </c>
      <c r="Z65">
        <v>16</v>
      </c>
      <c r="AA65">
        <v>1</v>
      </c>
      <c r="AB65">
        <v>1</v>
      </c>
      <c r="AC65">
        <v>1</v>
      </c>
      <c r="AD65">
        <v>0.01</v>
      </c>
      <c r="AE65">
        <v>16</v>
      </c>
      <c r="AF65">
        <v>0</v>
      </c>
      <c r="AG65">
        <v>4</v>
      </c>
      <c r="AH65">
        <v>166.9</v>
      </c>
      <c r="AI65" t="s">
        <v>106</v>
      </c>
      <c r="AJ65">
        <v>4</v>
      </c>
      <c r="AK65" t="s">
        <v>103</v>
      </c>
    </row>
    <row r="66" spans="1:37" x14ac:dyDescent="0.3">
      <c r="A66">
        <v>4.25</v>
      </c>
      <c r="B66">
        <v>42</v>
      </c>
      <c r="C66">
        <v>0</v>
      </c>
      <c r="D66">
        <v>0</v>
      </c>
      <c r="E66" t="s">
        <v>14</v>
      </c>
      <c r="G66" s="1">
        <f>J66-S66</f>
        <v>-0.10120185576062701</v>
      </c>
      <c r="H66" s="1">
        <f>K66+T66</f>
        <v>-6.2808891944992007E-2</v>
      </c>
      <c r="I66" s="5">
        <v>4.25</v>
      </c>
      <c r="J66" s="6">
        <v>0.12898390421299999</v>
      </c>
      <c r="K66" s="6">
        <v>-0.41533373073300001</v>
      </c>
      <c r="L66" s="7">
        <v>0.43490108695099999</v>
      </c>
      <c r="M66">
        <v>0.230185759973627</v>
      </c>
      <c r="N66">
        <v>-0.352524838788008</v>
      </c>
      <c r="O66">
        <v>0.42102166934392699</v>
      </c>
      <c r="P66">
        <v>5.2378189999999997E-9</v>
      </c>
      <c r="Q66" s="1">
        <v>1.6394120000000001E-11</v>
      </c>
      <c r="R66">
        <v>1</v>
      </c>
      <c r="S66">
        <f>ABS(M66)</f>
        <v>0.230185759973627</v>
      </c>
      <c r="T66">
        <f t="shared" ref="T66" si="63">ABS(N66)</f>
        <v>0.352524838788008</v>
      </c>
      <c r="U66">
        <f t="shared" ref="U66" si="64">ABS(O66)</f>
        <v>0.42102166934392699</v>
      </c>
      <c r="W66" s="1">
        <v>0.12898390421313599</v>
      </c>
      <c r="X66" s="1">
        <v>-0.41533373073317797</v>
      </c>
      <c r="Y66">
        <v>15000</v>
      </c>
      <c r="Z66">
        <v>16</v>
      </c>
      <c r="AA66">
        <v>1</v>
      </c>
      <c r="AB66">
        <v>1</v>
      </c>
      <c r="AC66">
        <v>1</v>
      </c>
      <c r="AD66">
        <v>0.01</v>
      </c>
      <c r="AE66">
        <v>16</v>
      </c>
      <c r="AF66">
        <v>0</v>
      </c>
      <c r="AG66">
        <v>4.25</v>
      </c>
      <c r="AH66">
        <v>279.7</v>
      </c>
      <c r="AI66" t="s">
        <v>107</v>
      </c>
      <c r="AJ66">
        <v>4.25</v>
      </c>
      <c r="AK66" t="s">
        <v>108</v>
      </c>
    </row>
    <row r="67" spans="1:37" hidden="1" x14ac:dyDescent="0.3">
      <c r="A67">
        <v>4.25</v>
      </c>
      <c r="B67">
        <v>42</v>
      </c>
      <c r="C67">
        <v>1</v>
      </c>
      <c r="D67">
        <v>0.1</v>
      </c>
      <c r="E67" t="s">
        <v>28</v>
      </c>
      <c r="F67">
        <v>0</v>
      </c>
      <c r="I67" s="5"/>
      <c r="J67" s="6"/>
      <c r="K67" s="6"/>
      <c r="L67" s="7"/>
      <c r="M67">
        <v>-0.46774027421535402</v>
      </c>
      <c r="N67">
        <v>-9.8115799658485603E-2</v>
      </c>
      <c r="O67">
        <v>0.47792015469707799</v>
      </c>
      <c r="P67">
        <v>9.8639189999999992E-6</v>
      </c>
      <c r="Q67" s="1">
        <v>3.4260390000000001E-5</v>
      </c>
      <c r="R67">
        <v>0.99996200000000002</v>
      </c>
      <c r="W67" s="1">
        <v>0.12898390421313599</v>
      </c>
      <c r="X67" s="1">
        <v>-0.41533373073317797</v>
      </c>
      <c r="Y67">
        <v>9000</v>
      </c>
      <c r="Z67">
        <v>16</v>
      </c>
      <c r="AA67">
        <v>1</v>
      </c>
      <c r="AB67">
        <v>1</v>
      </c>
      <c r="AC67">
        <v>1</v>
      </c>
      <c r="AD67">
        <v>0.01</v>
      </c>
      <c r="AE67">
        <v>16</v>
      </c>
      <c r="AF67">
        <v>0</v>
      </c>
      <c r="AG67">
        <v>4.25</v>
      </c>
      <c r="AH67">
        <v>170.1</v>
      </c>
      <c r="AI67" t="s">
        <v>109</v>
      </c>
      <c r="AJ67">
        <v>4.25</v>
      </c>
      <c r="AK67" t="s">
        <v>108</v>
      </c>
    </row>
    <row r="68" spans="1:37" x14ac:dyDescent="0.3">
      <c r="A68">
        <v>4.25</v>
      </c>
      <c r="B68">
        <v>45</v>
      </c>
      <c r="C68">
        <v>0</v>
      </c>
      <c r="D68">
        <v>0</v>
      </c>
      <c r="E68" t="s">
        <v>14</v>
      </c>
      <c r="G68" s="1">
        <f>J68-S68</f>
        <v>-0.10129141147804901</v>
      </c>
      <c r="H68" s="1">
        <f>K68+T68</f>
        <v>-6.2679819950841986E-2</v>
      </c>
      <c r="I68" s="5">
        <v>4.25</v>
      </c>
      <c r="J68" s="6">
        <v>0.12898390421299999</v>
      </c>
      <c r="K68" s="6">
        <v>-0.41533373073300001</v>
      </c>
      <c r="L68" s="7">
        <v>0.43490108695099999</v>
      </c>
      <c r="M68">
        <v>0.230275315691049</v>
      </c>
      <c r="N68">
        <v>-0.35265391078215802</v>
      </c>
      <c r="O68">
        <v>0.421178705309946</v>
      </c>
      <c r="P68">
        <v>4.1389980000000001E-9</v>
      </c>
      <c r="Q68" s="1">
        <v>1.0677229999999999E-11</v>
      </c>
      <c r="R68">
        <v>1</v>
      </c>
      <c r="S68">
        <f>ABS(M68)</f>
        <v>0.230275315691049</v>
      </c>
      <c r="T68">
        <f t="shared" ref="T68" si="65">ABS(N68)</f>
        <v>0.35265391078215802</v>
      </c>
      <c r="U68">
        <f t="shared" ref="U68" si="66">ABS(O68)</f>
        <v>0.421178705309946</v>
      </c>
      <c r="W68" s="1">
        <v>0.12898390421313599</v>
      </c>
      <c r="X68" s="1">
        <v>-0.41533373073317797</v>
      </c>
      <c r="Y68">
        <v>15000</v>
      </c>
      <c r="Z68">
        <v>16</v>
      </c>
      <c r="AA68">
        <v>1</v>
      </c>
      <c r="AB68">
        <v>1</v>
      </c>
      <c r="AC68">
        <v>1</v>
      </c>
      <c r="AD68">
        <v>0.01</v>
      </c>
      <c r="AE68">
        <v>16</v>
      </c>
      <c r="AF68">
        <v>0</v>
      </c>
      <c r="AG68">
        <v>4.25</v>
      </c>
      <c r="AH68">
        <v>278.7</v>
      </c>
      <c r="AI68" t="s">
        <v>110</v>
      </c>
      <c r="AJ68">
        <v>4.25</v>
      </c>
      <c r="AK68" t="s">
        <v>108</v>
      </c>
    </row>
    <row r="69" spans="1:37" hidden="1" x14ac:dyDescent="0.3">
      <c r="A69">
        <v>4.25</v>
      </c>
      <c r="B69">
        <v>45</v>
      </c>
      <c r="C69">
        <v>1</v>
      </c>
      <c r="D69">
        <v>0.1</v>
      </c>
      <c r="E69" t="s">
        <v>28</v>
      </c>
      <c r="F69">
        <v>0</v>
      </c>
      <c r="I69" s="5"/>
      <c r="J69" s="6"/>
      <c r="K69" s="6"/>
      <c r="L69" s="7"/>
      <c r="M69">
        <v>-0.45761336551121201</v>
      </c>
      <c r="N69">
        <v>-0.10667465019353201</v>
      </c>
      <c r="O69">
        <v>0.46988240368033701</v>
      </c>
      <c r="P69">
        <v>1.028295E-5</v>
      </c>
      <c r="Q69" s="1">
        <v>4.2660129999999997E-5</v>
      </c>
      <c r="R69">
        <v>0.99995299999999998</v>
      </c>
      <c r="W69" s="1">
        <v>0.12898390421313599</v>
      </c>
      <c r="X69" s="1">
        <v>-0.41533373073317797</v>
      </c>
      <c r="Y69">
        <v>9000</v>
      </c>
      <c r="Z69">
        <v>16</v>
      </c>
      <c r="AA69">
        <v>1</v>
      </c>
      <c r="AB69">
        <v>1</v>
      </c>
      <c r="AC69">
        <v>1</v>
      </c>
      <c r="AD69">
        <v>0.01</v>
      </c>
      <c r="AE69">
        <v>16</v>
      </c>
      <c r="AF69">
        <v>0</v>
      </c>
      <c r="AG69">
        <v>4.25</v>
      </c>
      <c r="AH69">
        <v>166.4</v>
      </c>
      <c r="AI69" t="s">
        <v>111</v>
      </c>
      <c r="AJ69">
        <v>4.25</v>
      </c>
      <c r="AK69" t="s">
        <v>108</v>
      </c>
    </row>
    <row r="70" spans="1:37" x14ac:dyDescent="0.3">
      <c r="A70">
        <v>4.5</v>
      </c>
      <c r="B70">
        <v>42</v>
      </c>
      <c r="C70">
        <v>0</v>
      </c>
      <c r="D70">
        <v>0</v>
      </c>
      <c r="E70" t="s">
        <v>14</v>
      </c>
      <c r="G70" s="1">
        <f>J70-S70</f>
        <v>-3.9020279532998969E-2</v>
      </c>
      <c r="H70" s="1">
        <f>K70+T70</f>
        <v>-0.12726458322751899</v>
      </c>
      <c r="I70" s="5">
        <v>4.5</v>
      </c>
      <c r="J70" s="6">
        <v>0.36675359306700001</v>
      </c>
      <c r="K70" s="6">
        <v>-0.233732234412</v>
      </c>
      <c r="L70" s="7">
        <v>0.43490108695099999</v>
      </c>
      <c r="M70">
        <v>0.40577387259999897</v>
      </c>
      <c r="N70">
        <v>-0.106467651184481</v>
      </c>
      <c r="O70">
        <v>0.41950899446083401</v>
      </c>
      <c r="P70">
        <v>6.025861E-9</v>
      </c>
      <c r="Q70" s="1">
        <v>1.8839800000000001E-11</v>
      </c>
      <c r="R70">
        <v>1</v>
      </c>
      <c r="S70">
        <f>ABS(M70)</f>
        <v>0.40577387259999897</v>
      </c>
      <c r="T70">
        <f t="shared" ref="T70" si="67">ABS(N70)</f>
        <v>0.106467651184481</v>
      </c>
      <c r="U70">
        <f t="shared" ref="U70" si="68">ABS(O70)</f>
        <v>0.41950899446083401</v>
      </c>
      <c r="W70" s="1">
        <v>0.36675359306684402</v>
      </c>
      <c r="X70" s="1">
        <v>-0.23373223441229299</v>
      </c>
      <c r="Y70">
        <v>15000</v>
      </c>
      <c r="Z70">
        <v>16</v>
      </c>
      <c r="AA70">
        <v>1</v>
      </c>
      <c r="AB70">
        <v>1</v>
      </c>
      <c r="AC70">
        <v>1</v>
      </c>
      <c r="AD70">
        <v>0.01</v>
      </c>
      <c r="AE70">
        <v>16</v>
      </c>
      <c r="AF70">
        <v>0</v>
      </c>
      <c r="AG70">
        <v>4.5</v>
      </c>
      <c r="AH70">
        <v>281.39999999999998</v>
      </c>
      <c r="AI70" t="s">
        <v>112</v>
      </c>
      <c r="AJ70">
        <v>4.5</v>
      </c>
      <c r="AK70" t="s">
        <v>113</v>
      </c>
    </row>
    <row r="71" spans="1:37" hidden="1" x14ac:dyDescent="0.3">
      <c r="A71">
        <v>4.5</v>
      </c>
      <c r="B71">
        <v>42</v>
      </c>
      <c r="C71">
        <v>1</v>
      </c>
      <c r="D71">
        <v>0.1</v>
      </c>
      <c r="E71" t="s">
        <v>28</v>
      </c>
      <c r="F71">
        <v>0</v>
      </c>
      <c r="I71" s="5"/>
      <c r="J71" s="6"/>
      <c r="K71" s="6"/>
      <c r="L71" s="7"/>
      <c r="M71">
        <v>-0.41005391898306198</v>
      </c>
      <c r="N71">
        <v>-0.13294191386601001</v>
      </c>
      <c r="O71">
        <v>0.43106585220326299</v>
      </c>
      <c r="P71">
        <v>1.22508E-5</v>
      </c>
      <c r="Q71" s="1">
        <v>6.2229049999999993E-5</v>
      </c>
      <c r="R71">
        <v>0.99993399999999999</v>
      </c>
      <c r="W71" s="1">
        <v>0.36675359306684402</v>
      </c>
      <c r="X71" s="1">
        <v>-0.23373223441229299</v>
      </c>
      <c r="Y71">
        <v>9000</v>
      </c>
      <c r="Z71">
        <v>16</v>
      </c>
      <c r="AA71">
        <v>1</v>
      </c>
      <c r="AB71">
        <v>1</v>
      </c>
      <c r="AC71">
        <v>1</v>
      </c>
      <c r="AD71">
        <v>0.01</v>
      </c>
      <c r="AE71">
        <v>16</v>
      </c>
      <c r="AF71">
        <v>0</v>
      </c>
      <c r="AG71">
        <v>4.5</v>
      </c>
      <c r="AH71">
        <v>168.2</v>
      </c>
      <c r="AI71" t="s">
        <v>114</v>
      </c>
      <c r="AJ71">
        <v>4.5</v>
      </c>
      <c r="AK71" t="s">
        <v>113</v>
      </c>
    </row>
    <row r="72" spans="1:37" x14ac:dyDescent="0.3">
      <c r="A72">
        <v>4.5</v>
      </c>
      <c r="B72">
        <v>45</v>
      </c>
      <c r="C72">
        <v>0</v>
      </c>
      <c r="D72">
        <v>0</v>
      </c>
      <c r="E72" t="s">
        <v>14</v>
      </c>
      <c r="G72" s="1">
        <f>J72-S72</f>
        <v>-3.9147594851316969E-2</v>
      </c>
      <c r="H72" s="1">
        <f>K72+T72</f>
        <v>-0.127428145455391</v>
      </c>
      <c r="I72" s="5">
        <v>4.5</v>
      </c>
      <c r="J72" s="6">
        <v>0.36675359306700001</v>
      </c>
      <c r="K72" s="6">
        <v>-0.233732234412</v>
      </c>
      <c r="L72" s="7">
        <v>0.43490108695099999</v>
      </c>
      <c r="M72">
        <v>0.40590118791831697</v>
      </c>
      <c r="N72">
        <v>-0.10630408895660901</v>
      </c>
      <c r="O72">
        <v>0.41959067396975802</v>
      </c>
      <c r="P72">
        <v>4.7819090000000002E-9</v>
      </c>
      <c r="Q72" s="1">
        <v>1.6196740000000002E-11</v>
      </c>
      <c r="R72">
        <v>1</v>
      </c>
      <c r="S72">
        <f>ABS(M72)</f>
        <v>0.40590118791831697</v>
      </c>
      <c r="T72">
        <f t="shared" ref="T72" si="69">ABS(N72)</f>
        <v>0.10630408895660901</v>
      </c>
      <c r="U72">
        <f t="shared" ref="U72" si="70">ABS(O72)</f>
        <v>0.41959067396975802</v>
      </c>
      <c r="W72" s="1">
        <v>0.36675359306684402</v>
      </c>
      <c r="X72" s="1">
        <v>-0.23373223441229299</v>
      </c>
      <c r="Y72">
        <v>15000</v>
      </c>
      <c r="Z72">
        <v>16</v>
      </c>
      <c r="AA72">
        <v>1</v>
      </c>
      <c r="AB72">
        <v>1</v>
      </c>
      <c r="AC72">
        <v>1</v>
      </c>
      <c r="AD72">
        <v>0.01</v>
      </c>
      <c r="AE72">
        <v>16</v>
      </c>
      <c r="AF72">
        <v>0</v>
      </c>
      <c r="AG72">
        <v>4.5</v>
      </c>
      <c r="AH72">
        <v>280.2</v>
      </c>
      <c r="AI72" t="s">
        <v>115</v>
      </c>
      <c r="AJ72">
        <v>4.5</v>
      </c>
      <c r="AK72" t="s">
        <v>113</v>
      </c>
    </row>
    <row r="73" spans="1:37" hidden="1" x14ac:dyDescent="0.3">
      <c r="A73">
        <v>4.5</v>
      </c>
      <c r="B73">
        <v>45</v>
      </c>
      <c r="C73">
        <v>1</v>
      </c>
      <c r="D73">
        <v>0.1</v>
      </c>
      <c r="E73" t="s">
        <v>28</v>
      </c>
      <c r="F73">
        <v>0</v>
      </c>
      <c r="I73" s="5"/>
      <c r="J73" s="6"/>
      <c r="K73" s="6"/>
      <c r="L73" s="7"/>
      <c r="M73">
        <v>-0.38773713322652298</v>
      </c>
      <c r="N73">
        <v>-0.127121445947459</v>
      </c>
      <c r="O73">
        <v>0.40804404970847802</v>
      </c>
      <c r="P73">
        <v>1.0018599999999999E-5</v>
      </c>
      <c r="Q73" s="1">
        <v>5.0764840000000002E-5</v>
      </c>
      <c r="R73">
        <v>0.999942</v>
      </c>
      <c r="W73" s="1">
        <v>0.36675359306684402</v>
      </c>
      <c r="X73" s="1">
        <v>-0.23373223441229299</v>
      </c>
      <c r="Y73">
        <v>9000</v>
      </c>
      <c r="Z73">
        <v>16</v>
      </c>
      <c r="AA73">
        <v>1</v>
      </c>
      <c r="AB73">
        <v>1</v>
      </c>
      <c r="AC73">
        <v>1</v>
      </c>
      <c r="AD73">
        <v>0.01</v>
      </c>
      <c r="AE73">
        <v>16</v>
      </c>
      <c r="AF73">
        <v>0</v>
      </c>
      <c r="AG73">
        <v>4.5</v>
      </c>
      <c r="AH73">
        <v>165.6</v>
      </c>
      <c r="AI73" t="s">
        <v>116</v>
      </c>
      <c r="AJ73">
        <v>4.5</v>
      </c>
      <c r="AK73" t="s">
        <v>113</v>
      </c>
    </row>
    <row r="74" spans="1:37" x14ac:dyDescent="0.3">
      <c r="A74">
        <v>4.75</v>
      </c>
      <c r="B74">
        <v>42</v>
      </c>
      <c r="C74">
        <v>0</v>
      </c>
      <c r="D74">
        <v>0</v>
      </c>
      <c r="E74" t="s">
        <v>14</v>
      </c>
      <c r="G74" s="1">
        <f>J74-S74</f>
        <v>6.6194360445998968E-2</v>
      </c>
      <c r="H74" s="1">
        <f>K74+T74</f>
        <v>0.28402057104708001</v>
      </c>
      <c r="I74" s="5">
        <v>4.75</v>
      </c>
      <c r="J74" s="6">
        <v>0.42825683585699997</v>
      </c>
      <c r="K74" s="6">
        <v>7.5730033488999995E-2</v>
      </c>
      <c r="L74" s="7">
        <v>0.43490108695099999</v>
      </c>
      <c r="M74">
        <v>0.36206247541100101</v>
      </c>
      <c r="N74">
        <v>0.20829053755808</v>
      </c>
      <c r="O74">
        <v>0.41770107030863102</v>
      </c>
      <c r="P74">
        <v>5.1408630000000002E-8</v>
      </c>
      <c r="Q74" s="1">
        <v>1.5465210000000001E-9</v>
      </c>
      <c r="R74">
        <v>1</v>
      </c>
      <c r="S74">
        <f>ABS(M74)</f>
        <v>0.36206247541100101</v>
      </c>
      <c r="T74">
        <f t="shared" ref="T74" si="71">ABS(N74)</f>
        <v>0.20829053755808</v>
      </c>
      <c r="U74">
        <f t="shared" ref="U74" si="72">ABS(O74)</f>
        <v>0.41770107030863102</v>
      </c>
      <c r="W74" s="1">
        <v>0.42825683585732799</v>
      </c>
      <c r="X74" s="1">
        <v>7.5730033489181905E-2</v>
      </c>
      <c r="Y74">
        <v>15000</v>
      </c>
      <c r="Z74">
        <v>16</v>
      </c>
      <c r="AA74">
        <v>1</v>
      </c>
      <c r="AB74">
        <v>1</v>
      </c>
      <c r="AC74">
        <v>1</v>
      </c>
      <c r="AD74">
        <v>0.01</v>
      </c>
      <c r="AE74">
        <v>16</v>
      </c>
      <c r="AF74">
        <v>0</v>
      </c>
      <c r="AG74">
        <v>4.75</v>
      </c>
      <c r="AH74">
        <v>280.60000000000002</v>
      </c>
      <c r="AI74" t="s">
        <v>117</v>
      </c>
      <c r="AJ74">
        <v>4.75</v>
      </c>
      <c r="AK74" t="s">
        <v>118</v>
      </c>
    </row>
    <row r="75" spans="1:37" hidden="1" x14ac:dyDescent="0.3">
      <c r="A75">
        <v>4.75</v>
      </c>
      <c r="B75">
        <v>42</v>
      </c>
      <c r="C75">
        <v>1</v>
      </c>
      <c r="D75">
        <v>0.1</v>
      </c>
      <c r="E75" t="s">
        <v>28</v>
      </c>
      <c r="F75">
        <v>0</v>
      </c>
      <c r="I75" s="5"/>
      <c r="J75" s="6"/>
      <c r="K75" s="6"/>
      <c r="L75" s="7"/>
      <c r="M75">
        <v>-0.39901995563418202</v>
      </c>
      <c r="N75">
        <v>-0.17563498331851901</v>
      </c>
      <c r="O75">
        <v>0.43596395763824503</v>
      </c>
      <c r="P75">
        <v>1.007762E-5</v>
      </c>
      <c r="Q75" s="1">
        <v>4.6564899999999999E-5</v>
      </c>
      <c r="R75">
        <v>0.99994899999999998</v>
      </c>
      <c r="W75" s="1">
        <v>0.42825683585732799</v>
      </c>
      <c r="X75" s="1">
        <v>7.5730033489181905E-2</v>
      </c>
      <c r="Y75">
        <v>9000</v>
      </c>
      <c r="Z75">
        <v>16</v>
      </c>
      <c r="AA75">
        <v>1</v>
      </c>
      <c r="AB75">
        <v>1</v>
      </c>
      <c r="AC75">
        <v>1</v>
      </c>
      <c r="AD75">
        <v>0.01</v>
      </c>
      <c r="AE75">
        <v>16</v>
      </c>
      <c r="AF75">
        <v>0</v>
      </c>
      <c r="AG75">
        <v>4.75</v>
      </c>
      <c r="AH75">
        <v>165.1</v>
      </c>
      <c r="AI75" t="s">
        <v>119</v>
      </c>
      <c r="AJ75">
        <v>4.75</v>
      </c>
      <c r="AK75" t="s">
        <v>118</v>
      </c>
    </row>
    <row r="76" spans="1:37" x14ac:dyDescent="0.3">
      <c r="A76">
        <v>4.75</v>
      </c>
      <c r="B76">
        <v>45</v>
      </c>
      <c r="C76">
        <v>0</v>
      </c>
      <c r="D76">
        <v>0</v>
      </c>
      <c r="E76" t="s">
        <v>14</v>
      </c>
      <c r="G76" s="1">
        <f>J76-S76</f>
        <v>6.6846011436052954E-2</v>
      </c>
      <c r="H76" s="1">
        <f>K76+T76</f>
        <v>0.28397781406296801</v>
      </c>
      <c r="I76" s="5">
        <v>4.75</v>
      </c>
      <c r="J76" s="6">
        <v>0.42825683585699997</v>
      </c>
      <c r="K76" s="6">
        <v>7.5730033488999995E-2</v>
      </c>
      <c r="L76" s="7">
        <v>0.43490108695099999</v>
      </c>
      <c r="M76">
        <v>0.36141082442094702</v>
      </c>
      <c r="N76">
        <v>0.20824778057396801</v>
      </c>
      <c r="O76">
        <v>0.417114998678556</v>
      </c>
      <c r="P76">
        <v>6.2439879999999997E-8</v>
      </c>
      <c r="Q76" s="1">
        <v>1.776646E-9</v>
      </c>
      <c r="R76">
        <v>1</v>
      </c>
      <c r="S76">
        <f>ABS(M76)</f>
        <v>0.36141082442094702</v>
      </c>
      <c r="T76">
        <f t="shared" ref="T76" si="73">ABS(N76)</f>
        <v>0.20824778057396801</v>
      </c>
      <c r="U76">
        <f t="shared" ref="U76" si="74">ABS(O76)</f>
        <v>0.417114998678556</v>
      </c>
      <c r="W76" s="1">
        <v>0.42825683585732799</v>
      </c>
      <c r="X76" s="1">
        <v>7.5730033489181905E-2</v>
      </c>
      <c r="Y76">
        <v>15000</v>
      </c>
      <c r="Z76">
        <v>16</v>
      </c>
      <c r="AA76">
        <v>1</v>
      </c>
      <c r="AB76">
        <v>1</v>
      </c>
      <c r="AC76">
        <v>1</v>
      </c>
      <c r="AD76">
        <v>0.01</v>
      </c>
      <c r="AE76">
        <v>16</v>
      </c>
      <c r="AF76">
        <v>0</v>
      </c>
      <c r="AG76">
        <v>4.75</v>
      </c>
      <c r="AH76">
        <v>281.10000000000002</v>
      </c>
      <c r="AI76" t="s">
        <v>120</v>
      </c>
      <c r="AJ76">
        <v>4.75</v>
      </c>
      <c r="AK76" t="s">
        <v>118</v>
      </c>
    </row>
    <row r="77" spans="1:37" hidden="1" x14ac:dyDescent="0.3">
      <c r="A77">
        <v>4.75</v>
      </c>
      <c r="B77">
        <v>45</v>
      </c>
      <c r="C77">
        <v>1</v>
      </c>
      <c r="D77">
        <v>0.1</v>
      </c>
      <c r="E77" t="s">
        <v>28</v>
      </c>
      <c r="F77">
        <v>0</v>
      </c>
      <c r="I77" s="5"/>
      <c r="J77" s="6"/>
      <c r="K77" s="6"/>
      <c r="L77" s="7"/>
      <c r="M77">
        <v>-0.45140746138656301</v>
      </c>
      <c r="N77">
        <v>-0.12973942544061301</v>
      </c>
      <c r="O77">
        <v>0.46968182284299897</v>
      </c>
      <c r="P77">
        <v>1.125283E-5</v>
      </c>
      <c r="Q77" s="1">
        <v>4.8332289999999997E-5</v>
      </c>
      <c r="R77">
        <v>0.99994899999999998</v>
      </c>
      <c r="W77" s="1">
        <v>0.42825683585732799</v>
      </c>
      <c r="X77" s="1">
        <v>7.5730033489181905E-2</v>
      </c>
      <c r="Y77">
        <v>9000</v>
      </c>
      <c r="Z77">
        <v>16</v>
      </c>
      <c r="AA77">
        <v>1</v>
      </c>
      <c r="AB77">
        <v>1</v>
      </c>
      <c r="AC77">
        <v>1</v>
      </c>
      <c r="AD77">
        <v>0.01</v>
      </c>
      <c r="AE77">
        <v>16</v>
      </c>
      <c r="AF77">
        <v>0</v>
      </c>
      <c r="AG77">
        <v>4.75</v>
      </c>
      <c r="AH77">
        <v>168.3</v>
      </c>
      <c r="AI77" t="s">
        <v>121</v>
      </c>
      <c r="AJ77">
        <v>4.75</v>
      </c>
      <c r="AK77" t="s">
        <v>118</v>
      </c>
    </row>
    <row r="78" spans="1:37" x14ac:dyDescent="0.3">
      <c r="A78">
        <v>5</v>
      </c>
      <c r="B78">
        <v>42</v>
      </c>
      <c r="C78">
        <v>0</v>
      </c>
      <c r="D78">
        <v>0</v>
      </c>
      <c r="E78" t="s">
        <v>14</v>
      </c>
      <c r="G78" s="1">
        <f>J78-S78</f>
        <v>0.15585726085358528</v>
      </c>
      <c r="H78" s="1">
        <f>K78+T78</f>
        <v>0.76042447975930905</v>
      </c>
      <c r="I78" s="5">
        <v>5</v>
      </c>
      <c r="J78" s="6">
        <v>0.25028795366599998</v>
      </c>
      <c r="K78" s="6">
        <v>0.35566120913100002</v>
      </c>
      <c r="L78" s="7">
        <v>0.43490108695099999</v>
      </c>
      <c r="M78">
        <v>9.4430692812414702E-2</v>
      </c>
      <c r="N78">
        <v>0.40476327062830902</v>
      </c>
      <c r="O78">
        <v>0.41563260338279301</v>
      </c>
      <c r="P78">
        <v>4.0275640000000001E-8</v>
      </c>
      <c r="Q78" s="1">
        <v>8.1064750000000002E-10</v>
      </c>
      <c r="R78">
        <v>1</v>
      </c>
      <c r="S78">
        <f>ABS(M78)</f>
        <v>9.4430692812414702E-2</v>
      </c>
      <c r="T78">
        <f t="shared" ref="T78" si="75">ABS(N78)</f>
        <v>0.40476327062830902</v>
      </c>
      <c r="U78">
        <f t="shared" ref="U78" si="76">ABS(O78)</f>
        <v>0.41563260338279301</v>
      </c>
      <c r="W78" s="1">
        <v>0.25028795366583501</v>
      </c>
      <c r="X78" s="1">
        <v>0.35566120913106603</v>
      </c>
      <c r="Y78">
        <v>15000</v>
      </c>
      <c r="Z78">
        <v>16</v>
      </c>
      <c r="AA78">
        <v>1</v>
      </c>
      <c r="AB78">
        <v>1</v>
      </c>
      <c r="AC78">
        <v>1</v>
      </c>
      <c r="AD78">
        <v>0.01</v>
      </c>
      <c r="AE78">
        <v>16</v>
      </c>
      <c r="AF78">
        <v>0</v>
      </c>
      <c r="AG78">
        <v>5</v>
      </c>
      <c r="AH78">
        <v>280.2</v>
      </c>
      <c r="AI78" t="s">
        <v>122</v>
      </c>
      <c r="AJ78">
        <v>5</v>
      </c>
      <c r="AK78" t="s">
        <v>123</v>
      </c>
    </row>
    <row r="79" spans="1:37" hidden="1" x14ac:dyDescent="0.3">
      <c r="A79">
        <v>5</v>
      </c>
      <c r="B79">
        <v>42</v>
      </c>
      <c r="C79">
        <v>1</v>
      </c>
      <c r="D79">
        <v>0.1</v>
      </c>
      <c r="E79" t="s">
        <v>28</v>
      </c>
      <c r="F79">
        <v>0</v>
      </c>
      <c r="I79" s="5"/>
      <c r="J79" s="6"/>
      <c r="K79" s="6"/>
      <c r="L79" s="7"/>
      <c r="M79">
        <v>2.8048606616165599E-3</v>
      </c>
      <c r="N79">
        <v>2.7858709828262199E-3</v>
      </c>
      <c r="O79">
        <v>3.9532670620686904E-3</v>
      </c>
      <c r="P79">
        <v>1.6844099999999999E-7</v>
      </c>
      <c r="Q79" s="1">
        <v>1.279036E-4</v>
      </c>
      <c r="R79">
        <v>0.99986299999999995</v>
      </c>
      <c r="W79" s="1">
        <v>0.25028795366583501</v>
      </c>
      <c r="X79" s="1">
        <v>0.35566120913106603</v>
      </c>
      <c r="Y79">
        <v>9000</v>
      </c>
      <c r="Z79">
        <v>16</v>
      </c>
      <c r="AA79">
        <v>1</v>
      </c>
      <c r="AB79">
        <v>1</v>
      </c>
      <c r="AC79">
        <v>1</v>
      </c>
      <c r="AD79">
        <v>0.01</v>
      </c>
      <c r="AE79">
        <v>16</v>
      </c>
      <c r="AF79">
        <v>0</v>
      </c>
      <c r="AG79">
        <v>5</v>
      </c>
      <c r="AH79">
        <v>168.1</v>
      </c>
      <c r="AI79" t="s">
        <v>124</v>
      </c>
      <c r="AJ79">
        <v>5</v>
      </c>
      <c r="AK79" t="s">
        <v>123</v>
      </c>
    </row>
    <row r="80" spans="1:37" x14ac:dyDescent="0.3">
      <c r="A80">
        <v>5</v>
      </c>
      <c r="B80">
        <v>45</v>
      </c>
      <c r="C80">
        <v>0</v>
      </c>
      <c r="D80">
        <v>0</v>
      </c>
      <c r="E80" t="s">
        <v>14</v>
      </c>
      <c r="G80" s="1">
        <f>J80-S80</f>
        <v>0.15568057028654037</v>
      </c>
      <c r="H80" s="1">
        <f>K80+T80</f>
        <v>0.76059028494833403</v>
      </c>
      <c r="I80" s="5">
        <v>5</v>
      </c>
      <c r="J80" s="6">
        <v>0.25028795366599998</v>
      </c>
      <c r="K80" s="6">
        <v>0.35566120913100002</v>
      </c>
      <c r="L80" s="7">
        <v>0.43490108695099999</v>
      </c>
      <c r="M80">
        <v>-9.4607383379459606E-2</v>
      </c>
      <c r="N80">
        <v>-0.40492907581733401</v>
      </c>
      <c r="O80">
        <v>0.415834237926831</v>
      </c>
      <c r="P80">
        <v>6.2760460000000002E-8</v>
      </c>
      <c r="Q80" s="1">
        <v>2.2562480000000001E-9</v>
      </c>
      <c r="R80">
        <v>1</v>
      </c>
      <c r="S80">
        <f>ABS(M80)</f>
        <v>9.4607383379459606E-2</v>
      </c>
      <c r="T80">
        <f t="shared" ref="T80" si="77">ABS(N80)</f>
        <v>0.40492907581733401</v>
      </c>
      <c r="U80">
        <f t="shared" ref="U80" si="78">ABS(O80)</f>
        <v>0.415834237926831</v>
      </c>
      <c r="W80" s="1">
        <v>0.25028795366583501</v>
      </c>
      <c r="X80" s="1">
        <v>0.35566120913106603</v>
      </c>
      <c r="Y80">
        <v>15000</v>
      </c>
      <c r="Z80">
        <v>16</v>
      </c>
      <c r="AA80">
        <v>1</v>
      </c>
      <c r="AB80">
        <v>1</v>
      </c>
      <c r="AC80">
        <v>1</v>
      </c>
      <c r="AD80">
        <v>0.01</v>
      </c>
      <c r="AE80">
        <v>16</v>
      </c>
      <c r="AF80">
        <v>0</v>
      </c>
      <c r="AG80">
        <v>5</v>
      </c>
      <c r="AH80">
        <v>281</v>
      </c>
      <c r="AI80" t="s">
        <v>125</v>
      </c>
      <c r="AJ80">
        <v>5</v>
      </c>
      <c r="AK80" t="s">
        <v>123</v>
      </c>
    </row>
    <row r="81" spans="1:37" hidden="1" x14ac:dyDescent="0.3">
      <c r="A81">
        <v>5</v>
      </c>
      <c r="B81">
        <v>45</v>
      </c>
      <c r="C81">
        <v>1</v>
      </c>
      <c r="D81">
        <v>0.1</v>
      </c>
      <c r="E81" t="s">
        <v>28</v>
      </c>
      <c r="F81">
        <v>0</v>
      </c>
      <c r="I81" s="5"/>
      <c r="J81" s="6"/>
      <c r="K81" s="6"/>
      <c r="L81" s="7"/>
      <c r="M81">
        <v>-3.4684437675676001E-3</v>
      </c>
      <c r="N81">
        <v>7.6569794446488398E-4</v>
      </c>
      <c r="O81">
        <v>3.55195657503527E-3</v>
      </c>
      <c r="P81">
        <v>1.9765630000000001E-7</v>
      </c>
      <c r="Q81" s="1">
        <v>2.9059449999999998E-4</v>
      </c>
      <c r="R81">
        <v>0.99974099999999999</v>
      </c>
      <c r="W81" s="1">
        <v>0.25028795366583501</v>
      </c>
      <c r="X81" s="1">
        <v>0.35566120913106603</v>
      </c>
      <c r="Y81">
        <v>9000</v>
      </c>
      <c r="Z81">
        <v>16</v>
      </c>
      <c r="AA81">
        <v>1</v>
      </c>
      <c r="AB81">
        <v>1</v>
      </c>
      <c r="AC81">
        <v>1</v>
      </c>
      <c r="AD81">
        <v>0.01</v>
      </c>
      <c r="AE81">
        <v>16</v>
      </c>
      <c r="AF81">
        <v>0</v>
      </c>
      <c r="AG81">
        <v>5</v>
      </c>
      <c r="AH81">
        <v>168.6</v>
      </c>
      <c r="AI81" t="s">
        <v>126</v>
      </c>
      <c r="AJ81">
        <v>5</v>
      </c>
      <c r="AK81" t="s">
        <v>123</v>
      </c>
    </row>
    <row r="82" spans="1:37" x14ac:dyDescent="0.3">
      <c r="A82">
        <v>5.25</v>
      </c>
      <c r="B82">
        <v>42</v>
      </c>
      <c r="C82">
        <v>0</v>
      </c>
      <c r="D82">
        <v>0</v>
      </c>
      <c r="E82" t="s">
        <v>14</v>
      </c>
      <c r="G82" s="1">
        <f>J82-S82</f>
        <v>-0.33568502959155</v>
      </c>
      <c r="H82" s="1">
        <f>K82+T82</f>
        <v>0.75938981968360797</v>
      </c>
      <c r="I82" s="5">
        <v>5.25</v>
      </c>
      <c r="J82" s="6">
        <v>-9.0429339267999995E-2</v>
      </c>
      <c r="K82" s="6">
        <v>0.42539568642699999</v>
      </c>
      <c r="L82" s="7">
        <v>0.43490108695099999</v>
      </c>
      <c r="M82">
        <v>0.24525569032354999</v>
      </c>
      <c r="N82">
        <v>-0.33399413325660798</v>
      </c>
      <c r="O82">
        <v>0.41436992492930103</v>
      </c>
      <c r="P82">
        <v>4.399974E-8</v>
      </c>
      <c r="Q82" s="1">
        <v>1.284104E-9</v>
      </c>
      <c r="R82">
        <v>1</v>
      </c>
      <c r="S82">
        <f>ABS(M82)</f>
        <v>0.24525569032354999</v>
      </c>
      <c r="T82">
        <f t="shared" ref="T82" si="79">ABS(N82)</f>
        <v>0.33399413325660798</v>
      </c>
      <c r="U82">
        <f t="shared" ref="U82" si="80">ABS(O82)</f>
        <v>0.41436992492930103</v>
      </c>
      <c r="W82" s="1">
        <v>-9.0429339268449205E-2</v>
      </c>
      <c r="X82" s="1">
        <v>0.425395686426502</v>
      </c>
      <c r="Y82">
        <v>15000</v>
      </c>
      <c r="Z82">
        <v>16</v>
      </c>
      <c r="AA82">
        <v>1</v>
      </c>
      <c r="AB82">
        <v>1</v>
      </c>
      <c r="AC82">
        <v>1</v>
      </c>
      <c r="AD82">
        <v>0.01</v>
      </c>
      <c r="AE82">
        <v>16</v>
      </c>
      <c r="AF82">
        <v>0</v>
      </c>
      <c r="AG82">
        <v>5.25</v>
      </c>
      <c r="AH82">
        <v>277.3</v>
      </c>
      <c r="AI82" t="s">
        <v>127</v>
      </c>
      <c r="AJ82">
        <v>5.25</v>
      </c>
      <c r="AK82" t="s">
        <v>128</v>
      </c>
    </row>
    <row r="83" spans="1:37" hidden="1" x14ac:dyDescent="0.3">
      <c r="A83">
        <v>5.25</v>
      </c>
      <c r="B83">
        <v>42</v>
      </c>
      <c r="C83">
        <v>1</v>
      </c>
      <c r="D83">
        <v>0.1</v>
      </c>
      <c r="E83" t="s">
        <v>28</v>
      </c>
      <c r="F83">
        <v>0</v>
      </c>
      <c r="I83" s="5"/>
      <c r="J83" s="6"/>
      <c r="K83" s="6"/>
      <c r="L83" s="7"/>
      <c r="M83">
        <v>0.105586556154359</v>
      </c>
      <c r="N83">
        <v>-6.7904752161116494E-2</v>
      </c>
      <c r="O83">
        <v>0.12553715070289001</v>
      </c>
      <c r="P83">
        <v>6.2587220000000001E-6</v>
      </c>
      <c r="Q83" s="1">
        <v>1.914129E-4</v>
      </c>
      <c r="R83">
        <v>0.999807</v>
      </c>
      <c r="W83" s="1">
        <v>-9.0429339268449205E-2</v>
      </c>
      <c r="X83" s="1">
        <v>0.425395686426502</v>
      </c>
      <c r="Y83">
        <v>9000</v>
      </c>
      <c r="Z83">
        <v>16</v>
      </c>
      <c r="AA83">
        <v>1</v>
      </c>
      <c r="AB83">
        <v>1</v>
      </c>
      <c r="AC83">
        <v>1</v>
      </c>
      <c r="AD83">
        <v>0.01</v>
      </c>
      <c r="AE83">
        <v>16</v>
      </c>
      <c r="AF83">
        <v>0</v>
      </c>
      <c r="AG83">
        <v>5.25</v>
      </c>
      <c r="AH83">
        <v>166.8</v>
      </c>
      <c r="AI83" t="s">
        <v>129</v>
      </c>
      <c r="AJ83">
        <v>5.25</v>
      </c>
      <c r="AK83" t="s">
        <v>128</v>
      </c>
    </row>
    <row r="84" spans="1:37" x14ac:dyDescent="0.3">
      <c r="A84">
        <v>5.25</v>
      </c>
      <c r="B84">
        <v>45</v>
      </c>
      <c r="C84">
        <v>0</v>
      </c>
      <c r="D84">
        <v>0</v>
      </c>
      <c r="E84" t="s">
        <v>14</v>
      </c>
      <c r="G84" s="1">
        <f>J84-S84</f>
        <v>-0.33505550661169198</v>
      </c>
      <c r="H84" s="1">
        <f>K84+T84</f>
        <v>0.7591186726369139</v>
      </c>
      <c r="I84" s="5">
        <v>5.25</v>
      </c>
      <c r="J84" s="6">
        <v>-9.0429339267999995E-2</v>
      </c>
      <c r="K84" s="6">
        <v>0.42539568642699999</v>
      </c>
      <c r="L84" s="7">
        <v>0.43490108695099999</v>
      </c>
      <c r="M84">
        <v>-0.244626167343692</v>
      </c>
      <c r="N84">
        <v>0.33372298620991397</v>
      </c>
      <c r="O84">
        <v>0.41377891835390401</v>
      </c>
      <c r="P84">
        <v>8.5102890000000002E-8</v>
      </c>
      <c r="Q84" s="1">
        <v>4.3129140000000002E-9</v>
      </c>
      <c r="R84">
        <v>1</v>
      </c>
      <c r="S84">
        <f>ABS(M84)</f>
        <v>0.244626167343692</v>
      </c>
      <c r="T84">
        <f t="shared" ref="T84" si="81">ABS(N84)</f>
        <v>0.33372298620991397</v>
      </c>
      <c r="U84">
        <f t="shared" ref="U84" si="82">ABS(O84)</f>
        <v>0.41377891835390401</v>
      </c>
      <c r="W84" s="1">
        <v>-9.0429339268449205E-2</v>
      </c>
      <c r="X84" s="1">
        <v>0.425395686426502</v>
      </c>
      <c r="Y84">
        <v>15000</v>
      </c>
      <c r="Z84">
        <v>16</v>
      </c>
      <c r="AA84">
        <v>1</v>
      </c>
      <c r="AB84">
        <v>1</v>
      </c>
      <c r="AC84">
        <v>1</v>
      </c>
      <c r="AD84">
        <v>0.01</v>
      </c>
      <c r="AE84">
        <v>16</v>
      </c>
      <c r="AF84">
        <v>0</v>
      </c>
      <c r="AG84">
        <v>5.25</v>
      </c>
      <c r="AH84">
        <v>280.60000000000002</v>
      </c>
      <c r="AI84" t="s">
        <v>130</v>
      </c>
      <c r="AJ84">
        <v>5.25</v>
      </c>
      <c r="AK84" t="s">
        <v>128</v>
      </c>
    </row>
    <row r="85" spans="1:37" hidden="1" x14ac:dyDescent="0.3">
      <c r="A85">
        <v>5.25</v>
      </c>
      <c r="B85">
        <v>45</v>
      </c>
      <c r="C85">
        <v>1</v>
      </c>
      <c r="D85">
        <v>0.1</v>
      </c>
      <c r="E85" t="s">
        <v>28</v>
      </c>
      <c r="F85">
        <v>0</v>
      </c>
      <c r="I85" s="5"/>
      <c r="J85" s="6"/>
      <c r="K85" s="6"/>
      <c r="L85" s="7"/>
      <c r="M85">
        <v>4.3209629606841302</v>
      </c>
      <c r="N85">
        <v>3.3124088177659101</v>
      </c>
      <c r="O85">
        <v>5.4445177090002703</v>
      </c>
      <c r="P85">
        <v>3.2193759999999999E-4</v>
      </c>
      <c r="Q85" s="1">
        <v>2.164488E-4</v>
      </c>
      <c r="R85">
        <v>0.99976100000000001</v>
      </c>
      <c r="W85" s="1">
        <v>-9.0429339268449205E-2</v>
      </c>
      <c r="X85" s="1">
        <v>0.425395686426502</v>
      </c>
      <c r="Y85">
        <v>9000</v>
      </c>
      <c r="Z85">
        <v>16</v>
      </c>
      <c r="AA85">
        <v>1</v>
      </c>
      <c r="AB85">
        <v>1</v>
      </c>
      <c r="AC85">
        <v>1</v>
      </c>
      <c r="AD85">
        <v>0.01</v>
      </c>
      <c r="AE85">
        <v>16</v>
      </c>
      <c r="AF85">
        <v>0</v>
      </c>
      <c r="AG85">
        <v>5.25</v>
      </c>
      <c r="AH85">
        <v>168.3</v>
      </c>
      <c r="AI85" t="s">
        <v>131</v>
      </c>
      <c r="AJ85">
        <v>5.25</v>
      </c>
      <c r="AK85" t="s">
        <v>128</v>
      </c>
    </row>
    <row r="86" spans="1:37" x14ac:dyDescent="0.3">
      <c r="A86">
        <v>5.5</v>
      </c>
      <c r="B86">
        <v>42</v>
      </c>
      <c r="C86">
        <v>0</v>
      </c>
      <c r="D86">
        <v>0</v>
      </c>
      <c r="E86" t="s">
        <v>14</v>
      </c>
      <c r="G86" s="1">
        <f>J86-S86</f>
        <v>-0.79376346911499507</v>
      </c>
      <c r="H86" s="1">
        <f>K86+T86</f>
        <v>0.22175024432057841</v>
      </c>
      <c r="I86" s="5">
        <v>5.5</v>
      </c>
      <c r="J86" s="6">
        <v>-0.38196867215300001</v>
      </c>
      <c r="K86" s="6">
        <v>0.207939628076</v>
      </c>
      <c r="L86" s="7">
        <v>0.43490108695099999</v>
      </c>
      <c r="M86">
        <v>-0.411794796961995</v>
      </c>
      <c r="N86">
        <v>1.38106162445784E-2</v>
      </c>
      <c r="O86">
        <v>0.41202631945790302</v>
      </c>
      <c r="P86">
        <v>3.9793570000000001E-8</v>
      </c>
      <c r="Q86" s="1">
        <v>1.440772E-9</v>
      </c>
      <c r="R86">
        <v>1</v>
      </c>
      <c r="S86">
        <f>ABS(M86)</f>
        <v>0.411794796961995</v>
      </c>
      <c r="T86">
        <f t="shared" ref="T86" si="83">ABS(N86)</f>
        <v>1.38106162445784E-2</v>
      </c>
      <c r="U86">
        <f t="shared" ref="U86" si="84">ABS(O86)</f>
        <v>0.41202631945790302</v>
      </c>
      <c r="W86" s="1">
        <v>-0.38196867215320102</v>
      </c>
      <c r="X86" s="1">
        <v>0.20793962807585201</v>
      </c>
      <c r="Y86">
        <v>15000</v>
      </c>
      <c r="Z86">
        <v>16</v>
      </c>
      <c r="AA86">
        <v>1</v>
      </c>
      <c r="AB86">
        <v>1</v>
      </c>
      <c r="AC86">
        <v>1</v>
      </c>
      <c r="AD86">
        <v>0.01</v>
      </c>
      <c r="AE86">
        <v>16</v>
      </c>
      <c r="AF86">
        <v>0</v>
      </c>
      <c r="AG86">
        <v>5.5</v>
      </c>
      <c r="AH86">
        <v>277.3</v>
      </c>
      <c r="AI86" t="s">
        <v>132</v>
      </c>
      <c r="AJ86">
        <v>5.5</v>
      </c>
      <c r="AK86" t="s">
        <v>133</v>
      </c>
    </row>
    <row r="87" spans="1:37" hidden="1" x14ac:dyDescent="0.3">
      <c r="A87">
        <v>5.5</v>
      </c>
      <c r="B87">
        <v>42</v>
      </c>
      <c r="C87">
        <v>1</v>
      </c>
      <c r="D87">
        <v>0.1</v>
      </c>
      <c r="E87" t="s">
        <v>28</v>
      </c>
      <c r="F87">
        <v>0</v>
      </c>
      <c r="I87" s="5"/>
      <c r="J87" s="6"/>
      <c r="K87" s="6"/>
      <c r="L87" s="7"/>
      <c r="M87">
        <v>-1.30360661456456E-3</v>
      </c>
      <c r="N87">
        <v>1.18303492522589E-3</v>
      </c>
      <c r="O87">
        <v>1.76038684380471E-3</v>
      </c>
      <c r="P87">
        <v>7.5320230000000003E-8</v>
      </c>
      <c r="Q87" s="1">
        <v>1.4543170000000001E-4</v>
      </c>
      <c r="R87">
        <v>0.99970800000000004</v>
      </c>
      <c r="W87" s="1">
        <v>-0.38196867215320102</v>
      </c>
      <c r="X87" s="1">
        <v>0.20793962807585201</v>
      </c>
      <c r="Y87">
        <v>9000</v>
      </c>
      <c r="Z87">
        <v>16</v>
      </c>
      <c r="AA87">
        <v>1</v>
      </c>
      <c r="AB87">
        <v>1</v>
      </c>
      <c r="AC87">
        <v>1</v>
      </c>
      <c r="AD87">
        <v>0.01</v>
      </c>
      <c r="AE87">
        <v>16</v>
      </c>
      <c r="AF87">
        <v>0</v>
      </c>
      <c r="AG87">
        <v>5.5</v>
      </c>
      <c r="AH87">
        <v>166.7</v>
      </c>
      <c r="AI87" t="s">
        <v>134</v>
      </c>
      <c r="AJ87">
        <v>5.5</v>
      </c>
      <c r="AK87" t="s">
        <v>133</v>
      </c>
    </row>
    <row r="88" spans="1:37" x14ac:dyDescent="0.3">
      <c r="A88">
        <v>5.5</v>
      </c>
      <c r="B88">
        <v>45</v>
      </c>
      <c r="C88">
        <v>0</v>
      </c>
      <c r="D88">
        <v>0</v>
      </c>
      <c r="E88" t="s">
        <v>14</v>
      </c>
      <c r="G88" s="1">
        <f>J88-S88</f>
        <v>-0.794093447679317</v>
      </c>
      <c r="H88" s="1">
        <f>K88+T88</f>
        <v>0.22162785564479889</v>
      </c>
      <c r="I88" s="5">
        <v>5.5</v>
      </c>
      <c r="J88" s="6">
        <v>-0.38196867215300001</v>
      </c>
      <c r="K88" s="6">
        <v>0.207939628076</v>
      </c>
      <c r="L88" s="7">
        <v>0.43490108695099999</v>
      </c>
      <c r="M88">
        <v>0.41212477552631699</v>
      </c>
      <c r="N88">
        <v>-1.3688227568798899E-2</v>
      </c>
      <c r="O88">
        <v>0.41235203185699498</v>
      </c>
      <c r="P88">
        <v>1.155011E-8</v>
      </c>
      <c r="Q88" s="1">
        <v>6.5617799999999999E-11</v>
      </c>
      <c r="R88">
        <v>1</v>
      </c>
      <c r="S88">
        <f>ABS(M88)</f>
        <v>0.41212477552631699</v>
      </c>
      <c r="T88">
        <f t="shared" ref="T88" si="85">ABS(N88)</f>
        <v>1.3688227568798899E-2</v>
      </c>
      <c r="U88">
        <f t="shared" ref="U88" si="86">ABS(O88)</f>
        <v>0.41235203185699498</v>
      </c>
      <c r="W88" s="1">
        <v>-0.38196867215320102</v>
      </c>
      <c r="X88" s="1">
        <v>0.20793962807585201</v>
      </c>
      <c r="Y88">
        <v>15000</v>
      </c>
      <c r="Z88">
        <v>16</v>
      </c>
      <c r="AA88">
        <v>1</v>
      </c>
      <c r="AB88">
        <v>1</v>
      </c>
      <c r="AC88">
        <v>1</v>
      </c>
      <c r="AD88">
        <v>0.01</v>
      </c>
      <c r="AE88">
        <v>16</v>
      </c>
      <c r="AF88">
        <v>0</v>
      </c>
      <c r="AG88">
        <v>5.5</v>
      </c>
      <c r="AH88">
        <v>280.7</v>
      </c>
      <c r="AI88" t="s">
        <v>135</v>
      </c>
      <c r="AJ88">
        <v>5.5</v>
      </c>
      <c r="AK88" t="s">
        <v>133</v>
      </c>
    </row>
    <row r="89" spans="1:37" hidden="1" x14ac:dyDescent="0.3">
      <c r="A89">
        <v>5.5</v>
      </c>
      <c r="B89">
        <v>45</v>
      </c>
      <c r="C89">
        <v>1</v>
      </c>
      <c r="D89">
        <v>0.1</v>
      </c>
      <c r="E89" t="s">
        <v>28</v>
      </c>
      <c r="F89">
        <v>0</v>
      </c>
      <c r="I89" s="5"/>
      <c r="J89" s="6"/>
      <c r="K89" s="6"/>
      <c r="L89" s="7"/>
      <c r="M89">
        <v>-0.30218037964565397</v>
      </c>
      <c r="N89">
        <v>0.1208858632379</v>
      </c>
      <c r="O89">
        <v>0.32546332170240599</v>
      </c>
      <c r="P89">
        <v>2.0336709999999999E-5</v>
      </c>
      <c r="Q89" s="1">
        <v>4.068225E-4</v>
      </c>
      <c r="R89">
        <v>0.99948199999999998</v>
      </c>
      <c r="W89" s="1">
        <v>-0.38196867215320102</v>
      </c>
      <c r="X89" s="1">
        <v>0.20793962807585201</v>
      </c>
      <c r="Y89">
        <v>9000</v>
      </c>
      <c r="Z89">
        <v>16</v>
      </c>
      <c r="AA89">
        <v>1</v>
      </c>
      <c r="AB89">
        <v>1</v>
      </c>
      <c r="AC89">
        <v>1</v>
      </c>
      <c r="AD89">
        <v>0.01</v>
      </c>
      <c r="AE89">
        <v>16</v>
      </c>
      <c r="AF89">
        <v>0</v>
      </c>
      <c r="AG89">
        <v>5.5</v>
      </c>
      <c r="AH89">
        <v>165.4</v>
      </c>
      <c r="AI89" t="s">
        <v>136</v>
      </c>
      <c r="AJ89">
        <v>5.5</v>
      </c>
      <c r="AK89" t="s">
        <v>133</v>
      </c>
    </row>
    <row r="90" spans="1:37" x14ac:dyDescent="0.3">
      <c r="A90">
        <v>5.75</v>
      </c>
      <c r="B90">
        <v>42</v>
      </c>
      <c r="C90">
        <v>0</v>
      </c>
      <c r="D90">
        <v>0</v>
      </c>
      <c r="E90" t="s">
        <v>14</v>
      </c>
      <c r="G90" s="1">
        <f>J90-S90</f>
        <v>-0.65016902013510702</v>
      </c>
      <c r="H90" s="1">
        <f>K90+T90</f>
        <v>0.15360040429547903</v>
      </c>
      <c r="I90" s="5">
        <v>5.75</v>
      </c>
      <c r="J90" s="6">
        <v>-0.39981839192000002</v>
      </c>
      <c r="K90" s="6">
        <v>-0.171126295214</v>
      </c>
      <c r="L90" s="7">
        <v>0.43490108695099999</v>
      </c>
      <c r="M90">
        <v>-0.25035062821510701</v>
      </c>
      <c r="N90">
        <v>-0.32472669950947902</v>
      </c>
      <c r="O90">
        <v>0.410027884932255</v>
      </c>
      <c r="P90">
        <v>1.442221E-7</v>
      </c>
      <c r="Q90" s="1">
        <v>8.8721549999999997E-9</v>
      </c>
      <c r="R90">
        <v>1</v>
      </c>
      <c r="S90">
        <f>ABS(M90)</f>
        <v>0.25035062821510701</v>
      </c>
      <c r="T90">
        <f t="shared" ref="T90" si="87">ABS(N90)</f>
        <v>0.32472669950947902</v>
      </c>
      <c r="U90">
        <f t="shared" ref="U90" si="88">ABS(O90)</f>
        <v>0.410027884932255</v>
      </c>
      <c r="W90" s="1">
        <v>-0.399818391919529</v>
      </c>
      <c r="X90" s="1">
        <v>-0.17112629521404599</v>
      </c>
      <c r="Y90">
        <v>15000</v>
      </c>
      <c r="Z90">
        <v>16</v>
      </c>
      <c r="AA90">
        <v>1</v>
      </c>
      <c r="AB90">
        <v>1</v>
      </c>
      <c r="AC90">
        <v>1</v>
      </c>
      <c r="AD90">
        <v>0.01</v>
      </c>
      <c r="AE90">
        <v>16</v>
      </c>
      <c r="AF90">
        <v>0</v>
      </c>
      <c r="AG90">
        <v>5.75</v>
      </c>
      <c r="AH90">
        <v>279</v>
      </c>
      <c r="AI90" t="s">
        <v>137</v>
      </c>
      <c r="AJ90">
        <v>5.75</v>
      </c>
      <c r="AK90" t="s">
        <v>138</v>
      </c>
    </row>
    <row r="91" spans="1:37" hidden="1" x14ac:dyDescent="0.3">
      <c r="A91">
        <v>5.75</v>
      </c>
      <c r="B91">
        <v>42</v>
      </c>
      <c r="C91">
        <v>1</v>
      </c>
      <c r="D91">
        <v>0.1</v>
      </c>
      <c r="E91" t="s">
        <v>28</v>
      </c>
      <c r="F91">
        <v>0</v>
      </c>
      <c r="I91" s="5"/>
      <c r="J91" s="6"/>
      <c r="K91" s="6"/>
      <c r="L91" s="7"/>
      <c r="M91">
        <v>-7.4476196483923996E-3</v>
      </c>
      <c r="N91">
        <v>-1.06141592800856E-2</v>
      </c>
      <c r="O91">
        <v>1.2966395630634901E-2</v>
      </c>
      <c r="P91">
        <v>6.9678389999999998E-7</v>
      </c>
      <c r="Q91" s="1">
        <v>1.5687249999999999E-4</v>
      </c>
      <c r="R91">
        <v>0.99977000000000005</v>
      </c>
      <c r="W91" s="1">
        <v>-0.399818391919529</v>
      </c>
      <c r="X91" s="1">
        <v>-0.17112629521404599</v>
      </c>
      <c r="Y91">
        <v>9000</v>
      </c>
      <c r="Z91">
        <v>16</v>
      </c>
      <c r="AA91">
        <v>1</v>
      </c>
      <c r="AB91">
        <v>1</v>
      </c>
      <c r="AC91">
        <v>1</v>
      </c>
      <c r="AD91">
        <v>0.01</v>
      </c>
      <c r="AE91">
        <v>16</v>
      </c>
      <c r="AF91">
        <v>0</v>
      </c>
      <c r="AG91">
        <v>5.75</v>
      </c>
      <c r="AH91">
        <v>166.5</v>
      </c>
      <c r="AI91" t="s">
        <v>139</v>
      </c>
      <c r="AJ91">
        <v>5.75</v>
      </c>
      <c r="AK91" t="s">
        <v>138</v>
      </c>
    </row>
    <row r="92" spans="1:37" x14ac:dyDescent="0.3">
      <c r="A92">
        <v>5.75</v>
      </c>
      <c r="B92">
        <v>45</v>
      </c>
      <c r="C92">
        <v>0</v>
      </c>
      <c r="D92">
        <v>0</v>
      </c>
      <c r="E92" t="s">
        <v>14</v>
      </c>
      <c r="G92" s="1">
        <f>J92-S92</f>
        <v>-0.65109046791732395</v>
      </c>
      <c r="H92" s="1">
        <f>K92+T92</f>
        <v>0.15372157186753602</v>
      </c>
      <c r="I92" s="5">
        <v>5.75</v>
      </c>
      <c r="J92" s="6">
        <v>-0.39981839192000002</v>
      </c>
      <c r="K92" s="6">
        <v>-0.171126295214</v>
      </c>
      <c r="L92" s="7">
        <v>0.43490108695099999</v>
      </c>
      <c r="M92">
        <v>-0.25127207599732398</v>
      </c>
      <c r="N92">
        <v>-0.32484786708153601</v>
      </c>
      <c r="O92">
        <v>0.41068697681254601</v>
      </c>
      <c r="P92">
        <v>8.7779849999999994E-8</v>
      </c>
      <c r="Q92" s="1">
        <v>3.9577849999999999E-9</v>
      </c>
      <c r="R92">
        <v>1</v>
      </c>
      <c r="S92">
        <f>ABS(M92)</f>
        <v>0.25127207599732398</v>
      </c>
      <c r="T92">
        <f t="shared" ref="T92" si="89">ABS(N92)</f>
        <v>0.32484786708153601</v>
      </c>
      <c r="U92">
        <f t="shared" ref="U92" si="90">ABS(O92)</f>
        <v>0.41068697681254601</v>
      </c>
      <c r="W92" s="1">
        <v>-0.399818391919529</v>
      </c>
      <c r="X92" s="1">
        <v>-0.17112629521404599</v>
      </c>
      <c r="Y92">
        <v>15000</v>
      </c>
      <c r="Z92">
        <v>16</v>
      </c>
      <c r="AA92">
        <v>1</v>
      </c>
      <c r="AB92">
        <v>1</v>
      </c>
      <c r="AC92">
        <v>1</v>
      </c>
      <c r="AD92">
        <v>0.01</v>
      </c>
      <c r="AE92">
        <v>16</v>
      </c>
      <c r="AF92">
        <v>0</v>
      </c>
      <c r="AG92">
        <v>5.75</v>
      </c>
      <c r="AH92">
        <v>282.5</v>
      </c>
      <c r="AI92" t="s">
        <v>140</v>
      </c>
      <c r="AJ92">
        <v>5.75</v>
      </c>
      <c r="AK92" t="s">
        <v>138</v>
      </c>
    </row>
    <row r="93" spans="1:37" hidden="1" x14ac:dyDescent="0.3">
      <c r="A93">
        <v>5.75</v>
      </c>
      <c r="B93">
        <v>45</v>
      </c>
      <c r="C93">
        <v>1</v>
      </c>
      <c r="D93">
        <v>0.1</v>
      </c>
      <c r="E93" t="s">
        <v>28</v>
      </c>
      <c r="F93">
        <v>0</v>
      </c>
      <c r="I93" s="5"/>
      <c r="J93" s="6"/>
      <c r="K93" s="6"/>
      <c r="L93" s="7"/>
      <c r="M93">
        <v>-0.11237799164107599</v>
      </c>
      <c r="N93">
        <v>-0.225447155959967</v>
      </c>
      <c r="O93">
        <v>0.25190322176526397</v>
      </c>
      <c r="P93">
        <v>1.19047E-5</v>
      </c>
      <c r="Q93" s="1">
        <v>2.9572000000000002E-4</v>
      </c>
      <c r="R93">
        <v>0.99976500000000001</v>
      </c>
      <c r="W93" s="1">
        <v>-0.399818391919529</v>
      </c>
      <c r="X93" s="1">
        <v>-0.17112629521404599</v>
      </c>
      <c r="Y93">
        <v>9000</v>
      </c>
      <c r="Z93">
        <v>16</v>
      </c>
      <c r="AA93">
        <v>1</v>
      </c>
      <c r="AB93">
        <v>1</v>
      </c>
      <c r="AC93">
        <v>1</v>
      </c>
      <c r="AD93">
        <v>0.01</v>
      </c>
      <c r="AE93">
        <v>16</v>
      </c>
      <c r="AF93">
        <v>0</v>
      </c>
      <c r="AG93">
        <v>5.75</v>
      </c>
      <c r="AH93">
        <v>165.3</v>
      </c>
      <c r="AI93" t="s">
        <v>141</v>
      </c>
      <c r="AJ93">
        <v>5.75</v>
      </c>
      <c r="AK93" t="s">
        <v>138</v>
      </c>
    </row>
    <row r="94" spans="1:37" x14ac:dyDescent="0.3">
      <c r="A94">
        <v>6</v>
      </c>
      <c r="B94">
        <v>42</v>
      </c>
      <c r="C94">
        <v>0</v>
      </c>
      <c r="D94">
        <v>0</v>
      </c>
      <c r="E94" t="s">
        <v>14</v>
      </c>
      <c r="G94" s="1">
        <f>J94-S94</f>
        <v>-0.227600567536904</v>
      </c>
      <c r="H94" s="1">
        <f>K94+T94</f>
        <v>-3.8054064408918009E-2</v>
      </c>
      <c r="I94" s="5">
        <v>6</v>
      </c>
      <c r="J94" s="6">
        <v>-9.6310638158000006E-2</v>
      </c>
      <c r="K94" s="6">
        <v>-0.42410283706700003</v>
      </c>
      <c r="L94" s="7">
        <v>0.43490108695099999</v>
      </c>
      <c r="M94">
        <v>0.13128992937890399</v>
      </c>
      <c r="N94">
        <v>-0.38604877265808202</v>
      </c>
      <c r="O94">
        <v>0.40776304445980499</v>
      </c>
      <c r="P94">
        <v>6.4003740000000005E-8</v>
      </c>
      <c r="Q94" s="1">
        <v>2.4131970000000002E-9</v>
      </c>
      <c r="R94">
        <v>1</v>
      </c>
      <c r="S94">
        <f>ABS(M94)</f>
        <v>0.13128992937890399</v>
      </c>
      <c r="T94">
        <f t="shared" ref="T94" si="91">ABS(N94)</f>
        <v>0.38604877265808202</v>
      </c>
      <c r="U94">
        <f t="shared" ref="U94" si="92">ABS(O94)</f>
        <v>0.40776304445980499</v>
      </c>
      <c r="W94" s="1">
        <v>-9.6310638158220802E-2</v>
      </c>
      <c r="X94" s="1">
        <v>-0.42410283706709601</v>
      </c>
      <c r="Y94">
        <v>15000</v>
      </c>
      <c r="Z94">
        <v>16</v>
      </c>
      <c r="AA94">
        <v>1</v>
      </c>
      <c r="AB94">
        <v>1</v>
      </c>
      <c r="AC94">
        <v>1</v>
      </c>
      <c r="AD94">
        <v>0.01</v>
      </c>
      <c r="AE94">
        <v>16</v>
      </c>
      <c r="AF94">
        <v>0</v>
      </c>
      <c r="AG94">
        <v>6</v>
      </c>
      <c r="AH94">
        <v>280.10000000000002</v>
      </c>
      <c r="AI94" t="s">
        <v>142</v>
      </c>
      <c r="AJ94">
        <v>6</v>
      </c>
      <c r="AK94" t="s">
        <v>143</v>
      </c>
    </row>
    <row r="95" spans="1:37" hidden="1" x14ac:dyDescent="0.3">
      <c r="A95">
        <v>6</v>
      </c>
      <c r="B95">
        <v>42</v>
      </c>
      <c r="C95">
        <v>1</v>
      </c>
      <c r="D95">
        <v>0.1</v>
      </c>
      <c r="E95" t="s">
        <v>28</v>
      </c>
      <c r="F95">
        <v>0</v>
      </c>
      <c r="I95" s="5"/>
      <c r="J95" s="6"/>
      <c r="K95" s="6"/>
      <c r="L95" s="7"/>
      <c r="M95">
        <v>2.3876366041685202</v>
      </c>
      <c r="N95">
        <v>0.20128601059267601</v>
      </c>
      <c r="O95">
        <v>2.3961061353007098</v>
      </c>
      <c r="P95">
        <v>1.3681469999999999E-4</v>
      </c>
      <c r="Q95" s="1">
        <v>2.8271569999999997E-4</v>
      </c>
      <c r="R95">
        <v>0.99969699999999995</v>
      </c>
      <c r="W95" s="1">
        <v>-9.6310638158220802E-2</v>
      </c>
      <c r="X95" s="1">
        <v>-0.42410283706709601</v>
      </c>
      <c r="Y95">
        <v>9000</v>
      </c>
      <c r="Z95">
        <v>16</v>
      </c>
      <c r="AA95">
        <v>1</v>
      </c>
      <c r="AB95">
        <v>1</v>
      </c>
      <c r="AC95">
        <v>1</v>
      </c>
      <c r="AD95">
        <v>0.01</v>
      </c>
      <c r="AE95">
        <v>16</v>
      </c>
      <c r="AF95">
        <v>0</v>
      </c>
      <c r="AG95">
        <v>6</v>
      </c>
      <c r="AH95">
        <v>167.5</v>
      </c>
      <c r="AI95" t="s">
        <v>144</v>
      </c>
      <c r="AJ95">
        <v>6</v>
      </c>
      <c r="AK95" t="s">
        <v>143</v>
      </c>
    </row>
    <row r="96" spans="1:37" x14ac:dyDescent="0.3">
      <c r="A96">
        <v>6</v>
      </c>
      <c r="B96">
        <v>45</v>
      </c>
      <c r="C96">
        <v>0</v>
      </c>
      <c r="D96">
        <v>0</v>
      </c>
      <c r="E96" t="s">
        <v>14</v>
      </c>
      <c r="G96" s="1">
        <f>J96-S96</f>
        <v>-0.227257416849138</v>
      </c>
      <c r="H96" s="1">
        <f>K96+T96</f>
        <v>-3.8291269122017024E-2</v>
      </c>
      <c r="I96" s="5">
        <v>6</v>
      </c>
      <c r="J96" s="6">
        <v>-9.6310638158000006E-2</v>
      </c>
      <c r="K96" s="6">
        <v>-0.42410283706700003</v>
      </c>
      <c r="L96" s="7">
        <v>0.43490108695099999</v>
      </c>
      <c r="M96">
        <v>0.13094677869113799</v>
      </c>
      <c r="N96">
        <v>-0.385811567944983</v>
      </c>
      <c r="O96">
        <v>0.407428060901249</v>
      </c>
      <c r="P96">
        <v>1.402405E-7</v>
      </c>
      <c r="Q96" s="1">
        <v>1.2041E-8</v>
      </c>
      <c r="R96">
        <v>1</v>
      </c>
      <c r="S96">
        <f>ABS(M96)</f>
        <v>0.13094677869113799</v>
      </c>
      <c r="T96">
        <f t="shared" ref="T96" si="93">ABS(N96)</f>
        <v>0.385811567944983</v>
      </c>
      <c r="U96">
        <f t="shared" ref="U96" si="94">ABS(O96)</f>
        <v>0.407428060901249</v>
      </c>
      <c r="W96" s="1">
        <v>-9.6310638158220802E-2</v>
      </c>
      <c r="X96" s="1">
        <v>-0.42410283706709601</v>
      </c>
      <c r="Y96">
        <v>15000</v>
      </c>
      <c r="Z96">
        <v>16</v>
      </c>
      <c r="AA96">
        <v>1</v>
      </c>
      <c r="AB96">
        <v>1</v>
      </c>
      <c r="AC96">
        <v>1</v>
      </c>
      <c r="AD96">
        <v>0.01</v>
      </c>
      <c r="AE96">
        <v>16</v>
      </c>
      <c r="AF96">
        <v>0</v>
      </c>
      <c r="AG96">
        <v>6</v>
      </c>
      <c r="AH96">
        <v>274.7</v>
      </c>
      <c r="AI96" t="s">
        <v>145</v>
      </c>
      <c r="AJ96">
        <v>6</v>
      </c>
      <c r="AK96" t="s">
        <v>143</v>
      </c>
    </row>
    <row r="97" spans="1:37" hidden="1" x14ac:dyDescent="0.3">
      <c r="A97">
        <v>6</v>
      </c>
      <c r="B97">
        <v>45</v>
      </c>
      <c r="C97">
        <v>1</v>
      </c>
      <c r="D97">
        <v>0.1</v>
      </c>
      <c r="E97" t="s">
        <v>28</v>
      </c>
      <c r="F97">
        <v>0</v>
      </c>
      <c r="I97" s="5"/>
      <c r="J97" s="6"/>
      <c r="K97" s="6"/>
      <c r="L97" s="7"/>
      <c r="M97">
        <v>-3.5215934736025098</v>
      </c>
      <c r="N97">
        <v>1.41469234385783</v>
      </c>
      <c r="O97">
        <v>3.7951251654049298</v>
      </c>
      <c r="P97">
        <v>2.1025009999999999E-4</v>
      </c>
      <c r="Q97" s="1">
        <v>2.6607250000000002E-4</v>
      </c>
      <c r="R97">
        <v>0.99969300000000005</v>
      </c>
      <c r="W97" s="1">
        <v>-9.6310638158220802E-2</v>
      </c>
      <c r="X97" s="1">
        <v>-0.42410283706709601</v>
      </c>
      <c r="Y97">
        <v>9000</v>
      </c>
      <c r="Z97">
        <v>16</v>
      </c>
      <c r="AA97">
        <v>1</v>
      </c>
      <c r="AB97">
        <v>1</v>
      </c>
      <c r="AC97">
        <v>1</v>
      </c>
      <c r="AD97">
        <v>0.01</v>
      </c>
      <c r="AE97">
        <v>16</v>
      </c>
      <c r="AF97">
        <v>0</v>
      </c>
      <c r="AG97">
        <v>6</v>
      </c>
      <c r="AH97">
        <v>166</v>
      </c>
      <c r="AI97" t="s">
        <v>146</v>
      </c>
      <c r="AJ97">
        <v>6</v>
      </c>
      <c r="AK97" t="s">
        <v>143</v>
      </c>
    </row>
    <row r="98" spans="1:37" x14ac:dyDescent="0.3">
      <c r="A98">
        <v>6.25</v>
      </c>
      <c r="B98">
        <v>42</v>
      </c>
      <c r="C98">
        <v>0</v>
      </c>
      <c r="D98">
        <v>0</v>
      </c>
      <c r="E98" t="s">
        <v>14</v>
      </c>
      <c r="G98" s="1">
        <f>J98-S98</f>
        <v>-9.7333400550729032E-2</v>
      </c>
      <c r="H98" s="1">
        <f>K98+T98</f>
        <v>-0.2297675100898626</v>
      </c>
      <c r="I98" s="5">
        <v>6.25</v>
      </c>
      <c r="J98" s="6">
        <v>0.29958083084499998</v>
      </c>
      <c r="K98" s="6">
        <v>-0.31526224198399999</v>
      </c>
      <c r="L98" s="7">
        <v>0.43490108695099999</v>
      </c>
      <c r="M98">
        <v>0.39691423139572901</v>
      </c>
      <c r="N98">
        <v>-8.5494731894137393E-2</v>
      </c>
      <c r="O98">
        <v>0.40601755659837202</v>
      </c>
      <c r="P98">
        <v>1.042752E-7</v>
      </c>
      <c r="Q98" s="1">
        <v>6.6555029999999997E-9</v>
      </c>
      <c r="R98">
        <v>1</v>
      </c>
      <c r="S98">
        <f>ABS(M98)</f>
        <v>0.39691423139572901</v>
      </c>
      <c r="T98">
        <f t="shared" ref="T98" si="95">ABS(N98)</f>
        <v>8.5494731894137393E-2</v>
      </c>
      <c r="U98">
        <f t="shared" ref="U98" si="96">ABS(O98)</f>
        <v>0.40601755659837202</v>
      </c>
      <c r="W98" s="1">
        <v>0.29958083084489201</v>
      </c>
      <c r="X98" s="1">
        <v>-0.31526224198449099</v>
      </c>
      <c r="Y98">
        <v>15000</v>
      </c>
      <c r="Z98">
        <v>16</v>
      </c>
      <c r="AA98">
        <v>1</v>
      </c>
      <c r="AB98">
        <v>1</v>
      </c>
      <c r="AC98">
        <v>1</v>
      </c>
      <c r="AD98">
        <v>0.01</v>
      </c>
      <c r="AE98">
        <v>16</v>
      </c>
      <c r="AF98">
        <v>0</v>
      </c>
      <c r="AG98">
        <v>6.25</v>
      </c>
      <c r="AH98">
        <v>278.60000000000002</v>
      </c>
      <c r="AI98" t="s">
        <v>147</v>
      </c>
      <c r="AJ98">
        <v>6.25</v>
      </c>
      <c r="AK98" t="s">
        <v>148</v>
      </c>
    </row>
    <row r="99" spans="1:37" hidden="1" x14ac:dyDescent="0.3">
      <c r="A99">
        <v>6.25</v>
      </c>
      <c r="B99">
        <v>42</v>
      </c>
      <c r="C99">
        <v>1</v>
      </c>
      <c r="D99">
        <v>0.1</v>
      </c>
      <c r="E99" t="s">
        <v>28</v>
      </c>
      <c r="F99">
        <v>0</v>
      </c>
      <c r="I99" s="5"/>
      <c r="J99" s="6"/>
      <c r="K99" s="6"/>
      <c r="L99" s="7"/>
      <c r="M99">
        <v>-5.3205390959825301E-2</v>
      </c>
      <c r="N99">
        <v>12.4093622641383</v>
      </c>
      <c r="O99">
        <v>12.4094763232074</v>
      </c>
      <c r="P99">
        <v>9.0602870000000004E-4</v>
      </c>
      <c r="Q99" s="1">
        <v>2.1855029999999999E-4</v>
      </c>
      <c r="R99">
        <v>0.99970700000000001</v>
      </c>
      <c r="W99" s="1">
        <v>0.29958083084489201</v>
      </c>
      <c r="X99" s="1">
        <v>-0.31526224198449099</v>
      </c>
      <c r="Y99">
        <v>9000</v>
      </c>
      <c r="Z99">
        <v>16</v>
      </c>
      <c r="AA99">
        <v>1</v>
      </c>
      <c r="AB99">
        <v>1</v>
      </c>
      <c r="AC99">
        <v>1</v>
      </c>
      <c r="AD99">
        <v>0.01</v>
      </c>
      <c r="AE99">
        <v>16</v>
      </c>
      <c r="AF99">
        <v>0</v>
      </c>
      <c r="AG99">
        <v>6.25</v>
      </c>
      <c r="AH99">
        <v>165.9</v>
      </c>
      <c r="AI99" t="s">
        <v>149</v>
      </c>
      <c r="AJ99">
        <v>6.25</v>
      </c>
      <c r="AK99" t="s">
        <v>148</v>
      </c>
    </row>
    <row r="100" spans="1:37" x14ac:dyDescent="0.3">
      <c r="A100">
        <v>6.25</v>
      </c>
      <c r="B100">
        <v>45</v>
      </c>
      <c r="C100">
        <v>0</v>
      </c>
      <c r="D100">
        <v>0</v>
      </c>
      <c r="E100" t="s">
        <v>14</v>
      </c>
      <c r="G100" s="1">
        <f>J100-S100</f>
        <v>-9.803066230677504E-2</v>
      </c>
      <c r="H100" s="1">
        <f>K100+T100</f>
        <v>-0.23121587692449438</v>
      </c>
      <c r="I100" s="5">
        <v>6.25</v>
      </c>
      <c r="J100" s="6">
        <v>0.29958083084499998</v>
      </c>
      <c r="K100" s="6">
        <v>-0.31526224198399999</v>
      </c>
      <c r="L100" s="7">
        <v>0.43490108695099999</v>
      </c>
      <c r="M100">
        <v>-0.39761149315177502</v>
      </c>
      <c r="N100">
        <v>8.4046365059505607E-2</v>
      </c>
      <c r="O100">
        <v>0.40639720836405802</v>
      </c>
      <c r="P100">
        <v>5.9535269999999997E-8</v>
      </c>
      <c r="Q100" s="1">
        <v>1.8247129999999999E-9</v>
      </c>
      <c r="R100">
        <v>1</v>
      </c>
      <c r="S100">
        <f>ABS(M100)</f>
        <v>0.39761149315177502</v>
      </c>
      <c r="T100">
        <f t="shared" ref="T100" si="97">ABS(N100)</f>
        <v>8.4046365059505607E-2</v>
      </c>
      <c r="U100">
        <f t="shared" ref="U100" si="98">ABS(O100)</f>
        <v>0.40639720836405802</v>
      </c>
      <c r="W100" s="1">
        <v>0.29958083084489201</v>
      </c>
      <c r="X100" s="1">
        <v>-0.31526224198449099</v>
      </c>
      <c r="Y100">
        <v>15000</v>
      </c>
      <c r="Z100">
        <v>16</v>
      </c>
      <c r="AA100">
        <v>1</v>
      </c>
      <c r="AB100">
        <v>1</v>
      </c>
      <c r="AC100">
        <v>1</v>
      </c>
      <c r="AD100">
        <v>0.01</v>
      </c>
      <c r="AE100">
        <v>16</v>
      </c>
      <c r="AF100">
        <v>0</v>
      </c>
      <c r="AG100">
        <v>6.25</v>
      </c>
      <c r="AH100">
        <v>276.89999999999998</v>
      </c>
      <c r="AI100" t="s">
        <v>150</v>
      </c>
      <c r="AJ100">
        <v>6.25</v>
      </c>
      <c r="AK100" t="s">
        <v>148</v>
      </c>
    </row>
    <row r="101" spans="1:37" hidden="1" x14ac:dyDescent="0.3">
      <c r="A101">
        <v>6.25</v>
      </c>
      <c r="B101">
        <v>45</v>
      </c>
      <c r="C101">
        <v>1</v>
      </c>
      <c r="D101">
        <v>0.1</v>
      </c>
      <c r="E101" t="s">
        <v>28</v>
      </c>
      <c r="F101">
        <v>0</v>
      </c>
      <c r="I101" s="5"/>
      <c r="J101" s="6"/>
      <c r="K101" s="6"/>
      <c r="L101" s="7"/>
      <c r="M101">
        <v>-5.4851865780879399</v>
      </c>
      <c r="N101">
        <v>38.967169835580499</v>
      </c>
      <c r="O101">
        <v>39.351335387651197</v>
      </c>
      <c r="P101">
        <v>2.3594089999999998E-3</v>
      </c>
      <c r="Q101" s="1">
        <v>2.484907E-4</v>
      </c>
      <c r="R101">
        <v>0.99958800000000003</v>
      </c>
      <c r="W101" s="1">
        <v>0.29958083084489201</v>
      </c>
      <c r="X101" s="1">
        <v>-0.31526224198449099</v>
      </c>
      <c r="Y101">
        <v>9000</v>
      </c>
      <c r="Z101">
        <v>16</v>
      </c>
      <c r="AA101">
        <v>1</v>
      </c>
      <c r="AB101">
        <v>1</v>
      </c>
      <c r="AC101">
        <v>1</v>
      </c>
      <c r="AD101">
        <v>0.01</v>
      </c>
      <c r="AE101">
        <v>16</v>
      </c>
      <c r="AF101">
        <v>0</v>
      </c>
      <c r="AG101">
        <v>6.25</v>
      </c>
      <c r="AH101">
        <v>167</v>
      </c>
      <c r="AI101" t="s">
        <v>151</v>
      </c>
      <c r="AJ101">
        <v>6.25</v>
      </c>
      <c r="AK101" t="s">
        <v>148</v>
      </c>
    </row>
    <row r="102" spans="1:37" x14ac:dyDescent="0.3">
      <c r="A102">
        <v>6.5</v>
      </c>
      <c r="B102">
        <v>42</v>
      </c>
      <c r="C102">
        <v>0</v>
      </c>
      <c r="D102">
        <v>0</v>
      </c>
      <c r="E102" t="s">
        <v>14</v>
      </c>
      <c r="G102" s="1">
        <f>J102-S102</f>
        <v>0.16249986225045504</v>
      </c>
      <c r="H102" s="1">
        <f>K102+T102</f>
        <v>0.39658253227553097</v>
      </c>
      <c r="I102" s="5">
        <v>6.5</v>
      </c>
      <c r="J102" s="6">
        <v>0.42512444070400002</v>
      </c>
      <c r="K102" s="6">
        <v>9.1696048697999993E-2</v>
      </c>
      <c r="L102" s="7">
        <v>0.43490108695099999</v>
      </c>
      <c r="M102">
        <v>0.26262457845354498</v>
      </c>
      <c r="N102">
        <v>0.30488648357753101</v>
      </c>
      <c r="O102">
        <v>0.40240208383676901</v>
      </c>
      <c r="P102">
        <v>2.211468E-7</v>
      </c>
      <c r="Q102" s="1">
        <v>2.5489520000000001E-8</v>
      </c>
      <c r="R102">
        <v>1</v>
      </c>
      <c r="S102">
        <f>ABS(M102)</f>
        <v>0.26262457845354498</v>
      </c>
      <c r="T102">
        <f t="shared" ref="T102" si="99">ABS(N102)</f>
        <v>0.30488648357753101</v>
      </c>
      <c r="U102">
        <f t="shared" ref="U102" si="100">ABS(O102)</f>
        <v>0.40240208383676901</v>
      </c>
      <c r="W102" s="1">
        <v>0.42512444070403799</v>
      </c>
      <c r="X102" s="1">
        <v>9.1696048698305305E-2</v>
      </c>
      <c r="Y102">
        <v>15000</v>
      </c>
      <c r="Z102">
        <v>16</v>
      </c>
      <c r="AA102">
        <v>1</v>
      </c>
      <c r="AB102">
        <v>1</v>
      </c>
      <c r="AC102">
        <v>1</v>
      </c>
      <c r="AD102">
        <v>0.01</v>
      </c>
      <c r="AE102">
        <v>16</v>
      </c>
      <c r="AF102">
        <v>0</v>
      </c>
      <c r="AG102">
        <v>6.5</v>
      </c>
      <c r="AH102">
        <v>277.3</v>
      </c>
      <c r="AI102" t="s">
        <v>152</v>
      </c>
      <c r="AJ102">
        <v>6.5</v>
      </c>
      <c r="AK102" t="s">
        <v>153</v>
      </c>
    </row>
    <row r="103" spans="1:37" hidden="1" x14ac:dyDescent="0.3">
      <c r="A103">
        <v>6.5</v>
      </c>
      <c r="B103">
        <v>42</v>
      </c>
      <c r="C103">
        <v>1</v>
      </c>
      <c r="D103">
        <v>0.1</v>
      </c>
      <c r="E103" t="s">
        <v>28</v>
      </c>
      <c r="F103">
        <v>0</v>
      </c>
      <c r="I103" s="5"/>
      <c r="J103" s="6"/>
      <c r="K103" s="6"/>
      <c r="L103" s="7"/>
      <c r="M103">
        <v>8.7646323569366995</v>
      </c>
      <c r="N103">
        <v>9.6802020964455107</v>
      </c>
      <c r="O103">
        <v>13.058525681725699</v>
      </c>
      <c r="P103">
        <v>1.313633E-3</v>
      </c>
      <c r="Q103" s="1">
        <v>2.5244779999999999E-4</v>
      </c>
      <c r="R103">
        <v>0.99972499999999997</v>
      </c>
      <c r="W103" s="1">
        <v>0.42512444070403799</v>
      </c>
      <c r="X103" s="1">
        <v>9.1696048698305305E-2</v>
      </c>
      <c r="Y103">
        <v>9000</v>
      </c>
      <c r="Z103">
        <v>16</v>
      </c>
      <c r="AA103">
        <v>1</v>
      </c>
      <c r="AB103">
        <v>1</v>
      </c>
      <c r="AC103">
        <v>1</v>
      </c>
      <c r="AD103">
        <v>0.01</v>
      </c>
      <c r="AE103">
        <v>16</v>
      </c>
      <c r="AF103">
        <v>0</v>
      </c>
      <c r="AG103">
        <v>6.5</v>
      </c>
      <c r="AH103">
        <v>165.4</v>
      </c>
      <c r="AI103" t="s">
        <v>154</v>
      </c>
      <c r="AJ103">
        <v>6.5</v>
      </c>
      <c r="AK103" t="s">
        <v>153</v>
      </c>
    </row>
    <row r="104" spans="1:37" x14ac:dyDescent="0.3">
      <c r="A104">
        <v>6.5</v>
      </c>
      <c r="B104">
        <v>45</v>
      </c>
      <c r="C104">
        <v>0</v>
      </c>
      <c r="D104">
        <v>0</v>
      </c>
      <c r="E104" t="s">
        <v>14</v>
      </c>
      <c r="G104" s="1">
        <f>J104-S104</f>
        <v>0.162365723044675</v>
      </c>
      <c r="H104" s="1">
        <f>K104+T104</f>
        <v>0.39775701065485503</v>
      </c>
      <c r="I104" s="5">
        <v>6.5</v>
      </c>
      <c r="J104" s="6">
        <v>0.42512444070400002</v>
      </c>
      <c r="K104" s="6">
        <v>9.1696048697999993E-2</v>
      </c>
      <c r="L104" s="7">
        <v>0.43490108695099999</v>
      </c>
      <c r="M104">
        <v>0.26275871765932501</v>
      </c>
      <c r="N104">
        <v>0.306060961956855</v>
      </c>
      <c r="O104">
        <v>0.40338003934246403</v>
      </c>
      <c r="P104">
        <v>1.076123E-7</v>
      </c>
      <c r="Q104" s="1">
        <v>6.0097069999999998E-9</v>
      </c>
      <c r="R104">
        <v>1</v>
      </c>
      <c r="S104">
        <f>ABS(M104)</f>
        <v>0.26275871765932501</v>
      </c>
      <c r="T104">
        <f t="shared" ref="T104" si="101">ABS(N104)</f>
        <v>0.306060961956855</v>
      </c>
      <c r="U104">
        <f t="shared" ref="U104" si="102">ABS(O104)</f>
        <v>0.40338003934246403</v>
      </c>
      <c r="W104" s="1">
        <v>0.42512444070403799</v>
      </c>
      <c r="X104" s="1">
        <v>9.1696048698305305E-2</v>
      </c>
      <c r="Y104">
        <v>15000</v>
      </c>
      <c r="Z104">
        <v>16</v>
      </c>
      <c r="AA104">
        <v>1</v>
      </c>
      <c r="AB104">
        <v>1</v>
      </c>
      <c r="AC104">
        <v>1</v>
      </c>
      <c r="AD104">
        <v>0.01</v>
      </c>
      <c r="AE104">
        <v>16</v>
      </c>
      <c r="AF104">
        <v>0</v>
      </c>
      <c r="AG104">
        <v>6.5</v>
      </c>
      <c r="AH104">
        <v>279.5</v>
      </c>
      <c r="AI104" t="s">
        <v>155</v>
      </c>
      <c r="AJ104">
        <v>6.5</v>
      </c>
      <c r="AK104" t="s">
        <v>153</v>
      </c>
    </row>
    <row r="105" spans="1:37" hidden="1" x14ac:dyDescent="0.3">
      <c r="A105">
        <v>6.5</v>
      </c>
      <c r="B105">
        <v>45</v>
      </c>
      <c r="C105">
        <v>1</v>
      </c>
      <c r="D105">
        <v>0.1</v>
      </c>
      <c r="E105" t="s">
        <v>28</v>
      </c>
      <c r="F105">
        <v>0</v>
      </c>
      <c r="I105" s="5"/>
      <c r="J105" s="6"/>
      <c r="K105" s="6"/>
      <c r="L105" s="7"/>
      <c r="M105">
        <v>15.6089354981982</v>
      </c>
      <c r="N105">
        <v>12.867016004979501</v>
      </c>
      <c r="O105">
        <v>20.228666991655999</v>
      </c>
      <c r="P105">
        <v>2.1008570000000001E-2</v>
      </c>
      <c r="Q105" s="1">
        <v>0.16536110000000001</v>
      </c>
      <c r="R105">
        <v>0.90514499999999998</v>
      </c>
      <c r="W105" s="1">
        <v>0.42512444070403799</v>
      </c>
      <c r="X105" s="1">
        <v>9.1696048698305305E-2</v>
      </c>
      <c r="Y105">
        <v>9000</v>
      </c>
      <c r="Z105">
        <v>16</v>
      </c>
      <c r="AA105">
        <v>1</v>
      </c>
      <c r="AB105">
        <v>1</v>
      </c>
      <c r="AC105">
        <v>1</v>
      </c>
      <c r="AD105">
        <v>0.01</v>
      </c>
      <c r="AE105">
        <v>16</v>
      </c>
      <c r="AF105">
        <v>0</v>
      </c>
      <c r="AG105">
        <v>6.5</v>
      </c>
      <c r="AH105">
        <v>167.1</v>
      </c>
      <c r="AI105" t="s">
        <v>156</v>
      </c>
      <c r="AJ105">
        <v>6.5</v>
      </c>
      <c r="AK105" t="s">
        <v>153</v>
      </c>
    </row>
    <row r="106" spans="1:37" x14ac:dyDescent="0.3">
      <c r="A106">
        <v>6.75</v>
      </c>
      <c r="B106">
        <v>42</v>
      </c>
      <c r="C106">
        <v>0</v>
      </c>
      <c r="D106">
        <v>0</v>
      </c>
      <c r="E106" t="s">
        <v>14</v>
      </c>
      <c r="G106" s="1">
        <f>J106-S106</f>
        <v>-3.1528053682833013E-2</v>
      </c>
      <c r="H106" s="1">
        <f>K106+T106</f>
        <v>0.78421803936883294</v>
      </c>
      <c r="I106" s="5">
        <v>6.75</v>
      </c>
      <c r="J106" s="6">
        <v>0.126398426131</v>
      </c>
      <c r="K106" s="6">
        <v>0.41612785691699999</v>
      </c>
      <c r="L106" s="7">
        <v>0.43490108695099999</v>
      </c>
      <c r="M106">
        <v>0.15792647981383301</v>
      </c>
      <c r="N106">
        <v>-0.368090182451833</v>
      </c>
      <c r="O106">
        <v>0.40053858171693302</v>
      </c>
      <c r="P106">
        <v>1.203417E-7</v>
      </c>
      <c r="Q106" s="1">
        <v>8.1189999999999998E-9</v>
      </c>
      <c r="R106">
        <v>1</v>
      </c>
      <c r="S106">
        <f>ABS(M106)</f>
        <v>0.15792647981383301</v>
      </c>
      <c r="T106">
        <f t="shared" ref="T106" si="103">ABS(N106)</f>
        <v>0.368090182451833</v>
      </c>
      <c r="U106">
        <f t="shared" ref="U106" si="104">ABS(O106)</f>
        <v>0.40053858171693302</v>
      </c>
      <c r="W106" s="1">
        <v>0.12639842613082</v>
      </c>
      <c r="X106" s="1">
        <v>0.41612785691714399</v>
      </c>
      <c r="Y106">
        <v>15000</v>
      </c>
      <c r="Z106">
        <v>16</v>
      </c>
      <c r="AA106">
        <v>1</v>
      </c>
      <c r="AB106">
        <v>1</v>
      </c>
      <c r="AC106">
        <v>1</v>
      </c>
      <c r="AD106">
        <v>0.01</v>
      </c>
      <c r="AE106">
        <v>16</v>
      </c>
      <c r="AF106">
        <v>0</v>
      </c>
      <c r="AG106">
        <v>6.75</v>
      </c>
      <c r="AH106">
        <v>279</v>
      </c>
      <c r="AI106" t="s">
        <v>157</v>
      </c>
      <c r="AJ106">
        <v>6.75</v>
      </c>
      <c r="AK106" t="s">
        <v>158</v>
      </c>
    </row>
    <row r="107" spans="1:37" hidden="1" x14ac:dyDescent="0.3">
      <c r="A107">
        <v>6.75</v>
      </c>
      <c r="B107">
        <v>42</v>
      </c>
      <c r="C107">
        <v>1</v>
      </c>
      <c r="D107">
        <v>0.1</v>
      </c>
      <c r="E107" t="s">
        <v>28</v>
      </c>
      <c r="F107">
        <v>0</v>
      </c>
      <c r="I107" s="5"/>
      <c r="J107" s="6"/>
      <c r="K107" s="6"/>
      <c r="L107" s="7"/>
      <c r="M107">
        <v>-5.59114799933496</v>
      </c>
      <c r="N107">
        <v>15.7661602237345</v>
      </c>
      <c r="O107">
        <v>16.728202059723401</v>
      </c>
      <c r="P107">
        <v>4.5968479999999997E-3</v>
      </c>
      <c r="Q107" s="1">
        <v>2.5179489999999998E-3</v>
      </c>
      <c r="R107">
        <v>0.99848700000000001</v>
      </c>
      <c r="W107" s="1">
        <v>0.12639842613082</v>
      </c>
      <c r="X107" s="1">
        <v>0.41612785691714399</v>
      </c>
      <c r="Y107">
        <v>9000</v>
      </c>
      <c r="Z107">
        <v>16</v>
      </c>
      <c r="AA107">
        <v>1</v>
      </c>
      <c r="AB107">
        <v>1</v>
      </c>
      <c r="AC107">
        <v>1</v>
      </c>
      <c r="AD107">
        <v>0.01</v>
      </c>
      <c r="AE107">
        <v>16</v>
      </c>
      <c r="AF107">
        <v>0</v>
      </c>
      <c r="AG107">
        <v>6.75</v>
      </c>
      <c r="AH107">
        <v>166.9</v>
      </c>
      <c r="AI107" t="s">
        <v>159</v>
      </c>
      <c r="AJ107">
        <v>6.75</v>
      </c>
      <c r="AK107" t="s">
        <v>158</v>
      </c>
    </row>
    <row r="108" spans="1:37" x14ac:dyDescent="0.3">
      <c r="A108">
        <v>6.75</v>
      </c>
      <c r="B108">
        <v>45</v>
      </c>
      <c r="C108">
        <v>0</v>
      </c>
      <c r="D108">
        <v>0</v>
      </c>
      <c r="E108" t="s">
        <v>14</v>
      </c>
      <c r="G108" s="1">
        <f>J108-S108</f>
        <v>-3.1053663038166007E-2</v>
      </c>
      <c r="H108" s="1">
        <f>K108+T108</f>
        <v>0.78478026081688501</v>
      </c>
      <c r="I108" s="5">
        <v>6.75</v>
      </c>
      <c r="J108" s="6">
        <v>0.126398426131</v>
      </c>
      <c r="K108" s="6">
        <v>0.41612785691699999</v>
      </c>
      <c r="L108" s="7">
        <v>0.43490108695099999</v>
      </c>
      <c r="M108">
        <v>0.157452089169166</v>
      </c>
      <c r="N108">
        <v>-0.36865240389988502</v>
      </c>
      <c r="O108">
        <v>0.40086875069640798</v>
      </c>
      <c r="P108">
        <v>9.7056379999999994E-8</v>
      </c>
      <c r="Q108" s="1">
        <v>6.027052E-9</v>
      </c>
      <c r="R108">
        <v>1</v>
      </c>
      <c r="S108">
        <f>ABS(M108)</f>
        <v>0.157452089169166</v>
      </c>
      <c r="T108">
        <f t="shared" ref="T108" si="105">ABS(N108)</f>
        <v>0.36865240389988502</v>
      </c>
      <c r="U108">
        <f t="shared" ref="U108" si="106">ABS(O108)</f>
        <v>0.40086875069640798</v>
      </c>
      <c r="W108" s="1">
        <v>0.12639842613082</v>
      </c>
      <c r="X108" s="1">
        <v>0.41612785691714399</v>
      </c>
      <c r="Y108">
        <v>15000</v>
      </c>
      <c r="Z108">
        <v>16</v>
      </c>
      <c r="AA108">
        <v>1</v>
      </c>
      <c r="AB108">
        <v>1</v>
      </c>
      <c r="AC108">
        <v>1</v>
      </c>
      <c r="AD108">
        <v>0.01</v>
      </c>
      <c r="AE108">
        <v>16</v>
      </c>
      <c r="AF108">
        <v>0</v>
      </c>
      <c r="AG108">
        <v>6.75</v>
      </c>
      <c r="AH108">
        <v>275.2</v>
      </c>
      <c r="AI108" t="s">
        <v>160</v>
      </c>
      <c r="AJ108">
        <v>6.75</v>
      </c>
      <c r="AK108" t="s">
        <v>158</v>
      </c>
    </row>
    <row r="109" spans="1:37" hidden="1" x14ac:dyDescent="0.3">
      <c r="A109">
        <v>6.75</v>
      </c>
      <c r="B109">
        <v>45</v>
      </c>
      <c r="C109">
        <v>1</v>
      </c>
      <c r="D109">
        <v>0.1</v>
      </c>
      <c r="E109" t="s">
        <v>28</v>
      </c>
      <c r="F109">
        <v>0</v>
      </c>
      <c r="I109" s="5"/>
      <c r="J109" s="6"/>
      <c r="K109" s="6"/>
      <c r="L109" s="7"/>
      <c r="M109">
        <v>-2.7780439410269002</v>
      </c>
      <c r="N109">
        <v>0.23382944972088199</v>
      </c>
      <c r="O109">
        <v>2.7878673479620599</v>
      </c>
      <c r="P109">
        <v>5.769808E-4</v>
      </c>
      <c r="Q109" s="1">
        <v>2.7608049999999999E-3</v>
      </c>
      <c r="R109">
        <v>0.99641299999999999</v>
      </c>
      <c r="W109" s="1">
        <v>0.12639842613082</v>
      </c>
      <c r="X109" s="1">
        <v>0.41612785691714399</v>
      </c>
      <c r="Y109">
        <v>9000</v>
      </c>
      <c r="Z109">
        <v>16</v>
      </c>
      <c r="AA109">
        <v>1</v>
      </c>
      <c r="AB109">
        <v>1</v>
      </c>
      <c r="AC109">
        <v>1</v>
      </c>
      <c r="AD109">
        <v>0.01</v>
      </c>
      <c r="AE109">
        <v>16</v>
      </c>
      <c r="AF109">
        <v>0</v>
      </c>
      <c r="AG109">
        <v>6.75</v>
      </c>
      <c r="AH109">
        <v>164.4</v>
      </c>
      <c r="AI109" t="s">
        <v>161</v>
      </c>
      <c r="AJ109">
        <v>6.75</v>
      </c>
      <c r="AK109" t="s">
        <v>158</v>
      </c>
    </row>
    <row r="110" spans="1:37" x14ac:dyDescent="0.3">
      <c r="A110">
        <v>7</v>
      </c>
      <c r="B110">
        <v>42</v>
      </c>
      <c r="C110">
        <v>0</v>
      </c>
      <c r="D110">
        <v>0</v>
      </c>
      <c r="E110" t="s">
        <v>14</v>
      </c>
      <c r="G110" s="1">
        <f>J110-S110</f>
        <v>-0.71341748782618097</v>
      </c>
      <c r="H110" s="1">
        <f>K110+T110</f>
        <v>0.30405404521145341</v>
      </c>
      <c r="I110" s="5">
        <v>7</v>
      </c>
      <c r="J110" s="6">
        <v>-0.31460438747199998</v>
      </c>
      <c r="K110" s="6">
        <v>0.30027160174400003</v>
      </c>
      <c r="L110" s="7">
        <v>0.43490108695099999</v>
      </c>
      <c r="M110">
        <v>-0.39881310035418099</v>
      </c>
      <c r="N110">
        <v>3.7824434674533598E-3</v>
      </c>
      <c r="O110">
        <v>0.39883103677208798</v>
      </c>
      <c r="P110">
        <v>5.6023579999999998E-8</v>
      </c>
      <c r="Q110" s="1">
        <v>2.3442249999999999E-9</v>
      </c>
      <c r="R110">
        <v>1</v>
      </c>
      <c r="S110">
        <f>ABS(M110)</f>
        <v>0.39881310035418099</v>
      </c>
      <c r="T110">
        <f t="shared" ref="T110" si="107">ABS(N110)</f>
        <v>3.7824434674533598E-3</v>
      </c>
      <c r="U110">
        <f t="shared" ref="U110" si="108">ABS(O110)</f>
        <v>0.39883103677208798</v>
      </c>
      <c r="W110" s="1">
        <v>-0.31460438747207398</v>
      </c>
      <c r="X110" s="1">
        <v>0.30027160174436202</v>
      </c>
      <c r="Y110">
        <v>15000</v>
      </c>
      <c r="Z110">
        <v>16</v>
      </c>
      <c r="AA110">
        <v>1</v>
      </c>
      <c r="AB110">
        <v>1</v>
      </c>
      <c r="AC110">
        <v>1</v>
      </c>
      <c r="AD110">
        <v>0.01</v>
      </c>
      <c r="AE110">
        <v>16</v>
      </c>
      <c r="AF110">
        <v>0</v>
      </c>
      <c r="AG110">
        <v>7</v>
      </c>
      <c r="AH110">
        <v>277.3</v>
      </c>
      <c r="AI110" t="s">
        <v>162</v>
      </c>
      <c r="AJ110">
        <v>7</v>
      </c>
      <c r="AK110" t="s">
        <v>163</v>
      </c>
    </row>
    <row r="111" spans="1:37" hidden="1" x14ac:dyDescent="0.3">
      <c r="A111">
        <v>7</v>
      </c>
      <c r="B111">
        <v>42</v>
      </c>
      <c r="C111">
        <v>1</v>
      </c>
      <c r="D111">
        <v>0.1</v>
      </c>
      <c r="E111" t="s">
        <v>28</v>
      </c>
      <c r="F111">
        <v>0</v>
      </c>
      <c r="I111" s="5"/>
      <c r="J111" s="6"/>
      <c r="K111" s="6"/>
      <c r="L111" s="7"/>
      <c r="M111">
        <v>-0.19958198418018799</v>
      </c>
      <c r="N111">
        <v>-0.50489649158847905</v>
      </c>
      <c r="O111">
        <v>0.54291199620901298</v>
      </c>
      <c r="P111">
        <v>6.4516080000000004E-4</v>
      </c>
      <c r="Q111" s="1">
        <v>0.1199158</v>
      </c>
      <c r="R111">
        <v>0.874413</v>
      </c>
      <c r="W111" s="1">
        <v>-0.31460438747207398</v>
      </c>
      <c r="X111" s="1">
        <v>0.30027160174436202</v>
      </c>
      <c r="Y111">
        <v>9000</v>
      </c>
      <c r="Z111">
        <v>16</v>
      </c>
      <c r="AA111">
        <v>1</v>
      </c>
      <c r="AB111">
        <v>1</v>
      </c>
      <c r="AC111">
        <v>1</v>
      </c>
      <c r="AD111">
        <v>0.01</v>
      </c>
      <c r="AE111">
        <v>16</v>
      </c>
      <c r="AF111">
        <v>0</v>
      </c>
      <c r="AG111">
        <v>7</v>
      </c>
      <c r="AH111">
        <v>166.3</v>
      </c>
      <c r="AI111" t="s">
        <v>164</v>
      </c>
      <c r="AJ111">
        <v>7</v>
      </c>
      <c r="AK111" t="s">
        <v>163</v>
      </c>
    </row>
    <row r="112" spans="1:37" x14ac:dyDescent="0.3">
      <c r="A112">
        <v>7</v>
      </c>
      <c r="B112">
        <v>45</v>
      </c>
      <c r="C112">
        <v>0</v>
      </c>
      <c r="D112">
        <v>0</v>
      </c>
      <c r="E112" t="s">
        <v>14</v>
      </c>
      <c r="G112" s="1">
        <f>J112-S112</f>
        <v>-0.71318977975620501</v>
      </c>
      <c r="H112" s="1">
        <f>K112+T112</f>
        <v>0.30440009074733759</v>
      </c>
      <c r="I112" s="5">
        <v>7</v>
      </c>
      <c r="J112" s="6">
        <v>-0.31460438747199998</v>
      </c>
      <c r="K112" s="6">
        <v>0.30027160174400003</v>
      </c>
      <c r="L112" s="7">
        <v>0.43490108695099999</v>
      </c>
      <c r="M112">
        <v>0.39858539228420498</v>
      </c>
      <c r="N112">
        <v>-4.1284890033375602E-3</v>
      </c>
      <c r="O112">
        <v>0.39860677285239898</v>
      </c>
      <c r="P112">
        <v>9.9903470000000002E-8</v>
      </c>
      <c r="Q112" s="1">
        <v>5.7900999999999997E-9</v>
      </c>
      <c r="R112">
        <v>1</v>
      </c>
      <c r="S112">
        <f>ABS(M112)</f>
        <v>0.39858539228420498</v>
      </c>
      <c r="T112">
        <f t="shared" ref="T112" si="109">ABS(N112)</f>
        <v>4.1284890033375602E-3</v>
      </c>
      <c r="U112">
        <f t="shared" ref="U112" si="110">ABS(O112)</f>
        <v>0.39860677285239898</v>
      </c>
      <c r="W112" s="1">
        <v>-0.31460438747207398</v>
      </c>
      <c r="X112" s="1">
        <v>0.30027160174436202</v>
      </c>
      <c r="Y112">
        <v>15000</v>
      </c>
      <c r="Z112">
        <v>16</v>
      </c>
      <c r="AA112">
        <v>1</v>
      </c>
      <c r="AB112">
        <v>1</v>
      </c>
      <c r="AC112">
        <v>1</v>
      </c>
      <c r="AD112">
        <v>0.01</v>
      </c>
      <c r="AE112">
        <v>16</v>
      </c>
      <c r="AF112">
        <v>0</v>
      </c>
      <c r="AG112">
        <v>7</v>
      </c>
      <c r="AH112">
        <v>275.39999999999998</v>
      </c>
      <c r="AI112" t="s">
        <v>165</v>
      </c>
      <c r="AJ112">
        <v>7</v>
      </c>
      <c r="AK112" t="s">
        <v>163</v>
      </c>
    </row>
    <row r="113" spans="1:37" hidden="1" x14ac:dyDescent="0.3">
      <c r="A113">
        <v>7</v>
      </c>
      <c r="B113">
        <v>45</v>
      </c>
      <c r="C113">
        <v>1</v>
      </c>
      <c r="D113">
        <v>0.1</v>
      </c>
      <c r="E113" t="s">
        <v>28</v>
      </c>
      <c r="F113">
        <v>0</v>
      </c>
      <c r="I113" s="5"/>
      <c r="J113" s="6"/>
      <c r="K113" s="6"/>
      <c r="L113" s="7"/>
      <c r="M113">
        <v>-0.159445699093583</v>
      </c>
      <c r="N113">
        <v>-13.886503167277899</v>
      </c>
      <c r="O113">
        <v>13.887418519861001</v>
      </c>
      <c r="P113">
        <v>1.091891E-3</v>
      </c>
      <c r="Q113" s="1">
        <v>1.436473E-3</v>
      </c>
      <c r="R113">
        <v>0.99956100000000003</v>
      </c>
      <c r="W113" s="1">
        <v>-0.31460438747207398</v>
      </c>
      <c r="X113" s="1">
        <v>0.30027160174436202</v>
      </c>
      <c r="Y113">
        <v>9000</v>
      </c>
      <c r="Z113">
        <v>16</v>
      </c>
      <c r="AA113">
        <v>1</v>
      </c>
      <c r="AB113">
        <v>1</v>
      </c>
      <c r="AC113">
        <v>1</v>
      </c>
      <c r="AD113">
        <v>0.01</v>
      </c>
      <c r="AE113">
        <v>16</v>
      </c>
      <c r="AF113">
        <v>0</v>
      </c>
      <c r="AG113">
        <v>7</v>
      </c>
      <c r="AH113">
        <v>166.6</v>
      </c>
      <c r="AI113" t="s">
        <v>166</v>
      </c>
      <c r="AJ113">
        <v>7</v>
      </c>
      <c r="AK113" t="s">
        <v>163</v>
      </c>
    </row>
    <row r="114" spans="1:37" x14ac:dyDescent="0.3">
      <c r="A114">
        <v>7.25</v>
      </c>
      <c r="B114">
        <v>42</v>
      </c>
      <c r="C114">
        <v>0</v>
      </c>
      <c r="D114">
        <v>0</v>
      </c>
      <c r="E114" t="s">
        <v>14</v>
      </c>
      <c r="G114" s="1">
        <f>J114-S114</f>
        <v>-0.55147074150284503</v>
      </c>
      <c r="H114" s="1">
        <f>K114+T114</f>
        <v>0.205680312058</v>
      </c>
      <c r="I114" s="5">
        <v>7.25</v>
      </c>
      <c r="J114" s="6">
        <v>-0.403612950543</v>
      </c>
      <c r="K114" s="6">
        <v>-0.16197389167599999</v>
      </c>
      <c r="L114" s="7">
        <v>0.43490108695099999</v>
      </c>
      <c r="M114">
        <v>-0.147857790959845</v>
      </c>
      <c r="N114">
        <v>-0.36765420373399998</v>
      </c>
      <c r="O114">
        <v>0.39627205285107697</v>
      </c>
      <c r="P114">
        <v>1.4005410000000001E-7</v>
      </c>
      <c r="Q114" s="1">
        <v>1.060869E-8</v>
      </c>
      <c r="R114">
        <v>1</v>
      </c>
      <c r="S114">
        <f>ABS(M114)</f>
        <v>0.147857790959845</v>
      </c>
      <c r="T114">
        <f t="shared" ref="T114" si="111">ABS(N114)</f>
        <v>0.36765420373399998</v>
      </c>
      <c r="U114">
        <f t="shared" ref="U114" si="112">ABS(O114)</f>
        <v>0.39627205285107697</v>
      </c>
      <c r="W114" s="1">
        <v>-0.40361295054312302</v>
      </c>
      <c r="X114" s="1">
        <v>-0.16197389167602899</v>
      </c>
      <c r="Y114">
        <v>15000</v>
      </c>
      <c r="Z114">
        <v>16</v>
      </c>
      <c r="AA114">
        <v>1</v>
      </c>
      <c r="AB114">
        <v>1</v>
      </c>
      <c r="AC114">
        <v>1</v>
      </c>
      <c r="AD114">
        <v>0.01</v>
      </c>
      <c r="AE114">
        <v>16</v>
      </c>
      <c r="AF114">
        <v>0</v>
      </c>
      <c r="AG114">
        <v>7.25</v>
      </c>
      <c r="AH114">
        <v>277.89999999999998</v>
      </c>
      <c r="AI114" t="s">
        <v>167</v>
      </c>
      <c r="AJ114">
        <v>7.25</v>
      </c>
      <c r="AK114" t="s">
        <v>168</v>
      </c>
    </row>
    <row r="115" spans="1:37" hidden="1" x14ac:dyDescent="0.3">
      <c r="A115">
        <v>7.25</v>
      </c>
      <c r="B115">
        <v>42</v>
      </c>
      <c r="C115">
        <v>1</v>
      </c>
      <c r="D115">
        <v>0.1</v>
      </c>
      <c r="E115" t="s">
        <v>28</v>
      </c>
      <c r="F115">
        <v>0</v>
      </c>
      <c r="I115" s="5"/>
      <c r="J115" s="6"/>
      <c r="K115" s="6"/>
      <c r="L115" s="7"/>
      <c r="M115">
        <v>-91.238737133440907</v>
      </c>
      <c r="N115">
        <v>18.387359470041002</v>
      </c>
      <c r="O115">
        <v>93.073101065697998</v>
      </c>
      <c r="P115">
        <v>5.8830979999999998E-3</v>
      </c>
      <c r="Q115" s="1">
        <v>1.4886850000000001E-4</v>
      </c>
      <c r="R115">
        <v>0.99943099999999996</v>
      </c>
      <c r="W115" s="1">
        <v>-0.40361295054312302</v>
      </c>
      <c r="X115" s="1">
        <v>-0.16197389167602899</v>
      </c>
      <c r="Y115">
        <v>9000</v>
      </c>
      <c r="Z115">
        <v>16</v>
      </c>
      <c r="AA115">
        <v>1</v>
      </c>
      <c r="AB115">
        <v>1</v>
      </c>
      <c r="AC115">
        <v>1</v>
      </c>
      <c r="AD115">
        <v>0.01</v>
      </c>
      <c r="AE115">
        <v>16</v>
      </c>
      <c r="AF115">
        <v>0</v>
      </c>
      <c r="AG115">
        <v>7.25</v>
      </c>
      <c r="AH115">
        <v>167.3</v>
      </c>
      <c r="AI115" t="s">
        <v>169</v>
      </c>
      <c r="AJ115">
        <v>7.25</v>
      </c>
      <c r="AK115" t="s">
        <v>168</v>
      </c>
    </row>
    <row r="116" spans="1:37" x14ac:dyDescent="0.3">
      <c r="A116">
        <v>7.25</v>
      </c>
      <c r="B116">
        <v>45</v>
      </c>
      <c r="C116">
        <v>0</v>
      </c>
      <c r="D116">
        <v>0</v>
      </c>
      <c r="E116" t="s">
        <v>14</v>
      </c>
      <c r="G116" s="1">
        <f>J116-S116</f>
        <v>-0.55085719932479404</v>
      </c>
      <c r="H116" s="1">
        <f>K116+T116</f>
        <v>0.20573177948736801</v>
      </c>
      <c r="I116" s="5">
        <v>7.25</v>
      </c>
      <c r="J116" s="6">
        <v>-0.403612950543</v>
      </c>
      <c r="K116" s="6">
        <v>-0.16197389167599999</v>
      </c>
      <c r="L116" s="7">
        <v>0.43490108695099999</v>
      </c>
      <c r="M116">
        <v>-0.14724424878179401</v>
      </c>
      <c r="N116">
        <v>-0.367705671163368</v>
      </c>
      <c r="O116">
        <v>0.396091314478136</v>
      </c>
      <c r="P116">
        <v>1.3466410000000001E-7</v>
      </c>
      <c r="Q116" s="1">
        <v>9.867872E-9</v>
      </c>
      <c r="R116">
        <v>1</v>
      </c>
      <c r="S116">
        <f>ABS(M116)</f>
        <v>0.14724424878179401</v>
      </c>
      <c r="T116">
        <f t="shared" ref="T116" si="113">ABS(N116)</f>
        <v>0.367705671163368</v>
      </c>
      <c r="U116">
        <f t="shared" ref="U116" si="114">ABS(O116)</f>
        <v>0.396091314478136</v>
      </c>
      <c r="W116" s="1">
        <v>-0.40361295054312302</v>
      </c>
      <c r="X116" s="1">
        <v>-0.16197389167602899</v>
      </c>
      <c r="Y116">
        <v>15000</v>
      </c>
      <c r="Z116">
        <v>16</v>
      </c>
      <c r="AA116">
        <v>1</v>
      </c>
      <c r="AB116">
        <v>1</v>
      </c>
      <c r="AC116">
        <v>1</v>
      </c>
      <c r="AD116">
        <v>0.01</v>
      </c>
      <c r="AE116">
        <v>16</v>
      </c>
      <c r="AF116">
        <v>0</v>
      </c>
      <c r="AG116">
        <v>7.25</v>
      </c>
      <c r="AH116">
        <v>277.60000000000002</v>
      </c>
      <c r="AI116" t="s">
        <v>170</v>
      </c>
      <c r="AJ116">
        <v>7.25</v>
      </c>
      <c r="AK116" t="s">
        <v>168</v>
      </c>
    </row>
    <row r="117" spans="1:37" hidden="1" x14ac:dyDescent="0.3">
      <c r="A117">
        <v>7.25</v>
      </c>
      <c r="B117">
        <v>45</v>
      </c>
      <c r="C117">
        <v>1</v>
      </c>
      <c r="D117">
        <v>0.1</v>
      </c>
      <c r="E117" t="s">
        <v>28</v>
      </c>
      <c r="F117">
        <v>0</v>
      </c>
      <c r="I117" s="5"/>
      <c r="J117" s="6"/>
      <c r="K117" s="6"/>
      <c r="L117" s="7"/>
      <c r="M117">
        <v>-12541.8351143443</v>
      </c>
      <c r="N117">
        <v>-17172.648798914499</v>
      </c>
      <c r="O117">
        <v>21264.935805364199</v>
      </c>
      <c r="P117">
        <v>1.6322460000000001</v>
      </c>
      <c r="Q117" s="1">
        <v>6.7365820000000001E-4</v>
      </c>
      <c r="R117">
        <v>0.99959299999999995</v>
      </c>
      <c r="W117" s="1">
        <v>-0.40361295054312302</v>
      </c>
      <c r="X117" s="1">
        <v>-0.16197389167602899</v>
      </c>
      <c r="Y117">
        <v>9000</v>
      </c>
      <c r="Z117">
        <v>16</v>
      </c>
      <c r="AA117">
        <v>1</v>
      </c>
      <c r="AB117">
        <v>1</v>
      </c>
      <c r="AC117">
        <v>1</v>
      </c>
      <c r="AD117">
        <v>0.01</v>
      </c>
      <c r="AE117">
        <v>16</v>
      </c>
      <c r="AF117">
        <v>0</v>
      </c>
      <c r="AG117">
        <v>7.25</v>
      </c>
      <c r="AH117">
        <v>165.8</v>
      </c>
      <c r="AI117" t="s">
        <v>171</v>
      </c>
      <c r="AJ117">
        <v>7.25</v>
      </c>
      <c r="AK117" t="s">
        <v>168</v>
      </c>
    </row>
    <row r="118" spans="1:37" x14ac:dyDescent="0.3">
      <c r="A118">
        <v>7.5</v>
      </c>
      <c r="B118">
        <v>42</v>
      </c>
      <c r="C118">
        <v>0</v>
      </c>
      <c r="D118">
        <v>0</v>
      </c>
      <c r="E118" t="s">
        <v>14</v>
      </c>
      <c r="G118" s="1">
        <f>J118-S118</f>
        <v>-0.29972613537151099</v>
      </c>
      <c r="H118" s="1">
        <f>K118+T118</f>
        <v>-0.17730048116439101</v>
      </c>
      <c r="I118" s="5">
        <v>7.5</v>
      </c>
      <c r="J118" s="6">
        <v>-2.3062413809999999E-3</v>
      </c>
      <c r="K118" s="6">
        <v>-0.434894972012</v>
      </c>
      <c r="L118" s="7">
        <v>0.43490108695099999</v>
      </c>
      <c r="M118">
        <v>-0.297419893990511</v>
      </c>
      <c r="N118">
        <v>0.25759449084760899</v>
      </c>
      <c r="O118">
        <v>0.39346348630637301</v>
      </c>
      <c r="P118">
        <v>1.4272420000000001E-7</v>
      </c>
      <c r="Q118" s="1">
        <v>1.135989E-8</v>
      </c>
      <c r="R118">
        <v>1</v>
      </c>
      <c r="S118">
        <f>ABS(M118)</f>
        <v>0.297419893990511</v>
      </c>
      <c r="T118">
        <f t="shared" ref="T118" si="115">ABS(N118)</f>
        <v>0.25759449084760899</v>
      </c>
      <c r="U118">
        <f t="shared" ref="U118" si="116">ABS(O118)</f>
        <v>0.39346348630637301</v>
      </c>
      <c r="W118" s="1">
        <v>-2.3062413813719701E-3</v>
      </c>
      <c r="X118" s="1">
        <v>-0.43489497201220201</v>
      </c>
      <c r="Y118">
        <v>15000</v>
      </c>
      <c r="Z118">
        <v>16</v>
      </c>
      <c r="AA118">
        <v>1</v>
      </c>
      <c r="AB118">
        <v>1</v>
      </c>
      <c r="AC118">
        <v>1</v>
      </c>
      <c r="AD118">
        <v>0.01</v>
      </c>
      <c r="AE118">
        <v>16</v>
      </c>
      <c r="AF118">
        <v>0</v>
      </c>
      <c r="AG118">
        <v>7.5</v>
      </c>
      <c r="AH118">
        <v>277.39999999999998</v>
      </c>
      <c r="AI118" t="s">
        <v>172</v>
      </c>
      <c r="AJ118">
        <v>7.5</v>
      </c>
      <c r="AK118" t="s">
        <v>173</v>
      </c>
    </row>
    <row r="119" spans="1:37" hidden="1" x14ac:dyDescent="0.3">
      <c r="A119">
        <v>7.5</v>
      </c>
      <c r="B119">
        <v>42</v>
      </c>
      <c r="C119">
        <v>1</v>
      </c>
      <c r="D119">
        <v>0.1</v>
      </c>
      <c r="E119" t="s">
        <v>28</v>
      </c>
      <c r="F119">
        <v>0</v>
      </c>
      <c r="I119" s="5"/>
      <c r="J119" s="6"/>
      <c r="K119" s="6"/>
      <c r="L119" s="7"/>
      <c r="M119">
        <v>7.0887640790236901</v>
      </c>
      <c r="N119">
        <v>-53.132823190074099</v>
      </c>
      <c r="O119">
        <v>53.6036143960063</v>
      </c>
      <c r="P119">
        <v>3.6917009999999999E-3</v>
      </c>
      <c r="Q119" s="1">
        <v>1.0932649999999999E-3</v>
      </c>
      <c r="R119">
        <v>0.99961999999999995</v>
      </c>
      <c r="W119" s="1">
        <v>-2.3062413813719701E-3</v>
      </c>
      <c r="X119" s="1">
        <v>-0.43489497201220201</v>
      </c>
      <c r="Y119">
        <v>9000</v>
      </c>
      <c r="Z119">
        <v>16</v>
      </c>
      <c r="AA119">
        <v>1</v>
      </c>
      <c r="AB119">
        <v>1</v>
      </c>
      <c r="AC119">
        <v>1</v>
      </c>
      <c r="AD119">
        <v>0.01</v>
      </c>
      <c r="AE119">
        <v>16</v>
      </c>
      <c r="AF119">
        <v>0</v>
      </c>
      <c r="AG119">
        <v>7.5</v>
      </c>
      <c r="AH119">
        <v>166.3</v>
      </c>
      <c r="AI119" t="s">
        <v>174</v>
      </c>
      <c r="AJ119">
        <v>7.5</v>
      </c>
      <c r="AK119" t="s">
        <v>173</v>
      </c>
    </row>
    <row r="120" spans="1:37" x14ac:dyDescent="0.3">
      <c r="A120">
        <v>7.5</v>
      </c>
      <c r="B120">
        <v>45</v>
      </c>
      <c r="C120">
        <v>0</v>
      </c>
      <c r="D120">
        <v>0</v>
      </c>
      <c r="E120" t="s">
        <v>14</v>
      </c>
      <c r="G120" s="1">
        <f>J120-S120</f>
        <v>-0.30000656647757201</v>
      </c>
      <c r="H120" s="1">
        <f>K120+T120</f>
        <v>-0.17708276619760399</v>
      </c>
      <c r="I120" s="5">
        <v>7.5</v>
      </c>
      <c r="J120" s="6">
        <v>-2.3062413809999999E-3</v>
      </c>
      <c r="K120" s="6">
        <v>-0.434894972012</v>
      </c>
      <c r="L120" s="7">
        <v>0.43490108695099999</v>
      </c>
      <c r="M120">
        <v>0.29770032509657202</v>
      </c>
      <c r="N120">
        <v>-0.25781220581439601</v>
      </c>
      <c r="O120">
        <v>0.39381799988000699</v>
      </c>
      <c r="P120">
        <v>1.3906049999999999E-7</v>
      </c>
      <c r="Q120" s="1">
        <v>1.051252E-8</v>
      </c>
      <c r="R120">
        <v>1</v>
      </c>
      <c r="S120">
        <f>ABS(M120)</f>
        <v>0.29770032509657202</v>
      </c>
      <c r="T120">
        <f t="shared" ref="T120" si="117">ABS(N120)</f>
        <v>0.25781220581439601</v>
      </c>
      <c r="U120">
        <f t="shared" ref="U120" si="118">ABS(O120)</f>
        <v>0.39381799988000699</v>
      </c>
      <c r="W120" s="1">
        <v>-2.3062413813719701E-3</v>
      </c>
      <c r="X120" s="1">
        <v>-0.43489497201220201</v>
      </c>
      <c r="Y120">
        <v>15000</v>
      </c>
      <c r="Z120">
        <v>16</v>
      </c>
      <c r="AA120">
        <v>1</v>
      </c>
      <c r="AB120">
        <v>1</v>
      </c>
      <c r="AC120">
        <v>1</v>
      </c>
      <c r="AD120">
        <v>0.01</v>
      </c>
      <c r="AE120">
        <v>16</v>
      </c>
      <c r="AF120">
        <v>0</v>
      </c>
      <c r="AG120">
        <v>7.5</v>
      </c>
      <c r="AH120">
        <v>277.7</v>
      </c>
      <c r="AI120" t="s">
        <v>175</v>
      </c>
      <c r="AJ120">
        <v>7.5</v>
      </c>
      <c r="AK120" t="s">
        <v>173</v>
      </c>
    </row>
    <row r="121" spans="1:37" hidden="1" x14ac:dyDescent="0.3">
      <c r="A121">
        <v>7.5</v>
      </c>
      <c r="B121">
        <v>45</v>
      </c>
      <c r="C121">
        <v>1</v>
      </c>
      <c r="D121">
        <v>0.1</v>
      </c>
      <c r="E121" t="s">
        <v>28</v>
      </c>
      <c r="F121">
        <v>0</v>
      </c>
      <c r="I121" s="5"/>
      <c r="J121" s="6"/>
      <c r="K121" s="6"/>
      <c r="L121" s="7"/>
      <c r="M121">
        <v>1278.1190724584801</v>
      </c>
      <c r="N121">
        <v>-752.42904052719405</v>
      </c>
      <c r="O121">
        <v>1483.1513154128199</v>
      </c>
      <c r="P121">
        <v>0.10155939999999999</v>
      </c>
      <c r="Q121" s="1">
        <v>5.6943719999999996E-4</v>
      </c>
      <c r="R121">
        <v>0.99947399999999997</v>
      </c>
      <c r="W121" s="1">
        <v>-2.3062413813719701E-3</v>
      </c>
      <c r="X121" s="1">
        <v>-0.43489497201220201</v>
      </c>
      <c r="Y121">
        <v>9000</v>
      </c>
      <c r="Z121">
        <v>16</v>
      </c>
      <c r="AA121">
        <v>1</v>
      </c>
      <c r="AB121">
        <v>1</v>
      </c>
      <c r="AC121">
        <v>1</v>
      </c>
      <c r="AD121">
        <v>0.01</v>
      </c>
      <c r="AE121">
        <v>16</v>
      </c>
      <c r="AF121">
        <v>0</v>
      </c>
      <c r="AG121">
        <v>7.5</v>
      </c>
      <c r="AH121">
        <v>167.5</v>
      </c>
      <c r="AI121" t="s">
        <v>176</v>
      </c>
      <c r="AJ121">
        <v>7.5</v>
      </c>
      <c r="AK121" t="s">
        <v>173</v>
      </c>
    </row>
    <row r="122" spans="1:37" x14ac:dyDescent="0.3">
      <c r="A122">
        <v>7.75</v>
      </c>
      <c r="B122">
        <v>42</v>
      </c>
      <c r="C122">
        <v>0</v>
      </c>
      <c r="D122">
        <v>0</v>
      </c>
      <c r="E122" t="s">
        <v>14</v>
      </c>
      <c r="G122" s="1">
        <f>J122-S122</f>
        <v>7.9452627813141996E-2</v>
      </c>
      <c r="H122" s="1">
        <f>K122+T122</f>
        <v>6.0435936769449E-2</v>
      </c>
      <c r="I122" s="5">
        <v>7.75</v>
      </c>
      <c r="J122" s="6">
        <v>0.40821861560099998</v>
      </c>
      <c r="K122" s="6">
        <v>-0.14998839057499999</v>
      </c>
      <c r="L122" s="7">
        <v>0.43490108695099999</v>
      </c>
      <c r="M122">
        <v>-0.32876598778785798</v>
      </c>
      <c r="N122">
        <v>-0.21042432734444899</v>
      </c>
      <c r="O122">
        <v>0.39034020067691</v>
      </c>
      <c r="P122">
        <v>3.8235129999999998E-7</v>
      </c>
      <c r="Q122" s="1">
        <v>1.123028E-7</v>
      </c>
      <c r="R122">
        <v>1</v>
      </c>
      <c r="S122">
        <f>ABS(M122)</f>
        <v>0.32876598778785798</v>
      </c>
      <c r="T122">
        <f t="shared" ref="T122" si="119">ABS(N122)</f>
        <v>0.21042432734444899</v>
      </c>
      <c r="U122">
        <f t="shared" ref="U122" si="120">ABS(O122)</f>
        <v>0.39034020067691</v>
      </c>
      <c r="W122" s="1">
        <v>0.40821861560144801</v>
      </c>
      <c r="X122" s="1">
        <v>-0.14998839057487401</v>
      </c>
      <c r="Y122">
        <v>15000</v>
      </c>
      <c r="Z122">
        <v>16</v>
      </c>
      <c r="AA122">
        <v>1</v>
      </c>
      <c r="AB122">
        <v>1</v>
      </c>
      <c r="AC122">
        <v>1</v>
      </c>
      <c r="AD122">
        <v>0.01</v>
      </c>
      <c r="AE122">
        <v>16</v>
      </c>
      <c r="AF122">
        <v>0</v>
      </c>
      <c r="AG122">
        <v>7.75</v>
      </c>
      <c r="AH122">
        <v>274.8</v>
      </c>
      <c r="AI122" t="s">
        <v>177</v>
      </c>
      <c r="AJ122">
        <v>7.75</v>
      </c>
      <c r="AK122" t="s">
        <v>178</v>
      </c>
    </row>
    <row r="123" spans="1:37" hidden="1" x14ac:dyDescent="0.3">
      <c r="A123">
        <v>7.75</v>
      </c>
      <c r="B123">
        <v>42</v>
      </c>
      <c r="C123">
        <v>1</v>
      </c>
      <c r="D123">
        <v>0.1</v>
      </c>
      <c r="E123" t="s">
        <v>28</v>
      </c>
      <c r="F123">
        <v>0</v>
      </c>
      <c r="I123" s="5"/>
      <c r="J123" s="6"/>
      <c r="K123" s="6"/>
      <c r="L123" s="7"/>
      <c r="M123">
        <v>-0.44806906676770802</v>
      </c>
      <c r="N123">
        <v>-0.44992946795558703</v>
      </c>
      <c r="O123">
        <v>0.63498221607292504</v>
      </c>
      <c r="P123">
        <v>2.2305520000000001E-4</v>
      </c>
      <c r="Q123" s="1">
        <v>7.07291E-3</v>
      </c>
      <c r="R123">
        <v>0.99211499999999997</v>
      </c>
      <c r="W123" s="1">
        <v>0.40821861560144801</v>
      </c>
      <c r="X123" s="1">
        <v>-0.14998839057487401</v>
      </c>
      <c r="Y123">
        <v>9000</v>
      </c>
      <c r="Z123">
        <v>16</v>
      </c>
      <c r="AA123">
        <v>1</v>
      </c>
      <c r="AB123">
        <v>1</v>
      </c>
      <c r="AC123">
        <v>1</v>
      </c>
      <c r="AD123">
        <v>0.01</v>
      </c>
      <c r="AE123">
        <v>16</v>
      </c>
      <c r="AF123">
        <v>0</v>
      </c>
      <c r="AG123">
        <v>7.75</v>
      </c>
      <c r="AH123">
        <v>165.8</v>
      </c>
      <c r="AI123" t="s">
        <v>179</v>
      </c>
      <c r="AJ123">
        <v>7.75</v>
      </c>
      <c r="AK123" t="s">
        <v>178</v>
      </c>
    </row>
    <row r="124" spans="1:37" x14ac:dyDescent="0.3">
      <c r="A124">
        <v>7.75</v>
      </c>
      <c r="B124">
        <v>45</v>
      </c>
      <c r="C124">
        <v>0</v>
      </c>
      <c r="D124">
        <v>0</v>
      </c>
      <c r="E124" t="s">
        <v>14</v>
      </c>
      <c r="G124" s="1">
        <f>J124-S124</f>
        <v>7.8776688490009961E-2</v>
      </c>
      <c r="H124" s="1">
        <f>K124+T124</f>
        <v>6.0773645397293019E-2</v>
      </c>
      <c r="I124" s="5">
        <v>7.75</v>
      </c>
      <c r="J124" s="6">
        <v>0.40821861560099998</v>
      </c>
      <c r="K124" s="6">
        <v>-0.14998839057499999</v>
      </c>
      <c r="L124" s="7">
        <v>0.43490108695099999</v>
      </c>
      <c r="M124">
        <v>-0.32944192711099002</v>
      </c>
      <c r="N124">
        <v>-0.21076203597229301</v>
      </c>
      <c r="O124">
        <v>0.39109157386191401</v>
      </c>
      <c r="P124">
        <v>1.3537830000000001E-7</v>
      </c>
      <c r="Q124" s="1">
        <v>2.1625619999999999E-8</v>
      </c>
      <c r="R124">
        <v>1</v>
      </c>
      <c r="S124">
        <f>ABS(M124)</f>
        <v>0.32944192711099002</v>
      </c>
      <c r="T124">
        <f t="shared" ref="T124" si="121">ABS(N124)</f>
        <v>0.21076203597229301</v>
      </c>
      <c r="U124">
        <f t="shared" ref="U124" si="122">ABS(O124)</f>
        <v>0.39109157386191401</v>
      </c>
      <c r="W124" s="1">
        <v>0.40821861560144801</v>
      </c>
      <c r="X124" s="1">
        <v>-0.14998839057487401</v>
      </c>
      <c r="Y124">
        <v>15000</v>
      </c>
      <c r="Z124">
        <v>16</v>
      </c>
      <c r="AA124">
        <v>1</v>
      </c>
      <c r="AB124">
        <v>1</v>
      </c>
      <c r="AC124">
        <v>1</v>
      </c>
      <c r="AD124">
        <v>0.01</v>
      </c>
      <c r="AE124">
        <v>16</v>
      </c>
      <c r="AF124">
        <v>0</v>
      </c>
      <c r="AG124">
        <v>7.75</v>
      </c>
      <c r="AH124">
        <v>276.8</v>
      </c>
      <c r="AI124" t="s">
        <v>180</v>
      </c>
      <c r="AJ124">
        <v>7.75</v>
      </c>
      <c r="AK124" t="s">
        <v>178</v>
      </c>
    </row>
    <row r="125" spans="1:37" hidden="1" x14ac:dyDescent="0.3">
      <c r="A125">
        <v>7.75</v>
      </c>
      <c r="B125">
        <v>45</v>
      </c>
      <c r="C125">
        <v>1</v>
      </c>
      <c r="D125">
        <v>0.1</v>
      </c>
      <c r="E125" t="s">
        <v>28</v>
      </c>
      <c r="F125">
        <v>0</v>
      </c>
      <c r="I125" s="5"/>
      <c r="J125" s="6"/>
      <c r="K125" s="6"/>
      <c r="L125" s="7"/>
      <c r="M125">
        <v>323.81787358260101</v>
      </c>
      <c r="N125">
        <v>-521.53809288843001</v>
      </c>
      <c r="O125">
        <v>613.88923885767701</v>
      </c>
      <c r="P125">
        <v>0.1582991</v>
      </c>
      <c r="Q125" s="1">
        <v>6.4572800000000001E-3</v>
      </c>
      <c r="R125">
        <v>0.991981</v>
      </c>
      <c r="W125" s="1">
        <v>0.40821861560144801</v>
      </c>
      <c r="X125" s="1">
        <v>-0.14998839057487401</v>
      </c>
      <c r="Y125">
        <v>9000</v>
      </c>
      <c r="Z125">
        <v>16</v>
      </c>
      <c r="AA125">
        <v>1</v>
      </c>
      <c r="AB125">
        <v>1</v>
      </c>
      <c r="AC125">
        <v>1</v>
      </c>
      <c r="AD125">
        <v>0.01</v>
      </c>
      <c r="AE125">
        <v>16</v>
      </c>
      <c r="AF125">
        <v>0</v>
      </c>
      <c r="AG125">
        <v>7.75</v>
      </c>
      <c r="AH125">
        <v>169.1</v>
      </c>
      <c r="AI125" t="s">
        <v>181</v>
      </c>
      <c r="AJ125">
        <v>7.75</v>
      </c>
      <c r="AK125" t="s">
        <v>178</v>
      </c>
    </row>
    <row r="126" spans="1:37" x14ac:dyDescent="0.3">
      <c r="A126">
        <v>8</v>
      </c>
      <c r="B126">
        <v>42</v>
      </c>
      <c r="C126">
        <v>0</v>
      </c>
      <c r="D126">
        <v>0</v>
      </c>
      <c r="E126" t="s">
        <v>14</v>
      </c>
      <c r="G126" s="1">
        <f>J126-S126</f>
        <v>0.14487655288262202</v>
      </c>
      <c r="H126" s="1">
        <f>K126+T126</f>
        <v>0.71175846224111905</v>
      </c>
      <c r="I126" s="5">
        <v>8</v>
      </c>
      <c r="J126" s="6">
        <v>0.26622813818300001</v>
      </c>
      <c r="K126" s="6">
        <v>0.34389174731400002</v>
      </c>
      <c r="L126" s="7">
        <v>0.43490108695099999</v>
      </c>
      <c r="M126">
        <v>-0.121351585300378</v>
      </c>
      <c r="N126">
        <v>0.36786671492711898</v>
      </c>
      <c r="O126">
        <v>0.387365624708989</v>
      </c>
      <c r="P126">
        <v>2.9258030000000002E-7</v>
      </c>
      <c r="Q126" s="1">
        <v>6.1508659999999996E-8</v>
      </c>
      <c r="R126">
        <v>1</v>
      </c>
      <c r="S126">
        <f>ABS(M126)</f>
        <v>0.121351585300378</v>
      </c>
      <c r="T126">
        <f t="shared" ref="T126" si="123">ABS(N126)</f>
        <v>0.36786671492711898</v>
      </c>
      <c r="U126">
        <f t="shared" ref="U126" si="124">ABS(O126)</f>
        <v>0.387365624708989</v>
      </c>
      <c r="W126" s="1">
        <v>0.26622813818270302</v>
      </c>
      <c r="X126" s="1">
        <v>0.34389174731385302</v>
      </c>
      <c r="Y126">
        <v>15000</v>
      </c>
      <c r="Z126">
        <v>16</v>
      </c>
      <c r="AA126">
        <v>1</v>
      </c>
      <c r="AB126">
        <v>1</v>
      </c>
      <c r="AC126">
        <v>1</v>
      </c>
      <c r="AD126">
        <v>0.01</v>
      </c>
      <c r="AE126">
        <v>16</v>
      </c>
      <c r="AF126">
        <v>0</v>
      </c>
      <c r="AG126">
        <v>8</v>
      </c>
      <c r="AH126">
        <v>275.8</v>
      </c>
      <c r="AI126" t="s">
        <v>182</v>
      </c>
      <c r="AJ126">
        <v>8</v>
      </c>
      <c r="AK126" t="s">
        <v>183</v>
      </c>
    </row>
    <row r="127" spans="1:37" hidden="1" x14ac:dyDescent="0.3">
      <c r="A127">
        <v>8</v>
      </c>
      <c r="B127">
        <v>42</v>
      </c>
      <c r="C127">
        <v>1</v>
      </c>
      <c r="D127">
        <v>0.1</v>
      </c>
      <c r="E127" t="s">
        <v>28</v>
      </c>
      <c r="F127">
        <v>0</v>
      </c>
      <c r="I127" s="5"/>
      <c r="J127" s="6"/>
      <c r="K127" s="6"/>
      <c r="L127" s="7"/>
      <c r="M127">
        <v>-4245.2326466193599</v>
      </c>
      <c r="N127">
        <v>5572.5935979448004</v>
      </c>
      <c r="O127">
        <v>7005.4121671589201</v>
      </c>
      <c r="P127">
        <v>0.44096360000000001</v>
      </c>
      <c r="Q127" s="1">
        <v>2.373946E-4</v>
      </c>
      <c r="R127">
        <v>0.99963900000000006</v>
      </c>
      <c r="W127" s="1">
        <v>0.26622813818270302</v>
      </c>
      <c r="X127" s="1">
        <v>0.34389174731385302</v>
      </c>
      <c r="Y127">
        <v>9000</v>
      </c>
      <c r="Z127">
        <v>16</v>
      </c>
      <c r="AA127">
        <v>1</v>
      </c>
      <c r="AB127">
        <v>1</v>
      </c>
      <c r="AC127">
        <v>1</v>
      </c>
      <c r="AD127">
        <v>0.01</v>
      </c>
      <c r="AE127">
        <v>16</v>
      </c>
      <c r="AF127">
        <v>0</v>
      </c>
      <c r="AG127">
        <v>8</v>
      </c>
      <c r="AH127">
        <v>166.9</v>
      </c>
      <c r="AI127" t="s">
        <v>184</v>
      </c>
      <c r="AJ127">
        <v>8</v>
      </c>
      <c r="AK127" t="s">
        <v>183</v>
      </c>
    </row>
    <row r="128" spans="1:37" x14ac:dyDescent="0.3">
      <c r="A128">
        <v>8</v>
      </c>
      <c r="B128">
        <v>45</v>
      </c>
      <c r="C128">
        <v>0</v>
      </c>
      <c r="D128">
        <v>0</v>
      </c>
      <c r="E128" t="s">
        <v>14</v>
      </c>
      <c r="G128" s="1">
        <f>J128-S128</f>
        <v>0.14271198387616302</v>
      </c>
      <c r="H128" s="1">
        <f>K128+T128</f>
        <v>0.71200982124535206</v>
      </c>
      <c r="I128" s="5">
        <v>8</v>
      </c>
      <c r="J128" s="6">
        <v>0.26622813818300001</v>
      </c>
      <c r="K128" s="6">
        <v>0.34389174731400002</v>
      </c>
      <c r="L128" s="7">
        <v>0.43490108695099999</v>
      </c>
      <c r="M128">
        <v>0.123516154306837</v>
      </c>
      <c r="N128">
        <v>-0.36811807393135199</v>
      </c>
      <c r="O128">
        <v>0.38828746661420699</v>
      </c>
      <c r="P128">
        <v>1.064913E-7</v>
      </c>
      <c r="Q128" s="1">
        <v>5.8793590000000004E-9</v>
      </c>
      <c r="R128">
        <v>1</v>
      </c>
      <c r="S128">
        <f>ABS(M128)</f>
        <v>0.123516154306837</v>
      </c>
      <c r="T128">
        <f t="shared" ref="T128" si="125">ABS(N128)</f>
        <v>0.36811807393135199</v>
      </c>
      <c r="U128">
        <f t="shared" ref="U128" si="126">ABS(O128)</f>
        <v>0.38828746661420699</v>
      </c>
      <c r="W128" s="1">
        <v>0.26622813818270302</v>
      </c>
      <c r="X128" s="1">
        <v>0.34389174731385302</v>
      </c>
      <c r="Y128">
        <v>15000</v>
      </c>
      <c r="Z128">
        <v>16</v>
      </c>
      <c r="AA128">
        <v>1</v>
      </c>
      <c r="AB128">
        <v>1</v>
      </c>
      <c r="AC128">
        <v>1</v>
      </c>
      <c r="AD128">
        <v>0.01</v>
      </c>
      <c r="AE128">
        <v>16</v>
      </c>
      <c r="AF128">
        <v>0</v>
      </c>
      <c r="AG128">
        <v>8</v>
      </c>
      <c r="AH128">
        <v>278.3</v>
      </c>
      <c r="AI128" t="s">
        <v>185</v>
      </c>
      <c r="AJ128">
        <v>8</v>
      </c>
      <c r="AK128" t="s">
        <v>183</v>
      </c>
    </row>
    <row r="129" spans="1:37" hidden="1" x14ac:dyDescent="0.3">
      <c r="A129">
        <v>8</v>
      </c>
      <c r="B129">
        <v>45</v>
      </c>
      <c r="C129">
        <v>1</v>
      </c>
      <c r="D129">
        <v>0.1</v>
      </c>
      <c r="E129" t="s">
        <v>28</v>
      </c>
      <c r="F129">
        <v>0</v>
      </c>
      <c r="I129" s="5"/>
      <c r="J129" s="6"/>
      <c r="K129" s="6"/>
      <c r="L129" s="7"/>
      <c r="M129">
        <v>803.34575563891997</v>
      </c>
      <c r="N129">
        <v>2752.1520865309599</v>
      </c>
      <c r="O129">
        <v>2867.00287940207</v>
      </c>
      <c r="P129">
        <v>0.15872900000000001</v>
      </c>
      <c r="Q129" s="1">
        <v>1.4410869999999999E-4</v>
      </c>
      <c r="R129">
        <v>0.999386</v>
      </c>
      <c r="W129" s="1">
        <v>0.26622813818270302</v>
      </c>
      <c r="X129" s="1">
        <v>0.34389174731385302</v>
      </c>
      <c r="Y129">
        <v>9000</v>
      </c>
      <c r="Z129">
        <v>16</v>
      </c>
      <c r="AA129">
        <v>1</v>
      </c>
      <c r="AB129">
        <v>1</v>
      </c>
      <c r="AC129">
        <v>1</v>
      </c>
      <c r="AD129">
        <v>0.01</v>
      </c>
      <c r="AE129">
        <v>16</v>
      </c>
      <c r="AF129">
        <v>0</v>
      </c>
      <c r="AG129">
        <v>8</v>
      </c>
      <c r="AH129">
        <v>167.3</v>
      </c>
      <c r="AI129" t="s">
        <v>186</v>
      </c>
      <c r="AJ129">
        <v>8</v>
      </c>
      <c r="AK129" t="s">
        <v>183</v>
      </c>
    </row>
    <row r="130" spans="1:37" x14ac:dyDescent="0.3">
      <c r="A130">
        <v>8.25</v>
      </c>
      <c r="B130">
        <v>42</v>
      </c>
      <c r="C130">
        <v>0</v>
      </c>
      <c r="D130">
        <v>0</v>
      </c>
      <c r="E130" t="s">
        <v>14</v>
      </c>
      <c r="G130" s="1">
        <f>J130-S130</f>
        <v>-0.64464764617437509</v>
      </c>
      <c r="H130" s="1">
        <f>K130+T130</f>
        <v>0.39326035810464721</v>
      </c>
      <c r="I130" s="5">
        <v>8.25</v>
      </c>
      <c r="J130" s="6">
        <v>-0.26162305354900001</v>
      </c>
      <c r="K130" s="6">
        <v>0.34740802132800003</v>
      </c>
      <c r="L130" s="7">
        <v>0.43490108695099999</v>
      </c>
      <c r="M130">
        <v>-0.38302459262537503</v>
      </c>
      <c r="N130">
        <v>-4.5852336776647198E-2</v>
      </c>
      <c r="O130">
        <v>0.385759349003642</v>
      </c>
      <c r="P130">
        <v>1.517069E-7</v>
      </c>
      <c r="Q130" s="1">
        <v>1.7572700000000002E-8</v>
      </c>
      <c r="R130">
        <v>1</v>
      </c>
      <c r="S130">
        <f>ABS(M130)</f>
        <v>0.38302459262537503</v>
      </c>
      <c r="T130">
        <f t="shared" ref="T130" si="127">ABS(N130)</f>
        <v>4.5852336776647198E-2</v>
      </c>
      <c r="U130">
        <f t="shared" ref="U130" si="128">ABS(O130)</f>
        <v>0.385759349003642</v>
      </c>
      <c r="W130" s="1">
        <v>-0.26162305354856003</v>
      </c>
      <c r="X130" s="1">
        <v>0.34740802132755999</v>
      </c>
      <c r="Y130">
        <v>15000</v>
      </c>
      <c r="Z130">
        <v>16</v>
      </c>
      <c r="AA130">
        <v>1</v>
      </c>
      <c r="AB130">
        <v>1</v>
      </c>
      <c r="AC130">
        <v>1</v>
      </c>
      <c r="AD130">
        <v>0.01</v>
      </c>
      <c r="AE130">
        <v>16</v>
      </c>
      <c r="AF130">
        <v>0</v>
      </c>
      <c r="AG130">
        <v>8.25</v>
      </c>
      <c r="AH130">
        <v>275.5</v>
      </c>
      <c r="AI130" t="s">
        <v>187</v>
      </c>
      <c r="AJ130">
        <v>8.25</v>
      </c>
      <c r="AK130" t="s">
        <v>188</v>
      </c>
    </row>
    <row r="131" spans="1:37" hidden="1" x14ac:dyDescent="0.3">
      <c r="A131">
        <v>8.25</v>
      </c>
      <c r="B131">
        <v>42</v>
      </c>
      <c r="C131">
        <v>1</v>
      </c>
      <c r="D131">
        <v>0.1</v>
      </c>
      <c r="E131" t="s">
        <v>28</v>
      </c>
      <c r="F131">
        <v>0</v>
      </c>
      <c r="I131" s="5"/>
      <c r="J131" s="6"/>
      <c r="K131" s="6"/>
      <c r="L131" s="7"/>
      <c r="M131">
        <v>-284.64902123231599</v>
      </c>
      <c r="N131">
        <v>-320.85226191381201</v>
      </c>
      <c r="O131">
        <v>428.918686074324</v>
      </c>
      <c r="P131">
        <v>1.9964490000000001E-2</v>
      </c>
      <c r="Q131" s="1">
        <v>1.5178070000000001E-4</v>
      </c>
      <c r="R131">
        <v>0.99970400000000004</v>
      </c>
      <c r="W131" s="1">
        <v>-0.26162305354856003</v>
      </c>
      <c r="X131" s="1">
        <v>0.34740802132755999</v>
      </c>
      <c r="Y131">
        <v>9000</v>
      </c>
      <c r="Z131">
        <v>16</v>
      </c>
      <c r="AA131">
        <v>1</v>
      </c>
      <c r="AB131">
        <v>1</v>
      </c>
      <c r="AC131">
        <v>1</v>
      </c>
      <c r="AD131">
        <v>0.01</v>
      </c>
      <c r="AE131">
        <v>16</v>
      </c>
      <c r="AF131">
        <v>0</v>
      </c>
      <c r="AG131">
        <v>8.25</v>
      </c>
      <c r="AH131">
        <v>164.5</v>
      </c>
      <c r="AI131" t="s">
        <v>189</v>
      </c>
      <c r="AJ131">
        <v>8.25</v>
      </c>
      <c r="AK131" t="s">
        <v>188</v>
      </c>
    </row>
    <row r="132" spans="1:37" x14ac:dyDescent="0.3">
      <c r="A132">
        <v>8.25</v>
      </c>
      <c r="B132">
        <v>45</v>
      </c>
      <c r="C132">
        <v>0</v>
      </c>
      <c r="D132">
        <v>0</v>
      </c>
      <c r="E132" t="s">
        <v>14</v>
      </c>
      <c r="G132" s="1">
        <f>J132-S132</f>
        <v>-0.64348770274008604</v>
      </c>
      <c r="H132" s="1">
        <f>K132+T132</f>
        <v>0.39407307716273432</v>
      </c>
      <c r="I132" s="5">
        <v>8.25</v>
      </c>
      <c r="J132" s="6">
        <v>-0.26162305354900001</v>
      </c>
      <c r="K132" s="6">
        <v>0.34740802132800003</v>
      </c>
      <c r="L132" s="7">
        <v>0.43490108695099999</v>
      </c>
      <c r="M132">
        <v>0.38186464919108598</v>
      </c>
      <c r="N132">
        <v>4.6665055834734299E-2</v>
      </c>
      <c r="O132">
        <v>0.38470539083549399</v>
      </c>
      <c r="P132">
        <v>2.35189E-7</v>
      </c>
      <c r="Q132" s="1">
        <v>3.8701890000000003E-8</v>
      </c>
      <c r="R132">
        <v>1</v>
      </c>
      <c r="S132">
        <f>ABS(M132)</f>
        <v>0.38186464919108598</v>
      </c>
      <c r="T132">
        <f t="shared" ref="T132" si="129">ABS(N132)</f>
        <v>4.6665055834734299E-2</v>
      </c>
      <c r="U132">
        <f t="shared" ref="U132" si="130">ABS(O132)</f>
        <v>0.38470539083549399</v>
      </c>
      <c r="W132" s="1">
        <v>-0.26162305354856003</v>
      </c>
      <c r="X132" s="1">
        <v>0.34740802132755999</v>
      </c>
      <c r="Y132">
        <v>15000</v>
      </c>
      <c r="Z132">
        <v>16</v>
      </c>
      <c r="AA132">
        <v>1</v>
      </c>
      <c r="AB132">
        <v>1</v>
      </c>
      <c r="AC132">
        <v>1</v>
      </c>
      <c r="AD132">
        <v>0.01</v>
      </c>
      <c r="AE132">
        <v>16</v>
      </c>
      <c r="AF132">
        <v>0</v>
      </c>
      <c r="AG132">
        <v>8.25</v>
      </c>
      <c r="AH132">
        <v>277.39999999999998</v>
      </c>
      <c r="AI132" t="s">
        <v>190</v>
      </c>
      <c r="AJ132">
        <v>8.25</v>
      </c>
      <c r="AK132" t="s">
        <v>188</v>
      </c>
    </row>
    <row r="133" spans="1:37" hidden="1" x14ac:dyDescent="0.3">
      <c r="A133">
        <v>8.25</v>
      </c>
      <c r="B133">
        <v>45</v>
      </c>
      <c r="C133">
        <v>1</v>
      </c>
      <c r="D133">
        <v>0.1</v>
      </c>
      <c r="E133" t="s">
        <v>28</v>
      </c>
      <c r="F133">
        <v>0</v>
      </c>
      <c r="I133" s="5"/>
      <c r="J133" s="6"/>
      <c r="K133" s="6"/>
      <c r="L133" s="7"/>
      <c r="M133">
        <v>-347.07490971789298</v>
      </c>
      <c r="N133">
        <v>2812.89747900774</v>
      </c>
      <c r="O133">
        <v>2834.2288581488601</v>
      </c>
      <c r="P133">
        <v>0.14767849999999999</v>
      </c>
      <c r="Q133" s="1">
        <v>1.7636759999999999E-4</v>
      </c>
      <c r="R133">
        <v>0.999695</v>
      </c>
      <c r="W133" s="1">
        <v>-0.26162305354856003</v>
      </c>
      <c r="X133" s="1">
        <v>0.34740802132755999</v>
      </c>
      <c r="Y133">
        <v>9000</v>
      </c>
      <c r="Z133">
        <v>16</v>
      </c>
      <c r="AA133">
        <v>1</v>
      </c>
      <c r="AB133">
        <v>1</v>
      </c>
      <c r="AC133">
        <v>1</v>
      </c>
      <c r="AD133">
        <v>0.01</v>
      </c>
      <c r="AE133">
        <v>16</v>
      </c>
      <c r="AF133">
        <v>0</v>
      </c>
      <c r="AG133">
        <v>8.25</v>
      </c>
      <c r="AH133">
        <v>164.1</v>
      </c>
      <c r="AI133" t="s">
        <v>191</v>
      </c>
      <c r="AJ133">
        <v>8.25</v>
      </c>
      <c r="AK133" t="s">
        <v>188</v>
      </c>
    </row>
    <row r="134" spans="1:37" x14ac:dyDescent="0.3">
      <c r="A134">
        <v>8.5</v>
      </c>
      <c r="B134">
        <v>42</v>
      </c>
      <c r="C134">
        <v>0</v>
      </c>
      <c r="D134">
        <v>0</v>
      </c>
      <c r="E134" t="s">
        <v>14</v>
      </c>
      <c r="G134" s="1">
        <f>J134-S134</f>
        <v>-21781.446296485014</v>
      </c>
      <c r="H134" s="1">
        <f>K134+T134</f>
        <v>8553.7869129411229</v>
      </c>
      <c r="I134" s="5">
        <v>8.5</v>
      </c>
      <c r="J134" s="6">
        <v>-0.39727183691399998</v>
      </c>
      <c r="K134" s="6">
        <v>-0.17695774361700001</v>
      </c>
      <c r="L134" s="7">
        <v>0.43490108695099999</v>
      </c>
      <c r="M134">
        <v>-21781.049024648099</v>
      </c>
      <c r="N134">
        <v>8553.96387068474</v>
      </c>
      <c r="O134">
        <v>23400.5212445172</v>
      </c>
      <c r="P134">
        <v>0.29578579999999999</v>
      </c>
      <c r="Q134" s="1">
        <v>1.130525E-5</v>
      </c>
      <c r="R134">
        <v>0.99998200000000004</v>
      </c>
      <c r="S134">
        <f>ABS(M134)</f>
        <v>21781.049024648099</v>
      </c>
      <c r="T134">
        <f t="shared" ref="T134" si="131">ABS(N134)</f>
        <v>8553.96387068474</v>
      </c>
      <c r="U134">
        <f t="shared" ref="U134" si="132">ABS(O134)</f>
        <v>23400.5212445172</v>
      </c>
      <c r="W134" s="1">
        <v>-0.39727183691364698</v>
      </c>
      <c r="X134" s="1">
        <v>-0.176957743617114</v>
      </c>
      <c r="Y134">
        <v>15000</v>
      </c>
      <c r="Z134">
        <v>16</v>
      </c>
      <c r="AA134">
        <v>1</v>
      </c>
      <c r="AB134">
        <v>1</v>
      </c>
      <c r="AC134">
        <v>1</v>
      </c>
      <c r="AD134">
        <v>0.01</v>
      </c>
      <c r="AE134">
        <v>16</v>
      </c>
      <c r="AF134">
        <v>0</v>
      </c>
      <c r="AG134">
        <v>8.5</v>
      </c>
      <c r="AH134">
        <v>274</v>
      </c>
      <c r="AI134" t="s">
        <v>192</v>
      </c>
      <c r="AJ134">
        <v>8.5</v>
      </c>
      <c r="AK134" t="s">
        <v>193</v>
      </c>
    </row>
    <row r="135" spans="1:37" hidden="1" x14ac:dyDescent="0.3">
      <c r="A135">
        <v>8.5</v>
      </c>
      <c r="B135">
        <v>42</v>
      </c>
      <c r="C135">
        <v>1</v>
      </c>
      <c r="D135">
        <v>0.1</v>
      </c>
      <c r="E135" t="s">
        <v>28</v>
      </c>
      <c r="F135">
        <v>0</v>
      </c>
      <c r="I135" s="5"/>
      <c r="J135" s="6"/>
      <c r="K135" s="6"/>
      <c r="L135" s="7"/>
      <c r="M135">
        <v>7903.9584230332002</v>
      </c>
      <c r="N135">
        <v>350918.95274076599</v>
      </c>
      <c r="O135">
        <v>351007.95425663597</v>
      </c>
      <c r="P135">
        <v>19.994479999999999</v>
      </c>
      <c r="Q135" s="1">
        <v>3.0277119999999998E-4</v>
      </c>
      <c r="R135">
        <v>0.99972099999999997</v>
      </c>
      <c r="W135" s="1">
        <v>-0.39727183691364698</v>
      </c>
      <c r="X135" s="1">
        <v>-0.176957743617114</v>
      </c>
      <c r="Y135">
        <v>9000</v>
      </c>
      <c r="Z135">
        <v>16</v>
      </c>
      <c r="AA135">
        <v>1</v>
      </c>
      <c r="AB135">
        <v>1</v>
      </c>
      <c r="AC135">
        <v>1</v>
      </c>
      <c r="AD135">
        <v>0.01</v>
      </c>
      <c r="AE135">
        <v>16</v>
      </c>
      <c r="AF135">
        <v>0</v>
      </c>
      <c r="AG135">
        <v>8.5</v>
      </c>
      <c r="AH135">
        <v>166.8</v>
      </c>
      <c r="AI135" t="s">
        <v>194</v>
      </c>
      <c r="AJ135">
        <v>8.5</v>
      </c>
      <c r="AK135" t="s">
        <v>193</v>
      </c>
    </row>
    <row r="136" spans="1:37" x14ac:dyDescent="0.3">
      <c r="A136">
        <v>8.5</v>
      </c>
      <c r="B136">
        <v>45</v>
      </c>
      <c r="C136">
        <v>0</v>
      </c>
      <c r="D136">
        <v>0</v>
      </c>
      <c r="E136" t="s">
        <v>14</v>
      </c>
      <c r="G136" s="1">
        <f>J136-S136</f>
        <v>-18139.893422326117</v>
      </c>
      <c r="H136" s="1">
        <f>K136+T136</f>
        <v>25376.724080271582</v>
      </c>
      <c r="I136" s="5">
        <v>8.5</v>
      </c>
      <c r="J136" s="6">
        <v>-0.39727183691399998</v>
      </c>
      <c r="K136" s="6">
        <v>-0.17695774361700001</v>
      </c>
      <c r="L136" s="7">
        <v>0.43490108695099999</v>
      </c>
      <c r="M136">
        <v>18139.496150489202</v>
      </c>
      <c r="N136">
        <v>25376.901038015199</v>
      </c>
      <c r="O136">
        <v>31193.4035797127</v>
      </c>
      <c r="P136">
        <v>1.4133979999999999</v>
      </c>
      <c r="Q136" s="1">
        <v>9.7979710000000007E-6</v>
      </c>
      <c r="R136">
        <v>0.99975199999999997</v>
      </c>
      <c r="S136">
        <f>ABS(M136)</f>
        <v>18139.496150489202</v>
      </c>
      <c r="T136">
        <f t="shared" ref="T136" si="133">ABS(N136)</f>
        <v>25376.901038015199</v>
      </c>
      <c r="U136">
        <f t="shared" ref="U136" si="134">ABS(O136)</f>
        <v>31193.4035797127</v>
      </c>
      <c r="W136" s="1">
        <v>-0.39727183691364698</v>
      </c>
      <c r="X136" s="1">
        <v>-0.176957743617114</v>
      </c>
      <c r="Y136">
        <v>15000</v>
      </c>
      <c r="Z136">
        <v>16</v>
      </c>
      <c r="AA136">
        <v>1</v>
      </c>
      <c r="AB136">
        <v>1</v>
      </c>
      <c r="AC136">
        <v>1</v>
      </c>
      <c r="AD136">
        <v>0.01</v>
      </c>
      <c r="AE136">
        <v>16</v>
      </c>
      <c r="AF136">
        <v>0</v>
      </c>
      <c r="AG136">
        <v>8.5</v>
      </c>
      <c r="AH136">
        <v>278.7</v>
      </c>
      <c r="AI136" t="s">
        <v>195</v>
      </c>
      <c r="AJ136">
        <v>8.5</v>
      </c>
      <c r="AK136" t="s">
        <v>193</v>
      </c>
    </row>
    <row r="137" spans="1:37" hidden="1" x14ac:dyDescent="0.3">
      <c r="A137">
        <v>8.5</v>
      </c>
      <c r="B137">
        <v>45</v>
      </c>
      <c r="C137">
        <v>1</v>
      </c>
      <c r="D137">
        <v>0.1</v>
      </c>
      <c r="E137" t="s">
        <v>28</v>
      </c>
      <c r="F137">
        <v>0</v>
      </c>
      <c r="I137" s="5"/>
      <c r="J137" s="6"/>
      <c r="K137" s="6"/>
      <c r="L137" s="7"/>
      <c r="M137">
        <v>3824827.9373234999</v>
      </c>
      <c r="N137">
        <v>-3571287.5590703399</v>
      </c>
      <c r="O137">
        <v>5232915.3996315403</v>
      </c>
      <c r="P137">
        <v>240.233</v>
      </c>
      <c r="Q137" s="1">
        <v>2.369893E-4</v>
      </c>
      <c r="R137">
        <v>0.999807</v>
      </c>
      <c r="W137" s="1">
        <v>-0.39727183691364698</v>
      </c>
      <c r="X137" s="1">
        <v>-0.176957743617114</v>
      </c>
      <c r="Y137">
        <v>9000</v>
      </c>
      <c r="Z137">
        <v>16</v>
      </c>
      <c r="AA137">
        <v>1</v>
      </c>
      <c r="AB137">
        <v>1</v>
      </c>
      <c r="AC137">
        <v>1</v>
      </c>
      <c r="AD137">
        <v>0.01</v>
      </c>
      <c r="AE137">
        <v>16</v>
      </c>
      <c r="AF137">
        <v>0</v>
      </c>
      <c r="AG137">
        <v>8.5</v>
      </c>
      <c r="AH137">
        <v>165.6</v>
      </c>
      <c r="AI137" t="s">
        <v>196</v>
      </c>
      <c r="AJ137">
        <v>8.5</v>
      </c>
      <c r="AK137" t="s">
        <v>193</v>
      </c>
    </row>
    <row r="138" spans="1:37" x14ac:dyDescent="0.3">
      <c r="A138">
        <v>8.75</v>
      </c>
      <c r="B138">
        <v>42</v>
      </c>
      <c r="C138">
        <v>0</v>
      </c>
      <c r="D138">
        <v>0</v>
      </c>
      <c r="E138" t="s">
        <v>14</v>
      </c>
      <c r="G138" s="1">
        <f>J138-S138</f>
        <v>-0.27630659441191197</v>
      </c>
      <c r="H138" s="1">
        <f>K138+T138</f>
        <v>-0.3605541557725333</v>
      </c>
      <c r="I138" s="5">
        <v>8.75</v>
      </c>
      <c r="J138" s="6">
        <v>0.100318080377</v>
      </c>
      <c r="K138" s="6">
        <v>-0.423172823064</v>
      </c>
      <c r="L138" s="7">
        <v>0.43490108695099999</v>
      </c>
      <c r="M138">
        <v>-0.37662467478891198</v>
      </c>
      <c r="N138">
        <v>6.2618667291466701E-2</v>
      </c>
      <c r="O138">
        <v>0.38179476574884202</v>
      </c>
      <c r="P138">
        <v>3.8827130000000003E-7</v>
      </c>
      <c r="Q138" s="1">
        <v>9.943744E-8</v>
      </c>
      <c r="R138">
        <v>1</v>
      </c>
      <c r="S138">
        <f>ABS(M138)</f>
        <v>0.37662467478891198</v>
      </c>
      <c r="T138">
        <f t="shared" ref="T138" si="135">ABS(N138)</f>
        <v>6.2618667291466701E-2</v>
      </c>
      <c r="U138">
        <f t="shared" ref="U138" si="136">ABS(O138)</f>
        <v>0.38179476574884202</v>
      </c>
      <c r="W138" s="1">
        <v>0.100318080377098</v>
      </c>
      <c r="X138" s="1">
        <v>-0.423172823064357</v>
      </c>
      <c r="Y138">
        <v>15000</v>
      </c>
      <c r="Z138">
        <v>16</v>
      </c>
      <c r="AA138">
        <v>1</v>
      </c>
      <c r="AB138">
        <v>1</v>
      </c>
      <c r="AC138">
        <v>1</v>
      </c>
      <c r="AD138">
        <v>0.01</v>
      </c>
      <c r="AE138">
        <v>16</v>
      </c>
      <c r="AF138">
        <v>0</v>
      </c>
      <c r="AG138">
        <v>8.75</v>
      </c>
      <c r="AH138">
        <v>278.39999999999998</v>
      </c>
      <c r="AI138" t="s">
        <v>197</v>
      </c>
      <c r="AJ138">
        <v>8.75</v>
      </c>
      <c r="AK138" t="s">
        <v>198</v>
      </c>
    </row>
    <row r="139" spans="1:37" hidden="1" x14ac:dyDescent="0.3">
      <c r="A139">
        <v>8.75</v>
      </c>
      <c r="B139">
        <v>42</v>
      </c>
      <c r="C139">
        <v>1</v>
      </c>
      <c r="D139">
        <v>0.1</v>
      </c>
      <c r="E139" t="s">
        <v>28</v>
      </c>
      <c r="F139">
        <v>0</v>
      </c>
      <c r="I139" s="5"/>
      <c r="J139" s="6"/>
      <c r="K139" s="6"/>
      <c r="L139" s="7"/>
      <c r="M139">
        <v>1453.1534339244199</v>
      </c>
      <c r="N139">
        <v>89.364403872799897</v>
      </c>
      <c r="O139">
        <v>1455.89865691465</v>
      </c>
      <c r="P139">
        <v>7.0516389999999998E-2</v>
      </c>
      <c r="Q139" s="1">
        <v>3.1294789999999998E-4</v>
      </c>
      <c r="R139">
        <v>0.99980999999999998</v>
      </c>
      <c r="W139" s="1">
        <v>0.100318080377098</v>
      </c>
      <c r="X139" s="1">
        <v>-0.423172823064357</v>
      </c>
      <c r="Y139">
        <v>9000</v>
      </c>
      <c r="Z139">
        <v>16</v>
      </c>
      <c r="AA139">
        <v>1</v>
      </c>
      <c r="AB139">
        <v>1</v>
      </c>
      <c r="AC139">
        <v>1</v>
      </c>
      <c r="AD139">
        <v>0.01</v>
      </c>
      <c r="AE139">
        <v>16</v>
      </c>
      <c r="AF139">
        <v>0</v>
      </c>
      <c r="AG139">
        <v>8.75</v>
      </c>
      <c r="AH139">
        <v>166.4</v>
      </c>
      <c r="AI139" t="s">
        <v>199</v>
      </c>
      <c r="AJ139">
        <v>8.75</v>
      </c>
      <c r="AK139" t="s">
        <v>198</v>
      </c>
    </row>
    <row r="140" spans="1:37" x14ac:dyDescent="0.3">
      <c r="A140">
        <v>8.75</v>
      </c>
      <c r="B140">
        <v>45</v>
      </c>
      <c r="C140">
        <v>0</v>
      </c>
      <c r="D140">
        <v>0</v>
      </c>
      <c r="E140" t="s">
        <v>14</v>
      </c>
      <c r="G140" s="1">
        <f>J140-S140</f>
        <v>-0.27396335419391699</v>
      </c>
      <c r="H140" s="1">
        <f>K140+T140</f>
        <v>-0.36168558239436849</v>
      </c>
      <c r="I140" s="5">
        <v>8.75</v>
      </c>
      <c r="J140" s="6">
        <v>0.100318080377</v>
      </c>
      <c r="K140" s="6">
        <v>-0.423172823064</v>
      </c>
      <c r="L140" s="7">
        <v>0.43490108695099999</v>
      </c>
      <c r="M140">
        <v>0.374281434570917</v>
      </c>
      <c r="N140">
        <v>-6.1487240669631502E-2</v>
      </c>
      <c r="O140">
        <v>0.37929839576463897</v>
      </c>
      <c r="P140">
        <v>2.4387630000000001E-7</v>
      </c>
      <c r="Q140" s="1">
        <v>4.8284910000000003E-8</v>
      </c>
      <c r="R140">
        <v>1</v>
      </c>
      <c r="S140">
        <f>ABS(M140)</f>
        <v>0.374281434570917</v>
      </c>
      <c r="T140">
        <f t="shared" ref="T140" si="137">ABS(N140)</f>
        <v>6.1487240669631502E-2</v>
      </c>
      <c r="U140">
        <f t="shared" ref="U140" si="138">ABS(O140)</f>
        <v>0.37929839576463897</v>
      </c>
      <c r="W140" s="1">
        <v>0.100318080377098</v>
      </c>
      <c r="X140" s="1">
        <v>-0.423172823064357</v>
      </c>
      <c r="Y140">
        <v>15000</v>
      </c>
      <c r="Z140">
        <v>16</v>
      </c>
      <c r="AA140">
        <v>1</v>
      </c>
      <c r="AB140">
        <v>1</v>
      </c>
      <c r="AC140">
        <v>1</v>
      </c>
      <c r="AD140">
        <v>0.01</v>
      </c>
      <c r="AE140">
        <v>16</v>
      </c>
      <c r="AF140">
        <v>0</v>
      </c>
      <c r="AG140">
        <v>8.75</v>
      </c>
      <c r="AH140">
        <v>278.89999999999998</v>
      </c>
      <c r="AI140" t="s">
        <v>200</v>
      </c>
      <c r="AJ140">
        <v>8.75</v>
      </c>
      <c r="AK140" t="s">
        <v>198</v>
      </c>
    </row>
    <row r="141" spans="1:37" hidden="1" x14ac:dyDescent="0.3">
      <c r="A141">
        <v>8.75</v>
      </c>
      <c r="B141">
        <v>45</v>
      </c>
      <c r="C141">
        <v>1</v>
      </c>
      <c r="D141">
        <v>0.1</v>
      </c>
      <c r="E141" t="s">
        <v>28</v>
      </c>
      <c r="F141">
        <v>0</v>
      </c>
      <c r="I141" s="5"/>
      <c r="J141" s="6"/>
      <c r="K141" s="6"/>
      <c r="L141" s="7"/>
      <c r="M141">
        <v>-17253.860708417</v>
      </c>
      <c r="N141">
        <v>-19943.199497311402</v>
      </c>
      <c r="O141">
        <v>26370.948324529701</v>
      </c>
      <c r="P141">
        <v>1.510494</v>
      </c>
      <c r="Q141" s="1">
        <v>3.6124079999999998E-4</v>
      </c>
      <c r="R141">
        <v>0.99964399999999998</v>
      </c>
      <c r="W141" s="1">
        <v>0.100318080377098</v>
      </c>
      <c r="X141" s="1">
        <v>-0.423172823064357</v>
      </c>
      <c r="Y141">
        <v>9000</v>
      </c>
      <c r="Z141">
        <v>16</v>
      </c>
      <c r="AA141">
        <v>1</v>
      </c>
      <c r="AB141">
        <v>1</v>
      </c>
      <c r="AC141">
        <v>1</v>
      </c>
      <c r="AD141">
        <v>0.01</v>
      </c>
      <c r="AE141">
        <v>16</v>
      </c>
      <c r="AF141">
        <v>0</v>
      </c>
      <c r="AG141">
        <v>8.75</v>
      </c>
      <c r="AH141">
        <v>166.2</v>
      </c>
      <c r="AI141" t="s">
        <v>201</v>
      </c>
      <c r="AJ141">
        <v>8.75</v>
      </c>
      <c r="AK141" t="s">
        <v>198</v>
      </c>
    </row>
    <row r="142" spans="1:37" x14ac:dyDescent="0.3">
      <c r="A142">
        <v>9</v>
      </c>
      <c r="B142">
        <v>42</v>
      </c>
      <c r="C142">
        <v>0</v>
      </c>
      <c r="D142">
        <v>0</v>
      </c>
      <c r="E142" t="s">
        <v>14</v>
      </c>
      <c r="G142" s="1">
        <f>J142-S142</f>
        <v>-2.9367554475492801</v>
      </c>
      <c r="H142" s="1">
        <f>K142+T142</f>
        <v>0.346508594205718</v>
      </c>
      <c r="I142" s="5">
        <v>9</v>
      </c>
      <c r="J142" s="6">
        <v>0.43327088787000001</v>
      </c>
      <c r="K142" s="6">
        <v>3.7620382176999999E-2</v>
      </c>
      <c r="L142" s="7">
        <v>0.43490108695099999</v>
      </c>
      <c r="M142">
        <v>3.3700263354192801</v>
      </c>
      <c r="N142">
        <v>0.30888821202871802</v>
      </c>
      <c r="O142">
        <v>3.3841526899579701</v>
      </c>
      <c r="P142">
        <v>1.0705720000000001E-3</v>
      </c>
      <c r="Q142" s="1">
        <v>9.7781080000000006E-3</v>
      </c>
      <c r="R142">
        <v>0.99010600000000004</v>
      </c>
      <c r="S142">
        <f>ABS(M142)</f>
        <v>3.3700263354192801</v>
      </c>
      <c r="T142">
        <f t="shared" ref="T142" si="139">ABS(N142)</f>
        <v>0.30888821202871802</v>
      </c>
      <c r="U142">
        <f t="shared" ref="U142" si="140">ABS(O142)</f>
        <v>3.3841526899579701</v>
      </c>
      <c r="W142" s="1">
        <v>0.43327088787003598</v>
      </c>
      <c r="X142" s="1">
        <v>3.76203821766041E-2</v>
      </c>
      <c r="Y142">
        <v>15000</v>
      </c>
      <c r="Z142">
        <v>16</v>
      </c>
      <c r="AA142">
        <v>1</v>
      </c>
      <c r="AB142">
        <v>1</v>
      </c>
      <c r="AC142">
        <v>1</v>
      </c>
      <c r="AD142">
        <v>0.01</v>
      </c>
      <c r="AE142">
        <v>16</v>
      </c>
      <c r="AF142">
        <v>0</v>
      </c>
      <c r="AG142">
        <v>9</v>
      </c>
      <c r="AH142">
        <v>276.2</v>
      </c>
      <c r="AI142" t="s">
        <v>202</v>
      </c>
      <c r="AJ142">
        <v>9</v>
      </c>
      <c r="AK142" t="s">
        <v>203</v>
      </c>
    </row>
    <row r="143" spans="1:37" hidden="1" x14ac:dyDescent="0.3">
      <c r="A143">
        <v>9</v>
      </c>
      <c r="B143">
        <v>42</v>
      </c>
      <c r="C143">
        <v>1</v>
      </c>
      <c r="D143">
        <v>0.1</v>
      </c>
      <c r="E143" t="s">
        <v>28</v>
      </c>
      <c r="F143">
        <v>0</v>
      </c>
      <c r="I143" s="5"/>
      <c r="J143" s="6"/>
      <c r="K143" s="6"/>
      <c r="L143" s="7"/>
      <c r="M143">
        <v>247.77100841990099</v>
      </c>
      <c r="N143">
        <v>703.27952038234196</v>
      </c>
      <c r="O143">
        <v>745.64908395479995</v>
      </c>
      <c r="P143">
        <v>0.34379539999999997</v>
      </c>
      <c r="Q143" s="1">
        <v>2.010079E-2</v>
      </c>
      <c r="R143">
        <v>0.97986300000000004</v>
      </c>
      <c r="W143" s="1">
        <v>0.43327088787003598</v>
      </c>
      <c r="X143" s="1">
        <v>3.76203821766041E-2</v>
      </c>
      <c r="Y143">
        <v>9000</v>
      </c>
      <c r="Z143">
        <v>16</v>
      </c>
      <c r="AA143">
        <v>1</v>
      </c>
      <c r="AB143">
        <v>1</v>
      </c>
      <c r="AC143">
        <v>1</v>
      </c>
      <c r="AD143">
        <v>0.01</v>
      </c>
      <c r="AE143">
        <v>16</v>
      </c>
      <c r="AF143">
        <v>0</v>
      </c>
      <c r="AG143">
        <v>9</v>
      </c>
      <c r="AH143">
        <v>166.5</v>
      </c>
      <c r="AI143" t="s">
        <v>204</v>
      </c>
      <c r="AJ143">
        <v>9</v>
      </c>
      <c r="AK143" t="s">
        <v>203</v>
      </c>
    </row>
    <row r="144" spans="1:37" x14ac:dyDescent="0.3">
      <c r="A144">
        <v>9</v>
      </c>
      <c r="B144">
        <v>45</v>
      </c>
      <c r="C144">
        <v>0</v>
      </c>
      <c r="D144">
        <v>0</v>
      </c>
      <c r="E144" t="s">
        <v>14</v>
      </c>
      <c r="G144" s="1">
        <f>J144-S144</f>
        <v>0.34252692932753342</v>
      </c>
      <c r="H144" s="1">
        <f>K144+T144</f>
        <v>0.40190539150132698</v>
      </c>
      <c r="I144" s="5">
        <v>9</v>
      </c>
      <c r="J144" s="6">
        <v>0.43327088787000001</v>
      </c>
      <c r="K144" s="6">
        <v>3.7620382176999999E-2</v>
      </c>
      <c r="L144" s="7">
        <v>0.43490108695099999</v>
      </c>
      <c r="M144">
        <v>9.0743958542466599E-2</v>
      </c>
      <c r="N144">
        <v>0.364285009324327</v>
      </c>
      <c r="O144">
        <v>0.37541714669202603</v>
      </c>
      <c r="P144">
        <v>3.3425779999999999E-7</v>
      </c>
      <c r="Q144" s="1">
        <v>6.5130650000000004E-8</v>
      </c>
      <c r="R144">
        <v>1</v>
      </c>
      <c r="S144">
        <f>ABS(M144)</f>
        <v>9.0743958542466599E-2</v>
      </c>
      <c r="T144">
        <f t="shared" ref="T144" si="141">ABS(N144)</f>
        <v>0.364285009324327</v>
      </c>
      <c r="U144">
        <f t="shared" ref="U144" si="142">ABS(O144)</f>
        <v>0.37541714669202603</v>
      </c>
      <c r="W144" s="1">
        <v>0.43327088787003598</v>
      </c>
      <c r="X144" s="1">
        <v>3.76203821766041E-2</v>
      </c>
      <c r="Y144">
        <v>15000</v>
      </c>
      <c r="Z144">
        <v>16</v>
      </c>
      <c r="AA144">
        <v>1</v>
      </c>
      <c r="AB144">
        <v>1</v>
      </c>
      <c r="AC144">
        <v>1</v>
      </c>
      <c r="AD144">
        <v>0.01</v>
      </c>
      <c r="AE144">
        <v>16</v>
      </c>
      <c r="AF144">
        <v>0</v>
      </c>
      <c r="AG144">
        <v>9</v>
      </c>
      <c r="AH144">
        <v>277.8</v>
      </c>
      <c r="AI144" t="s">
        <v>205</v>
      </c>
      <c r="AJ144">
        <v>9</v>
      </c>
      <c r="AK144" t="s">
        <v>203</v>
      </c>
    </row>
    <row r="145" spans="1:37" hidden="1" x14ac:dyDescent="0.3">
      <c r="A145">
        <v>9</v>
      </c>
      <c r="B145">
        <v>45</v>
      </c>
      <c r="C145">
        <v>1</v>
      </c>
      <c r="D145">
        <v>0.1</v>
      </c>
      <c r="E145" t="s">
        <v>28</v>
      </c>
      <c r="F145">
        <v>0</v>
      </c>
      <c r="I145" s="5"/>
      <c r="J145" s="6"/>
      <c r="K145" s="6"/>
      <c r="L145" s="7"/>
      <c r="M145">
        <v>115062.38760347699</v>
      </c>
      <c r="N145">
        <v>-456218.236608946</v>
      </c>
      <c r="O145">
        <v>470504.44467145001</v>
      </c>
      <c r="P145">
        <v>26.612179999999999</v>
      </c>
      <c r="Q145" s="1">
        <v>5.5355439999999997E-4</v>
      </c>
      <c r="R145">
        <v>0.99969699999999995</v>
      </c>
      <c r="W145" s="1">
        <v>0.43327088787003598</v>
      </c>
      <c r="X145" s="1">
        <v>3.76203821766041E-2</v>
      </c>
      <c r="Y145">
        <v>9000</v>
      </c>
      <c r="Z145">
        <v>16</v>
      </c>
      <c r="AA145">
        <v>1</v>
      </c>
      <c r="AB145">
        <v>1</v>
      </c>
      <c r="AC145">
        <v>1</v>
      </c>
      <c r="AD145">
        <v>0.01</v>
      </c>
      <c r="AE145">
        <v>16</v>
      </c>
      <c r="AF145">
        <v>0</v>
      </c>
      <c r="AG145">
        <v>9</v>
      </c>
      <c r="AH145">
        <v>166.5</v>
      </c>
      <c r="AI145" t="s">
        <v>206</v>
      </c>
      <c r="AJ145">
        <v>9</v>
      </c>
      <c r="AK145" t="s">
        <v>203</v>
      </c>
    </row>
    <row r="146" spans="1:37" x14ac:dyDescent="0.3">
      <c r="A146">
        <v>9.25</v>
      </c>
      <c r="B146">
        <v>42</v>
      </c>
      <c r="C146">
        <v>0</v>
      </c>
      <c r="D146">
        <v>0</v>
      </c>
      <c r="E146" t="s">
        <v>14</v>
      </c>
      <c r="G146" s="1">
        <f>J146-S146</f>
        <v>-80849.485899066654</v>
      </c>
      <c r="H146" s="1">
        <f>K146+T146</f>
        <v>54010.566256326558</v>
      </c>
      <c r="I146" s="5">
        <v>9.25</v>
      </c>
      <c r="J146" s="6">
        <v>8.4413320390000005E-3</v>
      </c>
      <c r="K146" s="6">
        <v>0.43481915705800001</v>
      </c>
      <c r="L146" s="7">
        <v>0.43490108695099999</v>
      </c>
      <c r="M146">
        <v>80849.494340398698</v>
      </c>
      <c r="N146">
        <v>-54010.131437169497</v>
      </c>
      <c r="O146">
        <v>97230.319514843097</v>
      </c>
      <c r="P146">
        <v>1.030664</v>
      </c>
      <c r="Q146" s="1">
        <v>1.9760839999999998E-5</v>
      </c>
      <c r="R146">
        <v>0.99999099999999996</v>
      </c>
      <c r="S146">
        <f>ABS(M146)</f>
        <v>80849.494340398698</v>
      </c>
      <c r="T146">
        <f t="shared" ref="T146" si="143">ABS(N146)</f>
        <v>54010.131437169497</v>
      </c>
      <c r="U146">
        <f t="shared" ref="U146" si="144">ABS(O146)</f>
        <v>97230.319514843097</v>
      </c>
      <c r="W146" s="1">
        <v>8.4413320387401406E-3</v>
      </c>
      <c r="X146" s="1">
        <v>0.434819157057523</v>
      </c>
      <c r="Y146">
        <v>15000</v>
      </c>
      <c r="Z146">
        <v>16</v>
      </c>
      <c r="AA146">
        <v>1</v>
      </c>
      <c r="AB146">
        <v>1</v>
      </c>
      <c r="AC146">
        <v>1</v>
      </c>
      <c r="AD146">
        <v>0.01</v>
      </c>
      <c r="AE146">
        <v>16</v>
      </c>
      <c r="AF146">
        <v>0</v>
      </c>
      <c r="AG146">
        <v>9.25</v>
      </c>
      <c r="AH146">
        <v>277.8</v>
      </c>
      <c r="AI146" t="s">
        <v>207</v>
      </c>
      <c r="AJ146">
        <v>9.25</v>
      </c>
      <c r="AK146" t="s">
        <v>208</v>
      </c>
    </row>
    <row r="147" spans="1:37" hidden="1" x14ac:dyDescent="0.3">
      <c r="A147">
        <v>9.25</v>
      </c>
      <c r="B147">
        <v>42</v>
      </c>
      <c r="C147">
        <v>1</v>
      </c>
      <c r="D147">
        <v>0.1</v>
      </c>
      <c r="E147" t="s">
        <v>28</v>
      </c>
      <c r="F147">
        <v>0</v>
      </c>
      <c r="I147" s="5"/>
      <c r="J147" s="6"/>
      <c r="K147" s="6"/>
      <c r="L147" s="7"/>
      <c r="M147">
        <v>3302.7100527076</v>
      </c>
      <c r="N147">
        <v>-19803.650580448601</v>
      </c>
      <c r="O147">
        <v>20077.162897300899</v>
      </c>
      <c r="P147">
        <v>2.5079739999999999</v>
      </c>
      <c r="Q147" s="1">
        <v>8.9118940000000005E-4</v>
      </c>
      <c r="R147">
        <v>0.99947799999999998</v>
      </c>
      <c r="W147" s="1">
        <v>8.4413320387401406E-3</v>
      </c>
      <c r="X147" s="1">
        <v>0.434819157057523</v>
      </c>
      <c r="Y147">
        <v>9000</v>
      </c>
      <c r="Z147">
        <v>16</v>
      </c>
      <c r="AA147">
        <v>1</v>
      </c>
      <c r="AB147">
        <v>1</v>
      </c>
      <c r="AC147">
        <v>1</v>
      </c>
      <c r="AD147">
        <v>0.01</v>
      </c>
      <c r="AE147">
        <v>16</v>
      </c>
      <c r="AF147">
        <v>0</v>
      </c>
      <c r="AG147">
        <v>9.25</v>
      </c>
      <c r="AH147">
        <v>166.5</v>
      </c>
      <c r="AI147" t="s">
        <v>209</v>
      </c>
      <c r="AJ147">
        <v>9.25</v>
      </c>
      <c r="AK147" t="s">
        <v>208</v>
      </c>
    </row>
    <row r="148" spans="1:37" x14ac:dyDescent="0.3">
      <c r="A148">
        <v>9.25</v>
      </c>
      <c r="B148">
        <v>45</v>
      </c>
      <c r="C148">
        <v>0</v>
      </c>
      <c r="D148">
        <v>0</v>
      </c>
      <c r="E148" t="s">
        <v>14</v>
      </c>
      <c r="G148" s="1">
        <f>J148-S148</f>
        <v>-0.35147222535282602</v>
      </c>
      <c r="H148" s="1">
        <f>K148+T148</f>
        <v>0.54713691704200096</v>
      </c>
      <c r="I148" s="5">
        <v>9.25</v>
      </c>
      <c r="J148" s="6">
        <v>8.4413320390000005E-3</v>
      </c>
      <c r="K148" s="6">
        <v>0.43481915705800001</v>
      </c>
      <c r="L148" s="7">
        <v>0.43490108695099999</v>
      </c>
      <c r="M148">
        <v>0.35991355739182601</v>
      </c>
      <c r="N148">
        <v>-0.11231775998400099</v>
      </c>
      <c r="O148">
        <v>0.37703189255322</v>
      </c>
      <c r="P148">
        <v>5.921016E-7</v>
      </c>
      <c r="Q148" s="1">
        <v>2.4268440000000003E-7</v>
      </c>
      <c r="R148">
        <v>1</v>
      </c>
      <c r="S148">
        <f>ABS(M148)</f>
        <v>0.35991355739182601</v>
      </c>
      <c r="T148">
        <f t="shared" ref="T148" si="145">ABS(N148)</f>
        <v>0.11231775998400099</v>
      </c>
      <c r="U148">
        <f t="shared" ref="U148" si="146">ABS(O148)</f>
        <v>0.37703189255322</v>
      </c>
      <c r="W148" s="1">
        <v>8.4413320387401406E-3</v>
      </c>
      <c r="X148" s="1">
        <v>0.434819157057523</v>
      </c>
      <c r="Y148">
        <v>15000</v>
      </c>
      <c r="Z148">
        <v>16</v>
      </c>
      <c r="AA148">
        <v>1</v>
      </c>
      <c r="AB148">
        <v>1</v>
      </c>
      <c r="AC148">
        <v>1</v>
      </c>
      <c r="AD148">
        <v>0.01</v>
      </c>
      <c r="AE148">
        <v>16</v>
      </c>
      <c r="AF148">
        <v>0</v>
      </c>
      <c r="AG148">
        <v>9.25</v>
      </c>
      <c r="AH148">
        <v>278.39999999999998</v>
      </c>
      <c r="AI148" t="s">
        <v>210</v>
      </c>
      <c r="AJ148">
        <v>9.25</v>
      </c>
      <c r="AK148" t="s">
        <v>208</v>
      </c>
    </row>
    <row r="149" spans="1:37" hidden="1" x14ac:dyDescent="0.3">
      <c r="A149">
        <v>9.25</v>
      </c>
      <c r="B149">
        <v>45</v>
      </c>
      <c r="C149">
        <v>1</v>
      </c>
      <c r="D149">
        <v>0.1</v>
      </c>
      <c r="E149" t="s">
        <v>28</v>
      </c>
      <c r="F149">
        <v>0</v>
      </c>
      <c r="I149" s="5"/>
      <c r="J149" s="6"/>
      <c r="K149" s="6"/>
      <c r="L149" s="7"/>
      <c r="M149">
        <v>90.019968670378603</v>
      </c>
      <c r="N149">
        <v>-228.434640382015</v>
      </c>
      <c r="O149">
        <v>245.53203393014999</v>
      </c>
      <c r="P149">
        <v>1.6418550000000001E-2</v>
      </c>
      <c r="Q149" s="1">
        <v>6.1881890000000002E-4</v>
      </c>
      <c r="R149">
        <v>0.99929400000000002</v>
      </c>
      <c r="W149" s="1">
        <v>8.4413320387401406E-3</v>
      </c>
      <c r="X149" s="1">
        <v>0.434819157057523</v>
      </c>
      <c r="Y149">
        <v>9000</v>
      </c>
      <c r="Z149">
        <v>16</v>
      </c>
      <c r="AA149">
        <v>1</v>
      </c>
      <c r="AB149">
        <v>1</v>
      </c>
      <c r="AC149">
        <v>1</v>
      </c>
      <c r="AD149">
        <v>0.01</v>
      </c>
      <c r="AE149">
        <v>16</v>
      </c>
      <c r="AF149">
        <v>0</v>
      </c>
      <c r="AG149">
        <v>9.25</v>
      </c>
      <c r="AH149">
        <v>166.3</v>
      </c>
      <c r="AI149" t="s">
        <v>211</v>
      </c>
      <c r="AJ149">
        <v>9.25</v>
      </c>
      <c r="AK149" t="s">
        <v>208</v>
      </c>
    </row>
    <row r="150" spans="1:37" x14ac:dyDescent="0.3">
      <c r="A150">
        <v>9.5</v>
      </c>
      <c r="B150">
        <v>42</v>
      </c>
      <c r="C150">
        <v>0</v>
      </c>
      <c r="D150">
        <v>0</v>
      </c>
      <c r="E150" t="s">
        <v>14</v>
      </c>
      <c r="G150" s="1">
        <f>J150-S150</f>
        <v>-8370.5021816068038</v>
      </c>
      <c r="H150" s="1">
        <f>K150+T150</f>
        <v>24291.951595713206</v>
      </c>
      <c r="I150" s="5">
        <v>9.5</v>
      </c>
      <c r="J150" s="6">
        <v>-0.43331975438300002</v>
      </c>
      <c r="K150" s="6">
        <v>3.7053284504999999E-2</v>
      </c>
      <c r="L150" s="7">
        <v>0.43490108695099999</v>
      </c>
      <c r="M150">
        <v>8370.06886185242</v>
      </c>
      <c r="N150">
        <v>24291.914542428702</v>
      </c>
      <c r="O150">
        <v>25693.484872411002</v>
      </c>
      <c r="P150">
        <v>0.25340699999999999</v>
      </c>
      <c r="Q150" s="1">
        <v>5.6203719999999997E-6</v>
      </c>
      <c r="R150">
        <v>0.99999499999999997</v>
      </c>
      <c r="S150">
        <f>ABS(M150)</f>
        <v>8370.06886185242</v>
      </c>
      <c r="T150">
        <f t="shared" ref="T150" si="147">ABS(N150)</f>
        <v>24291.914542428702</v>
      </c>
      <c r="U150">
        <f t="shared" ref="U150" si="148">ABS(O150)</f>
        <v>25693.484872411002</v>
      </c>
      <c r="W150" s="1">
        <v>-0.43331975438257297</v>
      </c>
      <c r="X150" s="1">
        <v>3.70532845052906E-2</v>
      </c>
      <c r="Y150">
        <v>15000</v>
      </c>
      <c r="Z150">
        <v>16</v>
      </c>
      <c r="AA150">
        <v>1</v>
      </c>
      <c r="AB150">
        <v>1</v>
      </c>
      <c r="AC150">
        <v>1</v>
      </c>
      <c r="AD150">
        <v>0.01</v>
      </c>
      <c r="AE150">
        <v>16</v>
      </c>
      <c r="AF150">
        <v>0</v>
      </c>
      <c r="AG150">
        <v>9.5</v>
      </c>
      <c r="AH150">
        <v>277.7</v>
      </c>
      <c r="AI150" t="s">
        <v>212</v>
      </c>
      <c r="AJ150">
        <v>9.5</v>
      </c>
      <c r="AK150" t="s">
        <v>213</v>
      </c>
    </row>
    <row r="151" spans="1:37" hidden="1" x14ac:dyDescent="0.3">
      <c r="A151">
        <v>9.5</v>
      </c>
      <c r="B151">
        <v>42</v>
      </c>
      <c r="C151">
        <v>1</v>
      </c>
      <c r="D151">
        <v>0.1</v>
      </c>
      <c r="E151" t="s">
        <v>28</v>
      </c>
      <c r="F151">
        <v>0</v>
      </c>
      <c r="I151" s="5"/>
      <c r="J151" s="6"/>
      <c r="K151" s="6"/>
      <c r="L151" s="7"/>
      <c r="M151">
        <v>25560.639766885299</v>
      </c>
      <c r="N151">
        <v>-99165.636835828205</v>
      </c>
      <c r="O151">
        <v>102406.883725401</v>
      </c>
      <c r="P151">
        <v>23.78922</v>
      </c>
      <c r="Q151" s="1">
        <v>4.0711790000000003E-3</v>
      </c>
      <c r="R151">
        <v>0.99536100000000005</v>
      </c>
      <c r="W151" s="1">
        <v>-0.43331975438257297</v>
      </c>
      <c r="X151" s="1">
        <v>3.70532845052906E-2</v>
      </c>
      <c r="Y151">
        <v>9000</v>
      </c>
      <c r="Z151">
        <v>16</v>
      </c>
      <c r="AA151">
        <v>1</v>
      </c>
      <c r="AB151">
        <v>1</v>
      </c>
      <c r="AC151">
        <v>1</v>
      </c>
      <c r="AD151">
        <v>0.01</v>
      </c>
      <c r="AE151">
        <v>16</v>
      </c>
      <c r="AF151">
        <v>0</v>
      </c>
      <c r="AG151">
        <v>9.5</v>
      </c>
      <c r="AH151">
        <v>168.2</v>
      </c>
      <c r="AI151" t="s">
        <v>214</v>
      </c>
      <c r="AJ151">
        <v>9.5</v>
      </c>
      <c r="AK151" t="s">
        <v>213</v>
      </c>
    </row>
    <row r="152" spans="1:37" x14ac:dyDescent="0.3">
      <c r="A152">
        <v>9.5</v>
      </c>
      <c r="B152">
        <v>45</v>
      </c>
      <c r="C152">
        <v>0</v>
      </c>
      <c r="D152">
        <v>0</v>
      </c>
      <c r="E152" t="s">
        <v>14</v>
      </c>
      <c r="G152" s="1">
        <f>J152-S152</f>
        <v>-3566.3432343269028</v>
      </c>
      <c r="H152" s="1">
        <f>K152+T152</f>
        <v>151.20724467105899</v>
      </c>
      <c r="I152" s="5">
        <v>9.5</v>
      </c>
      <c r="J152" s="6">
        <v>-0.43331975438300002</v>
      </c>
      <c r="K152" s="6">
        <v>3.7053284504999999E-2</v>
      </c>
      <c r="L152" s="7">
        <v>0.43490108695099999</v>
      </c>
      <c r="M152">
        <v>-3565.9099145725199</v>
      </c>
      <c r="N152">
        <v>-151.170191386554</v>
      </c>
      <c r="O152">
        <v>3569.1127672869102</v>
      </c>
      <c r="P152">
        <v>3.7439670000000001E-2</v>
      </c>
      <c r="Q152" s="1">
        <v>6.0971259999999999E-6</v>
      </c>
      <c r="R152">
        <v>0.99996099999999999</v>
      </c>
      <c r="S152">
        <f>ABS(M152)</f>
        <v>3565.9099145725199</v>
      </c>
      <c r="T152">
        <f t="shared" ref="T152" si="149">ABS(N152)</f>
        <v>151.170191386554</v>
      </c>
      <c r="U152">
        <f t="shared" ref="U152" si="150">ABS(O152)</f>
        <v>3569.1127672869102</v>
      </c>
      <c r="W152" s="1">
        <v>-0.43331975438257297</v>
      </c>
      <c r="X152" s="1">
        <v>3.70532845052906E-2</v>
      </c>
      <c r="Y152">
        <v>15000</v>
      </c>
      <c r="Z152">
        <v>16</v>
      </c>
      <c r="AA152">
        <v>1</v>
      </c>
      <c r="AB152">
        <v>1</v>
      </c>
      <c r="AC152">
        <v>1</v>
      </c>
      <c r="AD152">
        <v>0.01</v>
      </c>
      <c r="AE152">
        <v>16</v>
      </c>
      <c r="AF152">
        <v>0</v>
      </c>
      <c r="AG152">
        <v>9.5</v>
      </c>
      <c r="AH152">
        <v>277.89999999999998</v>
      </c>
      <c r="AI152" t="s">
        <v>215</v>
      </c>
      <c r="AJ152">
        <v>9.5</v>
      </c>
      <c r="AK152" t="s">
        <v>213</v>
      </c>
    </row>
    <row r="153" spans="1:37" hidden="1" x14ac:dyDescent="0.3">
      <c r="A153">
        <v>9.5</v>
      </c>
      <c r="B153">
        <v>45</v>
      </c>
      <c r="C153">
        <v>1</v>
      </c>
      <c r="D153">
        <v>0.1</v>
      </c>
      <c r="E153" t="s">
        <v>28</v>
      </c>
      <c r="F153">
        <v>0</v>
      </c>
      <c r="I153" s="5"/>
      <c r="J153" s="6"/>
      <c r="K153" s="6"/>
      <c r="L153" s="7"/>
      <c r="M153">
        <v>-1636354.8647262901</v>
      </c>
      <c r="N153">
        <v>987896.93838850001</v>
      </c>
      <c r="O153">
        <v>1911438.6216122101</v>
      </c>
      <c r="P153">
        <v>69.764939999999996</v>
      </c>
      <c r="Q153" s="1">
        <v>1.5257779999999999E-4</v>
      </c>
      <c r="R153">
        <v>0.99986399999999998</v>
      </c>
      <c r="W153" s="1">
        <v>-0.43331975438257297</v>
      </c>
      <c r="X153" s="1">
        <v>3.70532845052906E-2</v>
      </c>
      <c r="Y153">
        <v>9000</v>
      </c>
      <c r="Z153">
        <v>16</v>
      </c>
      <c r="AA153">
        <v>1</v>
      </c>
      <c r="AB153">
        <v>1</v>
      </c>
      <c r="AC153">
        <v>1</v>
      </c>
      <c r="AD153">
        <v>0.01</v>
      </c>
      <c r="AE153">
        <v>16</v>
      </c>
      <c r="AF153">
        <v>0</v>
      </c>
      <c r="AG153">
        <v>9.5</v>
      </c>
      <c r="AH153">
        <v>166.6</v>
      </c>
      <c r="AI153" t="s">
        <v>216</v>
      </c>
      <c r="AJ153">
        <v>9.5</v>
      </c>
      <c r="AK153" t="s">
        <v>213</v>
      </c>
    </row>
    <row r="154" spans="1:37" x14ac:dyDescent="0.3">
      <c r="A154">
        <v>9.75</v>
      </c>
      <c r="B154">
        <v>42</v>
      </c>
      <c r="C154">
        <v>0</v>
      </c>
      <c r="D154">
        <v>0</v>
      </c>
      <c r="E154" t="s">
        <v>14</v>
      </c>
      <c r="G154" s="1">
        <f>J154-S154</f>
        <v>-4.8217115732639954E-2</v>
      </c>
      <c r="H154" s="1">
        <f>K154+T154</f>
        <v>-0.43220841803021903</v>
      </c>
      <c r="I154" s="5">
        <v>9.75</v>
      </c>
      <c r="J154" s="6">
        <v>-4.8202492850000001E-2</v>
      </c>
      <c r="K154" s="6">
        <v>-0.4322215579</v>
      </c>
      <c r="L154" s="7">
        <v>0.43490108695099999</v>
      </c>
      <c r="M154">
        <v>-1.4622882639953899E-5</v>
      </c>
      <c r="N154">
        <v>1.3139869780980199E-5</v>
      </c>
      <c r="O154">
        <v>1.9659218564403398E-5</v>
      </c>
      <c r="P154">
        <v>1.0101000000000001E-9</v>
      </c>
      <c r="Q154" s="1">
        <v>9.6684949999999997E-5</v>
      </c>
      <c r="R154">
        <v>0.99986399999999998</v>
      </c>
      <c r="S154">
        <f>ABS(M154)</f>
        <v>1.4622882639953899E-5</v>
      </c>
      <c r="T154">
        <f t="shared" ref="T154" si="151">ABS(N154)</f>
        <v>1.3139869780980199E-5</v>
      </c>
      <c r="U154">
        <f t="shared" ref="U154" si="152">ABS(O154)</f>
        <v>1.9659218564403398E-5</v>
      </c>
      <c r="W154" s="1">
        <v>-4.8202492850108601E-2</v>
      </c>
      <c r="X154" s="1">
        <v>-0.43222155790038802</v>
      </c>
      <c r="Y154">
        <v>15000</v>
      </c>
      <c r="Z154">
        <v>16</v>
      </c>
      <c r="AA154">
        <v>1</v>
      </c>
      <c r="AB154">
        <v>1</v>
      </c>
      <c r="AC154">
        <v>1</v>
      </c>
      <c r="AD154">
        <v>0.01</v>
      </c>
      <c r="AE154">
        <v>16</v>
      </c>
      <c r="AF154">
        <v>0</v>
      </c>
      <c r="AG154">
        <v>9.75</v>
      </c>
      <c r="AH154">
        <v>278.2</v>
      </c>
      <c r="AI154" t="s">
        <v>217</v>
      </c>
      <c r="AJ154">
        <v>9.75</v>
      </c>
      <c r="AK154" t="s">
        <v>218</v>
      </c>
    </row>
    <row r="155" spans="1:37" hidden="1" x14ac:dyDescent="0.3">
      <c r="A155">
        <v>9.75</v>
      </c>
      <c r="B155">
        <v>42</v>
      </c>
      <c r="C155">
        <v>1</v>
      </c>
      <c r="D155">
        <v>0.1</v>
      </c>
      <c r="E155" t="s">
        <v>28</v>
      </c>
      <c r="F155">
        <v>0</v>
      </c>
      <c r="I155" s="5"/>
      <c r="J155" s="6"/>
      <c r="K155" s="6"/>
      <c r="L155" s="7"/>
      <c r="M155">
        <v>-7.5933406927129003E-5</v>
      </c>
      <c r="N155">
        <v>1.07621622933765E-4</v>
      </c>
      <c r="O155">
        <v>1.3171293030852499E-4</v>
      </c>
      <c r="P155">
        <v>8.8556189999999993E-9</v>
      </c>
      <c r="Q155" s="1">
        <v>3.1499160000000002E-4</v>
      </c>
      <c r="R155">
        <v>0.99962499999999999</v>
      </c>
      <c r="W155" s="1">
        <v>-4.8202492850108601E-2</v>
      </c>
      <c r="X155" s="1">
        <v>-0.43222155790038802</v>
      </c>
      <c r="Y155">
        <v>9000</v>
      </c>
      <c r="Z155">
        <v>16</v>
      </c>
      <c r="AA155">
        <v>1</v>
      </c>
      <c r="AB155">
        <v>1</v>
      </c>
      <c r="AC155">
        <v>1</v>
      </c>
      <c r="AD155">
        <v>0.01</v>
      </c>
      <c r="AE155">
        <v>16</v>
      </c>
      <c r="AF155">
        <v>0</v>
      </c>
      <c r="AG155">
        <v>9.75</v>
      </c>
      <c r="AH155">
        <v>166.9</v>
      </c>
      <c r="AI155" t="s">
        <v>219</v>
      </c>
      <c r="AJ155">
        <v>9.75</v>
      </c>
      <c r="AK155" t="s">
        <v>218</v>
      </c>
    </row>
    <row r="156" spans="1:37" ht="15" thickBot="1" x14ac:dyDescent="0.35">
      <c r="A156">
        <v>9.75</v>
      </c>
      <c r="B156">
        <v>45</v>
      </c>
      <c r="C156">
        <v>0</v>
      </c>
      <c r="D156">
        <v>0</v>
      </c>
      <c r="E156" t="s">
        <v>14</v>
      </c>
      <c r="G156" s="1">
        <f>J156-S156</f>
        <v>-8.6459779856343594E-2</v>
      </c>
      <c r="H156" s="1">
        <f>K156+T156</f>
        <v>-0.42254257668097994</v>
      </c>
      <c r="I156" s="8">
        <v>9.75</v>
      </c>
      <c r="J156" s="9">
        <v>-4.8202492850000001E-2</v>
      </c>
      <c r="K156" s="9">
        <v>-0.4322215579</v>
      </c>
      <c r="L156" s="10">
        <v>0.43490108695099999</v>
      </c>
      <c r="M156">
        <v>3.82572870063436E-2</v>
      </c>
      <c r="N156">
        <v>9.6789812190200501E-3</v>
      </c>
      <c r="O156">
        <v>3.9462674599219497E-2</v>
      </c>
      <c r="P156">
        <v>8.9372260000000005E-7</v>
      </c>
      <c r="Q156" s="1">
        <v>4.8402280000000001E-5</v>
      </c>
      <c r="R156">
        <v>0.99994300000000003</v>
      </c>
      <c r="S156">
        <f>ABS(M156)</f>
        <v>3.82572870063436E-2</v>
      </c>
      <c r="T156">
        <f t="shared" ref="T156" si="153">ABS(N156)</f>
        <v>9.6789812190200501E-3</v>
      </c>
      <c r="U156">
        <f t="shared" ref="U156" si="154">ABS(O156)</f>
        <v>3.9462674599219497E-2</v>
      </c>
      <c r="W156" s="1">
        <v>-4.8202492850108601E-2</v>
      </c>
      <c r="X156" s="1">
        <v>-0.43222155790038802</v>
      </c>
      <c r="Y156">
        <v>15000</v>
      </c>
      <c r="Z156">
        <v>16</v>
      </c>
      <c r="AA156">
        <v>1</v>
      </c>
      <c r="AB156">
        <v>1</v>
      </c>
      <c r="AC156">
        <v>1</v>
      </c>
      <c r="AD156">
        <v>0.01</v>
      </c>
      <c r="AE156">
        <v>16</v>
      </c>
      <c r="AF156">
        <v>0</v>
      </c>
      <c r="AG156">
        <v>9.75</v>
      </c>
      <c r="AH156">
        <v>276.2</v>
      </c>
      <c r="AI156" t="s">
        <v>220</v>
      </c>
      <c r="AJ156">
        <v>9.75</v>
      </c>
      <c r="AK156" t="s">
        <v>218</v>
      </c>
    </row>
    <row r="157" spans="1:37" hidden="1" x14ac:dyDescent="0.3">
      <c r="A157">
        <v>9.75</v>
      </c>
      <c r="B157">
        <v>45</v>
      </c>
      <c r="C157">
        <v>1</v>
      </c>
      <c r="D157">
        <v>0.1</v>
      </c>
      <c r="E157" t="s">
        <v>28</v>
      </c>
      <c r="F157">
        <v>0</v>
      </c>
      <c r="M157">
        <v>5.7544273390945004E-4</v>
      </c>
      <c r="N157">
        <v>-7.1189846247664301E-4</v>
      </c>
      <c r="O157">
        <v>9.1538721909680898E-4</v>
      </c>
      <c r="P157">
        <v>2.8497929999999999E-8</v>
      </c>
      <c r="Q157" s="1">
        <v>9.0945990000000006E-5</v>
      </c>
      <c r="R157">
        <v>0.99992000000000003</v>
      </c>
      <c r="W157" s="1">
        <v>-4.8202492850108601E-2</v>
      </c>
      <c r="X157" s="1">
        <v>-0.43222155790038802</v>
      </c>
      <c r="Y157">
        <v>9000</v>
      </c>
      <c r="Z157">
        <v>16</v>
      </c>
      <c r="AA157">
        <v>1</v>
      </c>
      <c r="AB157">
        <v>1</v>
      </c>
      <c r="AC157">
        <v>1</v>
      </c>
      <c r="AD157">
        <v>0.01</v>
      </c>
      <c r="AE157">
        <v>16</v>
      </c>
      <c r="AF157">
        <v>0</v>
      </c>
      <c r="AG157">
        <v>9.75</v>
      </c>
      <c r="AH157">
        <v>169.1</v>
      </c>
      <c r="AI157" t="s">
        <v>221</v>
      </c>
      <c r="AJ157">
        <v>9.75</v>
      </c>
      <c r="AK157" t="s">
        <v>218</v>
      </c>
    </row>
    <row r="161" spans="6:6" x14ac:dyDescent="0.3">
      <c r="F161" t="s">
        <v>222</v>
      </c>
    </row>
  </sheetData>
  <autoFilter ref="A1:AK157" xr:uid="{C2E589AE-B68F-40A6-BA76-FB1AE22F7C8B}">
    <filterColumn colId="2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7224-8E64-4D33-9095-B74C58E880C9}">
  <dimension ref="A1:Z157"/>
  <sheetViews>
    <sheetView workbookViewId="0">
      <selection activeCell="D6" sqref="D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42</v>
      </c>
      <c r="B2">
        <v>0</v>
      </c>
      <c r="C2">
        <v>0</v>
      </c>
      <c r="D2" t="s">
        <v>14</v>
      </c>
      <c r="F2" s="1">
        <v>-0.31367591113474103</v>
      </c>
      <c r="G2" s="1">
        <v>0.30096663650275801</v>
      </c>
      <c r="H2" s="1">
        <v>0.434710815961593</v>
      </c>
      <c r="I2" s="1">
        <v>2.878037E-9</v>
      </c>
      <c r="J2" s="1">
        <v>5.171002E-12</v>
      </c>
      <c r="K2">
        <v>1</v>
      </c>
      <c r="L2" s="1">
        <v>0.31362972888013302</v>
      </c>
      <c r="M2" s="1">
        <v>-0.30128947640662401</v>
      </c>
      <c r="N2">
        <v>15000</v>
      </c>
      <c r="O2">
        <v>16</v>
      </c>
      <c r="P2">
        <v>1</v>
      </c>
      <c r="Q2">
        <v>1</v>
      </c>
      <c r="R2">
        <v>1</v>
      </c>
      <c r="S2">
        <v>0.01</v>
      </c>
      <c r="T2">
        <v>16</v>
      </c>
      <c r="U2">
        <v>0</v>
      </c>
      <c r="V2">
        <v>0.25</v>
      </c>
      <c r="W2">
        <v>308.7</v>
      </c>
      <c r="X2" t="s">
        <v>26</v>
      </c>
      <c r="Y2">
        <v>0.25</v>
      </c>
      <c r="Z2" t="s">
        <v>27</v>
      </c>
    </row>
    <row r="3" spans="1:26" x14ac:dyDescent="0.3">
      <c r="A3">
        <v>42</v>
      </c>
      <c r="B3">
        <v>1</v>
      </c>
      <c r="C3">
        <v>0.1</v>
      </c>
      <c r="D3" t="s">
        <v>28</v>
      </c>
      <c r="E3">
        <v>0</v>
      </c>
      <c r="F3" s="1">
        <v>-0.31458179788690599</v>
      </c>
      <c r="G3" s="1">
        <v>0.30040485483457702</v>
      </c>
      <c r="H3" s="1">
        <v>0.434976763022971</v>
      </c>
      <c r="I3" s="1">
        <v>5.9733549999999997E-6</v>
      </c>
      <c r="J3" s="1">
        <v>1.3577829999999999E-5</v>
      </c>
      <c r="K3">
        <v>0.99998200000000004</v>
      </c>
      <c r="L3" s="1">
        <v>0.31362972888013302</v>
      </c>
      <c r="M3" s="1">
        <v>-0.30128947640662401</v>
      </c>
      <c r="N3">
        <v>9000</v>
      </c>
      <c r="O3">
        <v>16</v>
      </c>
      <c r="P3">
        <v>1</v>
      </c>
      <c r="Q3">
        <v>1</v>
      </c>
      <c r="R3">
        <v>1</v>
      </c>
      <c r="S3">
        <v>0.01</v>
      </c>
      <c r="T3">
        <v>16</v>
      </c>
      <c r="U3">
        <v>0</v>
      </c>
      <c r="V3">
        <v>0.25</v>
      </c>
      <c r="W3">
        <v>174.4</v>
      </c>
      <c r="X3" t="s">
        <v>29</v>
      </c>
      <c r="Y3">
        <v>0.25</v>
      </c>
      <c r="Z3" t="s">
        <v>27</v>
      </c>
    </row>
    <row r="4" spans="1:26" x14ac:dyDescent="0.3">
      <c r="A4">
        <v>45</v>
      </c>
      <c r="B4">
        <v>0</v>
      </c>
      <c r="C4">
        <v>0</v>
      </c>
      <c r="D4" t="s">
        <v>14</v>
      </c>
      <c r="F4" s="1">
        <v>-0.313624128566593</v>
      </c>
      <c r="G4" s="1">
        <v>0.301053377427207</v>
      </c>
      <c r="H4" s="1">
        <v>0.434733516167644</v>
      </c>
      <c r="I4" s="1">
        <v>2.8719749999999999E-9</v>
      </c>
      <c r="J4" s="1">
        <v>5.6692630000000001E-12</v>
      </c>
      <c r="K4">
        <v>1</v>
      </c>
      <c r="L4" s="1">
        <v>0.31362972888013302</v>
      </c>
      <c r="M4" s="1">
        <v>-0.30128947640662401</v>
      </c>
      <c r="N4">
        <v>15000</v>
      </c>
      <c r="O4">
        <v>16</v>
      </c>
      <c r="P4">
        <v>1</v>
      </c>
      <c r="Q4">
        <v>1</v>
      </c>
      <c r="R4">
        <v>1</v>
      </c>
      <c r="S4">
        <v>0.01</v>
      </c>
      <c r="T4">
        <v>16</v>
      </c>
      <c r="U4">
        <v>0</v>
      </c>
      <c r="V4">
        <v>0.25</v>
      </c>
      <c r="W4">
        <v>289</v>
      </c>
      <c r="X4" t="s">
        <v>30</v>
      </c>
      <c r="Y4">
        <v>0.25</v>
      </c>
      <c r="Z4" t="s">
        <v>27</v>
      </c>
    </row>
    <row r="5" spans="1:26" x14ac:dyDescent="0.3">
      <c r="A5">
        <v>45</v>
      </c>
      <c r="B5">
        <v>1</v>
      </c>
      <c r="C5">
        <v>0.1</v>
      </c>
      <c r="D5" t="s">
        <v>28</v>
      </c>
      <c r="E5">
        <v>0</v>
      </c>
      <c r="F5" s="1">
        <v>-0.31457804437230003</v>
      </c>
      <c r="G5" s="1">
        <v>0.30041436109768899</v>
      </c>
      <c r="H5" s="1">
        <v>0.43498061376897501</v>
      </c>
      <c r="I5" s="1">
        <v>5.0755239999999998E-6</v>
      </c>
      <c r="J5" s="1">
        <v>1.029095E-5</v>
      </c>
      <c r="K5">
        <v>0.99998600000000004</v>
      </c>
      <c r="L5" s="1">
        <v>0.31362972888013302</v>
      </c>
      <c r="M5" s="1">
        <v>-0.30128947640662401</v>
      </c>
      <c r="N5">
        <v>9000</v>
      </c>
      <c r="O5">
        <v>16</v>
      </c>
      <c r="P5">
        <v>1</v>
      </c>
      <c r="Q5">
        <v>1</v>
      </c>
      <c r="R5">
        <v>1</v>
      </c>
      <c r="S5">
        <v>0.01</v>
      </c>
      <c r="T5">
        <v>16</v>
      </c>
      <c r="U5">
        <v>0</v>
      </c>
      <c r="V5">
        <v>0.25</v>
      </c>
      <c r="W5">
        <v>172.8</v>
      </c>
      <c r="X5" t="s">
        <v>31</v>
      </c>
      <c r="Y5">
        <v>0.25</v>
      </c>
      <c r="Z5" t="s">
        <v>27</v>
      </c>
    </row>
    <row r="6" spans="1:26" x14ac:dyDescent="0.3">
      <c r="A6">
        <v>42</v>
      </c>
      <c r="B6">
        <v>0</v>
      </c>
      <c r="C6">
        <v>0</v>
      </c>
      <c r="D6" t="s">
        <v>14</v>
      </c>
      <c r="F6" s="1">
        <v>0.33186541153818699</v>
      </c>
      <c r="G6" s="1">
        <v>-0.28062220655975401</v>
      </c>
      <c r="H6" s="1">
        <v>0.43460726430868102</v>
      </c>
      <c r="I6" s="1">
        <v>2.6988060000000001E-9</v>
      </c>
      <c r="J6" s="1">
        <v>5.3051579999999996E-12</v>
      </c>
      <c r="K6">
        <v>1</v>
      </c>
      <c r="L6" s="1">
        <v>0.33118719437495803</v>
      </c>
      <c r="M6" s="1">
        <v>-0.28187585514344299</v>
      </c>
      <c r="N6">
        <v>15000</v>
      </c>
      <c r="O6">
        <v>16</v>
      </c>
      <c r="P6">
        <v>1</v>
      </c>
      <c r="Q6">
        <v>1</v>
      </c>
      <c r="R6">
        <v>1</v>
      </c>
      <c r="S6">
        <v>0.01</v>
      </c>
      <c r="T6">
        <v>16</v>
      </c>
      <c r="U6">
        <v>0</v>
      </c>
      <c r="V6">
        <v>0.5</v>
      </c>
      <c r="W6">
        <v>290</v>
      </c>
      <c r="X6" t="s">
        <v>32</v>
      </c>
      <c r="Y6">
        <v>0.5</v>
      </c>
      <c r="Z6" t="s">
        <v>33</v>
      </c>
    </row>
    <row r="7" spans="1:26" x14ac:dyDescent="0.3">
      <c r="A7">
        <v>42</v>
      </c>
      <c r="B7">
        <v>1</v>
      </c>
      <c r="C7">
        <v>0.1</v>
      </c>
      <c r="D7" t="s">
        <v>28</v>
      </c>
      <c r="E7">
        <v>0</v>
      </c>
      <c r="F7" s="1">
        <v>0.33329903079145901</v>
      </c>
      <c r="G7" s="1">
        <v>-0.28049227414286998</v>
      </c>
      <c r="H7" s="1">
        <v>0.43561928306763997</v>
      </c>
      <c r="I7" s="1">
        <v>7.9090380000000006E-6</v>
      </c>
      <c r="J7" s="1">
        <v>2.4465219999999999E-5</v>
      </c>
      <c r="K7">
        <v>0.99996799999999997</v>
      </c>
      <c r="L7" s="1">
        <v>0.33118719437495803</v>
      </c>
      <c r="M7" s="1">
        <v>-0.28187585514344299</v>
      </c>
      <c r="N7">
        <v>9000</v>
      </c>
      <c r="O7">
        <v>16</v>
      </c>
      <c r="P7">
        <v>1</v>
      </c>
      <c r="Q7">
        <v>1</v>
      </c>
      <c r="R7">
        <v>1</v>
      </c>
      <c r="S7">
        <v>0.01</v>
      </c>
      <c r="T7">
        <v>16</v>
      </c>
      <c r="U7">
        <v>0</v>
      </c>
      <c r="V7">
        <v>0.5</v>
      </c>
      <c r="W7">
        <v>172.8</v>
      </c>
      <c r="X7" t="s">
        <v>34</v>
      </c>
      <c r="Y7">
        <v>0.5</v>
      </c>
      <c r="Z7" t="s">
        <v>33</v>
      </c>
    </row>
    <row r="8" spans="1:26" x14ac:dyDescent="0.3">
      <c r="A8">
        <v>45</v>
      </c>
      <c r="B8">
        <v>0</v>
      </c>
      <c r="C8">
        <v>0</v>
      </c>
      <c r="D8" t="s">
        <v>14</v>
      </c>
      <c r="F8" s="1">
        <v>0.33186864102135499</v>
      </c>
      <c r="G8" s="1">
        <v>-0.28058868891735</v>
      </c>
      <c r="H8" s="1">
        <v>0.43458808916227598</v>
      </c>
      <c r="I8" s="1">
        <v>2.461049E-9</v>
      </c>
      <c r="J8" s="1">
        <v>3.599166E-12</v>
      </c>
      <c r="K8">
        <v>1</v>
      </c>
      <c r="L8" s="1">
        <v>0.33118719437495803</v>
      </c>
      <c r="M8" s="1">
        <v>-0.28187585514344299</v>
      </c>
      <c r="N8">
        <v>15000</v>
      </c>
      <c r="O8">
        <v>16</v>
      </c>
      <c r="P8">
        <v>1</v>
      </c>
      <c r="Q8">
        <v>1</v>
      </c>
      <c r="R8">
        <v>1</v>
      </c>
      <c r="S8">
        <v>0.01</v>
      </c>
      <c r="T8">
        <v>16</v>
      </c>
      <c r="U8">
        <v>0</v>
      </c>
      <c r="V8">
        <v>0.5</v>
      </c>
      <c r="W8">
        <v>288.2</v>
      </c>
      <c r="X8" t="s">
        <v>35</v>
      </c>
      <c r="Y8">
        <v>0.5</v>
      </c>
      <c r="Z8" t="s">
        <v>33</v>
      </c>
    </row>
    <row r="9" spans="1:26" x14ac:dyDescent="0.3">
      <c r="A9">
        <v>45</v>
      </c>
      <c r="B9">
        <v>1</v>
      </c>
      <c r="C9">
        <v>0.1</v>
      </c>
      <c r="D9" t="s">
        <v>28</v>
      </c>
      <c r="E9">
        <v>0</v>
      </c>
      <c r="F9" s="1">
        <v>0.33331077942133402</v>
      </c>
      <c r="G9" s="1">
        <v>-0.28047493418889502</v>
      </c>
      <c r="H9" s="1">
        <v>0.43561710754597599</v>
      </c>
      <c r="I9" s="1">
        <v>7.073358E-6</v>
      </c>
      <c r="J9" s="1">
        <v>2.0240629999999999E-5</v>
      </c>
      <c r="K9">
        <v>0.999973</v>
      </c>
      <c r="L9" s="1">
        <v>0.33118719437495803</v>
      </c>
      <c r="M9" s="1">
        <v>-0.28187585514344299</v>
      </c>
      <c r="N9">
        <v>9000</v>
      </c>
      <c r="O9">
        <v>16</v>
      </c>
      <c r="P9">
        <v>1</v>
      </c>
      <c r="Q9">
        <v>1</v>
      </c>
      <c r="R9">
        <v>1</v>
      </c>
      <c r="S9">
        <v>0.01</v>
      </c>
      <c r="T9">
        <v>16</v>
      </c>
      <c r="U9">
        <v>0</v>
      </c>
      <c r="V9">
        <v>0.5</v>
      </c>
      <c r="W9">
        <v>171.4</v>
      </c>
      <c r="X9" t="s">
        <v>36</v>
      </c>
      <c r="Y9">
        <v>0.5</v>
      </c>
      <c r="Z9" t="s">
        <v>33</v>
      </c>
    </row>
    <row r="10" spans="1:26" x14ac:dyDescent="0.3">
      <c r="A10">
        <v>42</v>
      </c>
      <c r="B10">
        <v>0</v>
      </c>
      <c r="C10">
        <v>0</v>
      </c>
      <c r="D10" t="s">
        <v>14</v>
      </c>
      <c r="F10" s="1">
        <v>-0.359243849976013</v>
      </c>
      <c r="G10" s="1">
        <v>0.24408181113255201</v>
      </c>
      <c r="H10" s="1">
        <v>0.43431794145687203</v>
      </c>
      <c r="I10" s="1">
        <v>3.1362370000000002E-9</v>
      </c>
      <c r="J10" s="1">
        <v>6.5925040000000003E-12</v>
      </c>
      <c r="K10">
        <v>1</v>
      </c>
      <c r="L10" s="1">
        <v>0.35775414248369602</v>
      </c>
      <c r="M10" s="1">
        <v>-0.24728713870025401</v>
      </c>
      <c r="N10">
        <v>15000</v>
      </c>
      <c r="O10">
        <v>16</v>
      </c>
      <c r="P10">
        <v>1</v>
      </c>
      <c r="Q10">
        <v>1</v>
      </c>
      <c r="R10">
        <v>1</v>
      </c>
      <c r="S10">
        <v>0.01</v>
      </c>
      <c r="T10">
        <v>16</v>
      </c>
      <c r="U10">
        <v>0</v>
      </c>
      <c r="V10">
        <v>0.75</v>
      </c>
      <c r="W10">
        <v>290.7</v>
      </c>
      <c r="X10" t="s">
        <v>37</v>
      </c>
      <c r="Y10">
        <v>0.75</v>
      </c>
      <c r="Z10" t="s">
        <v>38</v>
      </c>
    </row>
    <row r="11" spans="1:26" x14ac:dyDescent="0.3">
      <c r="A11">
        <v>42</v>
      </c>
      <c r="B11">
        <v>1</v>
      </c>
      <c r="C11">
        <v>0.1</v>
      </c>
      <c r="D11" t="s">
        <v>28</v>
      </c>
      <c r="E11">
        <v>0</v>
      </c>
      <c r="F11" s="1">
        <v>-0.361463810999544</v>
      </c>
      <c r="G11" s="1">
        <v>0.24506101300599401</v>
      </c>
      <c r="H11" s="1">
        <v>0.43670469056083899</v>
      </c>
      <c r="I11" s="1">
        <v>1.039406E-5</v>
      </c>
      <c r="J11" s="1">
        <v>4.0502310000000001E-5</v>
      </c>
      <c r="K11">
        <v>0.99994700000000003</v>
      </c>
      <c r="L11" s="1">
        <v>0.35775414248369602</v>
      </c>
      <c r="M11" s="1">
        <v>-0.24728713870025401</v>
      </c>
      <c r="N11">
        <v>9000</v>
      </c>
      <c r="O11">
        <v>16</v>
      </c>
      <c r="P11">
        <v>1</v>
      </c>
      <c r="Q11">
        <v>1</v>
      </c>
      <c r="R11">
        <v>1</v>
      </c>
      <c r="S11">
        <v>0.01</v>
      </c>
      <c r="T11">
        <v>16</v>
      </c>
      <c r="U11">
        <v>0</v>
      </c>
      <c r="V11">
        <v>0.75</v>
      </c>
      <c r="W11">
        <v>172.2</v>
      </c>
      <c r="X11" t="s">
        <v>39</v>
      </c>
      <c r="Y11">
        <v>0.75</v>
      </c>
      <c r="Z11" t="s">
        <v>38</v>
      </c>
    </row>
    <row r="12" spans="1:26" x14ac:dyDescent="0.3">
      <c r="A12">
        <v>45</v>
      </c>
      <c r="B12">
        <v>0</v>
      </c>
      <c r="C12">
        <v>0</v>
      </c>
      <c r="D12" t="s">
        <v>14</v>
      </c>
      <c r="F12" s="1">
        <v>0.35927985776627303</v>
      </c>
      <c r="G12" s="1">
        <v>-0.24407261208040901</v>
      </c>
      <c r="H12" s="1">
        <v>0.434342556243695</v>
      </c>
      <c r="I12" s="1">
        <v>2.6213080000000001E-9</v>
      </c>
      <c r="J12" s="1">
        <v>3.6932269999999999E-12</v>
      </c>
      <c r="K12">
        <v>1</v>
      </c>
      <c r="L12" s="1">
        <v>0.35775414248369602</v>
      </c>
      <c r="M12" s="1">
        <v>-0.24728713870025401</v>
      </c>
      <c r="N12">
        <v>15000</v>
      </c>
      <c r="O12">
        <v>16</v>
      </c>
      <c r="P12">
        <v>1</v>
      </c>
      <c r="Q12">
        <v>1</v>
      </c>
      <c r="R12">
        <v>1</v>
      </c>
      <c r="S12">
        <v>0.01</v>
      </c>
      <c r="T12">
        <v>16</v>
      </c>
      <c r="U12">
        <v>0</v>
      </c>
      <c r="V12">
        <v>0.75</v>
      </c>
      <c r="W12">
        <v>290.10000000000002</v>
      </c>
      <c r="X12" t="s">
        <v>40</v>
      </c>
      <c r="Y12">
        <v>0.75</v>
      </c>
      <c r="Z12" t="s">
        <v>38</v>
      </c>
    </row>
    <row r="13" spans="1:26" x14ac:dyDescent="0.3">
      <c r="A13">
        <v>45</v>
      </c>
      <c r="B13">
        <v>1</v>
      </c>
      <c r="C13">
        <v>0.1</v>
      </c>
      <c r="D13" t="s">
        <v>28</v>
      </c>
      <c r="E13">
        <v>0</v>
      </c>
      <c r="F13" s="1">
        <v>0.36153183484726997</v>
      </c>
      <c r="G13" s="1">
        <v>-0.24496929430209999</v>
      </c>
      <c r="H13" s="1">
        <v>0.43670954049448302</v>
      </c>
      <c r="I13" s="1">
        <v>9.1813219999999998E-6</v>
      </c>
      <c r="J13" s="1">
        <v>3.415238E-5</v>
      </c>
      <c r="K13">
        <v>0.99995599999999996</v>
      </c>
      <c r="L13" s="1">
        <v>0.35775414248369602</v>
      </c>
      <c r="M13" s="1">
        <v>-0.24728713870025401</v>
      </c>
      <c r="N13">
        <v>9000</v>
      </c>
      <c r="O13">
        <v>16</v>
      </c>
      <c r="P13">
        <v>1</v>
      </c>
      <c r="Q13">
        <v>1</v>
      </c>
      <c r="R13">
        <v>1</v>
      </c>
      <c r="S13">
        <v>0.01</v>
      </c>
      <c r="T13">
        <v>16</v>
      </c>
      <c r="U13">
        <v>0</v>
      </c>
      <c r="V13">
        <v>0.75</v>
      </c>
      <c r="W13">
        <v>173.5</v>
      </c>
      <c r="X13" t="s">
        <v>41</v>
      </c>
      <c r="Y13">
        <v>0.75</v>
      </c>
      <c r="Z13" t="s">
        <v>38</v>
      </c>
    </row>
    <row r="14" spans="1:26" x14ac:dyDescent="0.3">
      <c r="A14">
        <v>42</v>
      </c>
      <c r="B14">
        <v>0</v>
      </c>
      <c r="C14">
        <v>0</v>
      </c>
      <c r="D14" t="s">
        <v>14</v>
      </c>
      <c r="F14" s="1">
        <v>0.39093254679233103</v>
      </c>
      <c r="G14" s="1">
        <v>-0.188483006886876</v>
      </c>
      <c r="H14" s="1">
        <v>0.433997811085098</v>
      </c>
      <c r="I14" s="1">
        <v>2.7234070000000001E-9</v>
      </c>
      <c r="J14" s="1">
        <v>4.5580379999999999E-12</v>
      </c>
      <c r="K14">
        <v>1</v>
      </c>
      <c r="L14" s="1">
        <v>0.38885028963483798</v>
      </c>
      <c r="M14" s="1">
        <v>-0.19476757348620899</v>
      </c>
      <c r="N14">
        <v>15000</v>
      </c>
      <c r="O14">
        <v>16</v>
      </c>
      <c r="P14">
        <v>1</v>
      </c>
      <c r="Q14">
        <v>1</v>
      </c>
      <c r="R14">
        <v>1</v>
      </c>
      <c r="S14">
        <v>0.01</v>
      </c>
      <c r="T14">
        <v>16</v>
      </c>
      <c r="U14">
        <v>0</v>
      </c>
      <c r="V14">
        <v>1</v>
      </c>
      <c r="W14">
        <v>290.2</v>
      </c>
      <c r="X14" t="s">
        <v>42</v>
      </c>
      <c r="Y14">
        <v>1</v>
      </c>
      <c r="Z14" t="s">
        <v>43</v>
      </c>
    </row>
    <row r="15" spans="1:26" x14ac:dyDescent="0.3">
      <c r="A15">
        <v>42</v>
      </c>
      <c r="B15">
        <v>1</v>
      </c>
      <c r="C15">
        <v>0.1</v>
      </c>
      <c r="D15" t="s">
        <v>28</v>
      </c>
      <c r="E15">
        <v>0</v>
      </c>
      <c r="F15" s="1">
        <v>0.39482690610493598</v>
      </c>
      <c r="G15" s="1">
        <v>-0.19066924078382599</v>
      </c>
      <c r="H15" s="1">
        <v>0.43845529437501002</v>
      </c>
      <c r="I15" s="1">
        <v>1.3019590000000001E-5</v>
      </c>
      <c r="J15" s="1">
        <v>6.7296070000000006E-5</v>
      </c>
      <c r="K15">
        <v>0.99991699999999994</v>
      </c>
      <c r="L15" s="1">
        <v>0.38885028963483798</v>
      </c>
      <c r="M15" s="1">
        <v>-0.19476757348620899</v>
      </c>
      <c r="N15">
        <v>9000</v>
      </c>
      <c r="O15">
        <v>16</v>
      </c>
      <c r="P15">
        <v>1</v>
      </c>
      <c r="Q15">
        <v>1</v>
      </c>
      <c r="R15">
        <v>1</v>
      </c>
      <c r="S15">
        <v>0.01</v>
      </c>
      <c r="T15">
        <v>16</v>
      </c>
      <c r="U15">
        <v>0</v>
      </c>
      <c r="V15">
        <v>1</v>
      </c>
      <c r="W15">
        <v>172.8</v>
      </c>
      <c r="X15" t="s">
        <v>44</v>
      </c>
      <c r="Y15">
        <v>1</v>
      </c>
      <c r="Z15" t="s">
        <v>43</v>
      </c>
    </row>
    <row r="16" spans="1:26" x14ac:dyDescent="0.3">
      <c r="A16">
        <v>45</v>
      </c>
      <c r="B16">
        <v>0</v>
      </c>
      <c r="C16">
        <v>0</v>
      </c>
      <c r="D16" t="s">
        <v>14</v>
      </c>
      <c r="F16" s="1">
        <v>0.39085922922000899</v>
      </c>
      <c r="G16" s="1">
        <v>-0.18859684091971499</v>
      </c>
      <c r="H16" s="1">
        <v>0.43398122709554598</v>
      </c>
      <c r="I16" s="1">
        <v>2.6199900000000002E-9</v>
      </c>
      <c r="J16" s="1">
        <v>5.2912279999999999E-12</v>
      </c>
      <c r="K16">
        <v>1</v>
      </c>
      <c r="L16" s="1">
        <v>0.38885028963483798</v>
      </c>
      <c r="M16" s="1">
        <v>-0.19476757348620899</v>
      </c>
      <c r="N16">
        <v>15000</v>
      </c>
      <c r="O16">
        <v>16</v>
      </c>
      <c r="P16">
        <v>1</v>
      </c>
      <c r="Q16">
        <v>1</v>
      </c>
      <c r="R16">
        <v>1</v>
      </c>
      <c r="S16">
        <v>0.01</v>
      </c>
      <c r="T16">
        <v>16</v>
      </c>
      <c r="U16">
        <v>0</v>
      </c>
      <c r="V16">
        <v>1</v>
      </c>
      <c r="W16">
        <v>290</v>
      </c>
      <c r="X16" t="s">
        <v>45</v>
      </c>
      <c r="Y16">
        <v>1</v>
      </c>
      <c r="Z16" t="s">
        <v>43</v>
      </c>
    </row>
    <row r="17" spans="1:26" x14ac:dyDescent="0.3">
      <c r="A17">
        <v>45</v>
      </c>
      <c r="B17">
        <v>1</v>
      </c>
      <c r="C17">
        <v>0.1</v>
      </c>
      <c r="D17" t="s">
        <v>28</v>
      </c>
      <c r="E17">
        <v>0</v>
      </c>
      <c r="F17" s="1">
        <v>0.39524930206525899</v>
      </c>
      <c r="G17" s="1">
        <v>-0.188458986245257</v>
      </c>
      <c r="H17" s="1">
        <v>0.43787989252723702</v>
      </c>
      <c r="I17" s="1">
        <v>1.210843E-5</v>
      </c>
      <c r="J17" s="1">
        <v>6.1151880000000005E-5</v>
      </c>
      <c r="K17">
        <v>0.99992499999999995</v>
      </c>
      <c r="L17" s="1">
        <v>0.38885028963483798</v>
      </c>
      <c r="M17" s="1">
        <v>-0.19476757348620899</v>
      </c>
      <c r="N17">
        <v>9000</v>
      </c>
      <c r="O17">
        <v>16</v>
      </c>
      <c r="P17">
        <v>1</v>
      </c>
      <c r="Q17">
        <v>1</v>
      </c>
      <c r="R17">
        <v>1</v>
      </c>
      <c r="S17">
        <v>0.01</v>
      </c>
      <c r="T17">
        <v>16</v>
      </c>
      <c r="U17">
        <v>0</v>
      </c>
      <c r="V17">
        <v>1</v>
      </c>
      <c r="W17">
        <v>175.6</v>
      </c>
      <c r="X17" t="s">
        <v>46</v>
      </c>
      <c r="Y17">
        <v>1</v>
      </c>
      <c r="Z17" t="s">
        <v>43</v>
      </c>
    </row>
    <row r="18" spans="1:26" x14ac:dyDescent="0.3">
      <c r="A18">
        <v>42</v>
      </c>
      <c r="B18">
        <v>0</v>
      </c>
      <c r="C18">
        <v>0</v>
      </c>
      <c r="D18" t="s">
        <v>14</v>
      </c>
      <c r="F18" s="1">
        <v>-0.41895398737552297</v>
      </c>
      <c r="G18" s="1">
        <v>0.111472282108212</v>
      </c>
      <c r="H18" s="1">
        <v>0.43353029100198098</v>
      </c>
      <c r="I18" s="1">
        <v>3.2206490000000001E-9</v>
      </c>
      <c r="J18" s="1">
        <v>5.7962510000000002E-12</v>
      </c>
      <c r="K18">
        <v>1</v>
      </c>
      <c r="L18" s="1">
        <v>0.41750879410619202</v>
      </c>
      <c r="M18" s="1">
        <v>-0.121759444294053</v>
      </c>
      <c r="N18">
        <v>15000</v>
      </c>
      <c r="O18">
        <v>16</v>
      </c>
      <c r="P18">
        <v>1</v>
      </c>
      <c r="Q18">
        <v>1</v>
      </c>
      <c r="R18">
        <v>1</v>
      </c>
      <c r="S18">
        <v>0.01</v>
      </c>
      <c r="T18">
        <v>16</v>
      </c>
      <c r="U18">
        <v>0</v>
      </c>
      <c r="V18">
        <v>1.25</v>
      </c>
      <c r="W18">
        <v>292.10000000000002</v>
      </c>
      <c r="X18" t="s">
        <v>47</v>
      </c>
      <c r="Y18">
        <v>1.25</v>
      </c>
      <c r="Z18" t="s">
        <v>48</v>
      </c>
    </row>
    <row r="19" spans="1:26" x14ac:dyDescent="0.3">
      <c r="A19">
        <v>42</v>
      </c>
      <c r="B19">
        <v>1</v>
      </c>
      <c r="C19">
        <v>0.1</v>
      </c>
      <c r="D19" t="s">
        <v>28</v>
      </c>
      <c r="E19">
        <v>0</v>
      </c>
      <c r="F19" s="1">
        <v>-0.42560135674819599</v>
      </c>
      <c r="G19" s="1">
        <v>0.11443927126643599</v>
      </c>
      <c r="H19" s="1">
        <v>0.44071857423291999</v>
      </c>
      <c r="I19" s="1">
        <v>1.5634999999999999E-5</v>
      </c>
      <c r="J19" s="1">
        <v>9.0084329999999996E-5</v>
      </c>
      <c r="K19">
        <v>0.99988299999999997</v>
      </c>
      <c r="L19" s="1">
        <v>0.41750879410619202</v>
      </c>
      <c r="M19" s="1">
        <v>-0.121759444294053</v>
      </c>
      <c r="N19">
        <v>9000</v>
      </c>
      <c r="O19">
        <v>16</v>
      </c>
      <c r="P19">
        <v>1</v>
      </c>
      <c r="Q19">
        <v>1</v>
      </c>
      <c r="R19">
        <v>1</v>
      </c>
      <c r="S19">
        <v>0.01</v>
      </c>
      <c r="T19">
        <v>16</v>
      </c>
      <c r="U19">
        <v>0</v>
      </c>
      <c r="V19">
        <v>1.25</v>
      </c>
      <c r="W19">
        <v>173.4</v>
      </c>
      <c r="X19" t="s">
        <v>49</v>
      </c>
      <c r="Y19">
        <v>1.25</v>
      </c>
      <c r="Z19" t="s">
        <v>48</v>
      </c>
    </row>
    <row r="20" spans="1:26" x14ac:dyDescent="0.3">
      <c r="A20">
        <v>45</v>
      </c>
      <c r="B20">
        <v>0</v>
      </c>
      <c r="C20">
        <v>0</v>
      </c>
      <c r="D20" t="s">
        <v>14</v>
      </c>
      <c r="F20" s="1">
        <v>0.41893404183472299</v>
      </c>
      <c r="G20" s="1">
        <v>-0.111662210109205</v>
      </c>
      <c r="H20" s="1">
        <v>0.43355989271892997</v>
      </c>
      <c r="I20" s="1">
        <v>2.793639E-9</v>
      </c>
      <c r="J20" s="1">
        <v>4.2668850000000002E-12</v>
      </c>
      <c r="K20">
        <v>1</v>
      </c>
      <c r="L20" s="1">
        <v>0.41750879410619202</v>
      </c>
      <c r="M20" s="1">
        <v>-0.121759444294053</v>
      </c>
      <c r="N20">
        <v>15000</v>
      </c>
      <c r="O20">
        <v>16</v>
      </c>
      <c r="P20">
        <v>1</v>
      </c>
      <c r="Q20">
        <v>1</v>
      </c>
      <c r="R20">
        <v>1</v>
      </c>
      <c r="S20">
        <v>0.01</v>
      </c>
      <c r="T20">
        <v>16</v>
      </c>
      <c r="U20">
        <v>0</v>
      </c>
      <c r="V20">
        <v>1.25</v>
      </c>
      <c r="W20">
        <v>291</v>
      </c>
      <c r="X20" t="s">
        <v>50</v>
      </c>
      <c r="Y20">
        <v>1.25</v>
      </c>
      <c r="Z20" t="s">
        <v>48</v>
      </c>
    </row>
    <row r="21" spans="1:26" x14ac:dyDescent="0.3">
      <c r="A21">
        <v>45</v>
      </c>
      <c r="B21">
        <v>1</v>
      </c>
      <c r="C21">
        <v>0.1</v>
      </c>
      <c r="D21" t="s">
        <v>28</v>
      </c>
      <c r="E21">
        <v>0</v>
      </c>
      <c r="F21" s="1">
        <v>0.424301341581377</v>
      </c>
      <c r="G21" s="1">
        <v>-0.117625465511991</v>
      </c>
      <c r="H21" s="1">
        <v>0.44030373448867</v>
      </c>
      <c r="I21" s="1">
        <v>1.431789E-5</v>
      </c>
      <c r="J21" s="1">
        <v>8.1233610000000002E-5</v>
      </c>
      <c r="K21">
        <v>0.99989700000000004</v>
      </c>
      <c r="L21" s="1">
        <v>0.41750879410619202</v>
      </c>
      <c r="M21" s="1">
        <v>-0.121759444294053</v>
      </c>
      <c r="N21">
        <v>9000</v>
      </c>
      <c r="O21">
        <v>16</v>
      </c>
      <c r="P21">
        <v>1</v>
      </c>
      <c r="Q21">
        <v>1</v>
      </c>
      <c r="R21">
        <v>1</v>
      </c>
      <c r="S21">
        <v>0.01</v>
      </c>
      <c r="T21">
        <v>16</v>
      </c>
      <c r="U21">
        <v>0</v>
      </c>
      <c r="V21">
        <v>1.25</v>
      </c>
      <c r="W21">
        <v>174.1</v>
      </c>
      <c r="X21" t="s">
        <v>51</v>
      </c>
      <c r="Y21">
        <v>1.25</v>
      </c>
      <c r="Z21" t="s">
        <v>48</v>
      </c>
    </row>
    <row r="22" spans="1:26" x14ac:dyDescent="0.3">
      <c r="A22">
        <v>42</v>
      </c>
      <c r="B22">
        <v>0</v>
      </c>
      <c r="C22">
        <v>0</v>
      </c>
      <c r="D22" t="s">
        <v>14</v>
      </c>
      <c r="F22" s="1">
        <v>-0.43283650409249602</v>
      </c>
      <c r="G22" s="1">
        <v>1.25043674908014E-2</v>
      </c>
      <c r="H22" s="1">
        <v>0.43301708797847499</v>
      </c>
      <c r="I22" s="1">
        <v>2.998813E-9</v>
      </c>
      <c r="J22" s="1">
        <v>5.9107149999999996E-12</v>
      </c>
      <c r="K22">
        <v>1</v>
      </c>
      <c r="L22" s="1">
        <v>0.43403710680369301</v>
      </c>
      <c r="M22" s="1">
        <v>-2.7399732631603901E-2</v>
      </c>
      <c r="N22">
        <v>15000</v>
      </c>
      <c r="O22">
        <v>16</v>
      </c>
      <c r="P22">
        <v>1</v>
      </c>
      <c r="Q22">
        <v>1</v>
      </c>
      <c r="R22">
        <v>1</v>
      </c>
      <c r="S22">
        <v>0.01</v>
      </c>
      <c r="T22">
        <v>16</v>
      </c>
      <c r="U22">
        <v>0</v>
      </c>
      <c r="V22">
        <v>1.5</v>
      </c>
      <c r="W22">
        <v>290.8</v>
      </c>
      <c r="X22" t="s">
        <v>52</v>
      </c>
      <c r="Y22">
        <v>1.5</v>
      </c>
      <c r="Z22" t="s">
        <v>53</v>
      </c>
    </row>
    <row r="23" spans="1:26" x14ac:dyDescent="0.3">
      <c r="A23">
        <v>42</v>
      </c>
      <c r="B23">
        <v>1</v>
      </c>
      <c r="C23">
        <v>0.1</v>
      </c>
      <c r="D23" t="s">
        <v>28</v>
      </c>
      <c r="E23">
        <v>0</v>
      </c>
      <c r="F23" s="1">
        <v>-0.44311271780836697</v>
      </c>
      <c r="G23" s="1">
        <v>2.1019014779760498E-2</v>
      </c>
      <c r="H23" s="1">
        <v>0.44361095530411399</v>
      </c>
      <c r="I23" s="1">
        <v>1.8438979999999999E-5</v>
      </c>
      <c r="J23" s="1">
        <v>1.2668E-4</v>
      </c>
      <c r="K23">
        <v>0.999838</v>
      </c>
      <c r="L23" s="1">
        <v>0.43403710680369301</v>
      </c>
      <c r="M23" s="1">
        <v>-2.7399732631603901E-2</v>
      </c>
      <c r="N23">
        <v>9000</v>
      </c>
      <c r="O23">
        <v>16</v>
      </c>
      <c r="P23">
        <v>1</v>
      </c>
      <c r="Q23">
        <v>1</v>
      </c>
      <c r="R23">
        <v>1</v>
      </c>
      <c r="S23">
        <v>0.01</v>
      </c>
      <c r="T23">
        <v>16</v>
      </c>
      <c r="U23">
        <v>0</v>
      </c>
      <c r="V23">
        <v>1.5</v>
      </c>
      <c r="W23">
        <v>173.9</v>
      </c>
      <c r="X23" t="s">
        <v>54</v>
      </c>
      <c r="Y23">
        <v>1.5</v>
      </c>
      <c r="Z23" t="s">
        <v>53</v>
      </c>
    </row>
    <row r="24" spans="1:26" x14ac:dyDescent="0.3">
      <c r="A24">
        <v>45</v>
      </c>
      <c r="B24">
        <v>0</v>
      </c>
      <c r="C24">
        <v>0</v>
      </c>
      <c r="D24" t="s">
        <v>14</v>
      </c>
      <c r="F24" s="1">
        <v>-0.43287600505141</v>
      </c>
      <c r="G24" s="1">
        <v>1.257431280133E-2</v>
      </c>
      <c r="H24" s="1">
        <v>0.433058597757502</v>
      </c>
      <c r="I24" s="1">
        <v>2.995315E-9</v>
      </c>
      <c r="J24" s="1">
        <v>5.1394829999999999E-12</v>
      </c>
      <c r="K24">
        <v>1</v>
      </c>
      <c r="L24" s="1">
        <v>0.43403710680369301</v>
      </c>
      <c r="M24" s="1">
        <v>-2.7399732631603901E-2</v>
      </c>
      <c r="N24">
        <v>15000</v>
      </c>
      <c r="O24">
        <v>16</v>
      </c>
      <c r="P24">
        <v>1</v>
      </c>
      <c r="Q24">
        <v>1</v>
      </c>
      <c r="R24">
        <v>1</v>
      </c>
      <c r="S24">
        <v>0.01</v>
      </c>
      <c r="T24">
        <v>16</v>
      </c>
      <c r="U24">
        <v>0</v>
      </c>
      <c r="V24">
        <v>1.5</v>
      </c>
      <c r="W24">
        <v>288.10000000000002</v>
      </c>
      <c r="X24" t="s">
        <v>55</v>
      </c>
      <c r="Y24">
        <v>1.5</v>
      </c>
      <c r="Z24" t="s">
        <v>53</v>
      </c>
    </row>
    <row r="25" spans="1:26" x14ac:dyDescent="0.3">
      <c r="A25">
        <v>45</v>
      </c>
      <c r="B25">
        <v>1</v>
      </c>
      <c r="C25">
        <v>0.1</v>
      </c>
      <c r="D25" t="s">
        <v>28</v>
      </c>
      <c r="E25">
        <v>0</v>
      </c>
      <c r="F25" s="1">
        <v>-0.44238232286032803</v>
      </c>
      <c r="G25" s="1">
        <v>2.3551353538518598E-2</v>
      </c>
      <c r="H25" s="1">
        <v>0.44300878753450901</v>
      </c>
      <c r="I25" s="1">
        <v>1.698746E-5</v>
      </c>
      <c r="J25" s="1">
        <v>1.1594080000000001E-4</v>
      </c>
      <c r="K25">
        <v>0.99985599999999997</v>
      </c>
      <c r="L25" s="1">
        <v>0.43403710680369301</v>
      </c>
      <c r="M25" s="1">
        <v>-2.7399732631603901E-2</v>
      </c>
      <c r="N25">
        <v>9000</v>
      </c>
      <c r="O25">
        <v>16</v>
      </c>
      <c r="P25">
        <v>1</v>
      </c>
      <c r="Q25">
        <v>1</v>
      </c>
      <c r="R25">
        <v>1</v>
      </c>
      <c r="S25">
        <v>0.01</v>
      </c>
      <c r="T25">
        <v>16</v>
      </c>
      <c r="U25">
        <v>0</v>
      </c>
      <c r="V25">
        <v>1.5</v>
      </c>
      <c r="W25">
        <v>174.1</v>
      </c>
      <c r="X25" t="s">
        <v>56</v>
      </c>
      <c r="Y25">
        <v>1.5</v>
      </c>
      <c r="Z25" t="s">
        <v>53</v>
      </c>
    </row>
    <row r="26" spans="1:26" x14ac:dyDescent="0.3">
      <c r="A26">
        <v>42</v>
      </c>
      <c r="B26">
        <v>0</v>
      </c>
      <c r="C26">
        <v>0</v>
      </c>
      <c r="D26" t="s">
        <v>14</v>
      </c>
      <c r="F26" s="1">
        <v>0.41957079949919901</v>
      </c>
      <c r="G26" s="1">
        <v>0.104841396054685</v>
      </c>
      <c r="H26" s="1">
        <v>0.43247124080000099</v>
      </c>
      <c r="I26" s="1">
        <v>2.8814499999999998E-9</v>
      </c>
      <c r="J26" s="1">
        <v>4.8222600000000001E-12</v>
      </c>
      <c r="K26">
        <v>1</v>
      </c>
      <c r="L26" s="1">
        <v>0.42642054565481502</v>
      </c>
      <c r="M26" s="1">
        <v>8.5466213641724506E-2</v>
      </c>
      <c r="N26">
        <v>15000</v>
      </c>
      <c r="O26">
        <v>16</v>
      </c>
      <c r="P26">
        <v>1</v>
      </c>
      <c r="Q26">
        <v>1</v>
      </c>
      <c r="R26">
        <v>1</v>
      </c>
      <c r="S26">
        <v>0.01</v>
      </c>
      <c r="T26">
        <v>16</v>
      </c>
      <c r="U26">
        <v>0</v>
      </c>
      <c r="V26">
        <v>1.75</v>
      </c>
      <c r="W26">
        <v>289.7</v>
      </c>
      <c r="X26" t="s">
        <v>57</v>
      </c>
      <c r="Y26">
        <v>1.75</v>
      </c>
      <c r="Z26" t="s">
        <v>58</v>
      </c>
    </row>
    <row r="27" spans="1:26" x14ac:dyDescent="0.3">
      <c r="A27">
        <v>42</v>
      </c>
      <c r="B27">
        <v>1</v>
      </c>
      <c r="C27">
        <v>0.1</v>
      </c>
      <c r="D27" t="s">
        <v>28</v>
      </c>
      <c r="E27">
        <v>0</v>
      </c>
      <c r="F27" s="1">
        <v>0.43871759620009898</v>
      </c>
      <c r="G27" s="1">
        <v>0.10227163177441199</v>
      </c>
      <c r="H27" s="1">
        <v>0.450480427856077</v>
      </c>
      <c r="I27" s="1">
        <v>2.131018E-5</v>
      </c>
      <c r="J27" s="1">
        <v>1.631003E-4</v>
      </c>
      <c r="K27">
        <v>0.99977800000000006</v>
      </c>
      <c r="L27" s="1">
        <v>0.42642054565481502</v>
      </c>
      <c r="M27" s="1">
        <v>8.5466213641724506E-2</v>
      </c>
      <c r="N27">
        <v>9000</v>
      </c>
      <c r="O27">
        <v>16</v>
      </c>
      <c r="P27">
        <v>1</v>
      </c>
      <c r="Q27">
        <v>1</v>
      </c>
      <c r="R27">
        <v>1</v>
      </c>
      <c r="S27">
        <v>0.01</v>
      </c>
      <c r="T27">
        <v>16</v>
      </c>
      <c r="U27">
        <v>0</v>
      </c>
      <c r="V27">
        <v>1.75</v>
      </c>
      <c r="W27">
        <v>173</v>
      </c>
      <c r="X27" t="s">
        <v>59</v>
      </c>
      <c r="Y27">
        <v>1.75</v>
      </c>
      <c r="Z27" t="s">
        <v>58</v>
      </c>
    </row>
    <row r="28" spans="1:26" x14ac:dyDescent="0.3">
      <c r="A28">
        <v>45</v>
      </c>
      <c r="B28">
        <v>0</v>
      </c>
      <c r="C28">
        <v>0</v>
      </c>
      <c r="D28" t="s">
        <v>14</v>
      </c>
      <c r="F28" s="1">
        <v>0.419600740677054</v>
      </c>
      <c r="G28" s="1">
        <v>0.104496417393663</v>
      </c>
      <c r="H28" s="1">
        <v>0.43241679294962998</v>
      </c>
      <c r="I28" s="1">
        <v>2.8267840000000001E-9</v>
      </c>
      <c r="J28" s="1">
        <v>4.0495519999999998E-12</v>
      </c>
      <c r="K28">
        <v>1</v>
      </c>
      <c r="L28" s="1">
        <v>0.42642054565481502</v>
      </c>
      <c r="M28" s="1">
        <v>8.5466213641724506E-2</v>
      </c>
      <c r="N28">
        <v>15000</v>
      </c>
      <c r="O28">
        <v>16</v>
      </c>
      <c r="P28">
        <v>1</v>
      </c>
      <c r="Q28">
        <v>1</v>
      </c>
      <c r="R28">
        <v>1</v>
      </c>
      <c r="S28">
        <v>0.01</v>
      </c>
      <c r="T28">
        <v>16</v>
      </c>
      <c r="U28">
        <v>0</v>
      </c>
      <c r="V28">
        <v>1.75</v>
      </c>
      <c r="W28">
        <v>285.3</v>
      </c>
      <c r="X28" t="s">
        <v>60</v>
      </c>
      <c r="Y28">
        <v>1.75</v>
      </c>
      <c r="Z28" t="s">
        <v>58</v>
      </c>
    </row>
    <row r="29" spans="1:26" x14ac:dyDescent="0.3">
      <c r="A29">
        <v>45</v>
      </c>
      <c r="B29">
        <v>1</v>
      </c>
      <c r="C29">
        <v>0.1</v>
      </c>
      <c r="D29" t="s">
        <v>28</v>
      </c>
      <c r="E29">
        <v>0</v>
      </c>
      <c r="F29" s="1">
        <v>0.434606882567391</v>
      </c>
      <c r="G29" s="1">
        <v>0.10065891264325</v>
      </c>
      <c r="H29" s="1">
        <v>0.44611137518501698</v>
      </c>
      <c r="I29" s="1">
        <v>1.9875099999999999E-5</v>
      </c>
      <c r="J29" s="1">
        <v>1.5277739999999999E-4</v>
      </c>
      <c r="K29">
        <v>0.999803</v>
      </c>
      <c r="L29" s="1">
        <v>0.42642054565481502</v>
      </c>
      <c r="M29" s="1">
        <v>8.5466213641724506E-2</v>
      </c>
      <c r="N29">
        <v>9000</v>
      </c>
      <c r="O29">
        <v>16</v>
      </c>
      <c r="P29">
        <v>1</v>
      </c>
      <c r="Q29">
        <v>1</v>
      </c>
      <c r="R29">
        <v>1</v>
      </c>
      <c r="S29">
        <v>0.01</v>
      </c>
      <c r="T29">
        <v>16</v>
      </c>
      <c r="U29">
        <v>0</v>
      </c>
      <c r="V29">
        <v>1.75</v>
      </c>
      <c r="W29">
        <v>172.8</v>
      </c>
      <c r="X29" t="s">
        <v>61</v>
      </c>
      <c r="Y29">
        <v>1.75</v>
      </c>
      <c r="Z29" t="s">
        <v>58</v>
      </c>
    </row>
    <row r="30" spans="1:26" x14ac:dyDescent="0.3">
      <c r="A30">
        <v>42</v>
      </c>
      <c r="B30">
        <v>0</v>
      </c>
      <c r="C30">
        <v>0</v>
      </c>
      <c r="D30" t="s">
        <v>14</v>
      </c>
      <c r="F30" s="1">
        <v>0.36578573386732199</v>
      </c>
      <c r="G30" s="1">
        <v>0.22927707555210999</v>
      </c>
      <c r="H30" s="1">
        <v>0.431702652846358</v>
      </c>
      <c r="I30" s="1">
        <v>2.8600279999999999E-9</v>
      </c>
      <c r="J30" s="1">
        <v>5.0161609999999997E-12</v>
      </c>
      <c r="K30">
        <v>1</v>
      </c>
      <c r="L30" s="1">
        <v>0.38191422872612701</v>
      </c>
      <c r="M30" s="1">
        <v>0.20803960518932599</v>
      </c>
      <c r="N30">
        <v>15000</v>
      </c>
      <c r="O30">
        <v>16</v>
      </c>
      <c r="P30">
        <v>1</v>
      </c>
      <c r="Q30">
        <v>1</v>
      </c>
      <c r="R30">
        <v>1</v>
      </c>
      <c r="S30">
        <v>0.01</v>
      </c>
      <c r="T30">
        <v>16</v>
      </c>
      <c r="U30">
        <v>0</v>
      </c>
      <c r="V30">
        <v>2</v>
      </c>
      <c r="W30">
        <v>290.5</v>
      </c>
      <c r="X30" t="s">
        <v>62</v>
      </c>
      <c r="Y30">
        <v>2</v>
      </c>
      <c r="Z30" t="s">
        <v>63</v>
      </c>
    </row>
    <row r="31" spans="1:26" x14ac:dyDescent="0.3">
      <c r="A31">
        <v>42</v>
      </c>
      <c r="B31">
        <v>1</v>
      </c>
      <c r="C31">
        <v>0.1</v>
      </c>
      <c r="D31" t="s">
        <v>28</v>
      </c>
      <c r="E31">
        <v>0</v>
      </c>
      <c r="F31" s="1">
        <v>0.38190066967500702</v>
      </c>
      <c r="G31" s="1">
        <v>0.23434022872556401</v>
      </c>
      <c r="H31" s="1">
        <v>0.44806636148830498</v>
      </c>
      <c r="I31" s="1">
        <v>2.366977E-5</v>
      </c>
      <c r="J31" s="1">
        <v>1.927047E-4</v>
      </c>
      <c r="K31">
        <v>0.99972799999999995</v>
      </c>
      <c r="L31" s="1">
        <v>0.38191422872612701</v>
      </c>
      <c r="M31" s="1">
        <v>0.20803960518932599</v>
      </c>
      <c r="N31">
        <v>9000</v>
      </c>
      <c r="O31">
        <v>16</v>
      </c>
      <c r="P31">
        <v>1</v>
      </c>
      <c r="Q31">
        <v>1</v>
      </c>
      <c r="R31">
        <v>1</v>
      </c>
      <c r="S31">
        <v>0.01</v>
      </c>
      <c r="T31">
        <v>16</v>
      </c>
      <c r="U31">
        <v>0</v>
      </c>
      <c r="V31">
        <v>2</v>
      </c>
      <c r="W31">
        <v>171.1</v>
      </c>
      <c r="X31" t="s">
        <v>64</v>
      </c>
      <c r="Y31">
        <v>2</v>
      </c>
      <c r="Z31" t="s">
        <v>63</v>
      </c>
    </row>
    <row r="32" spans="1:26" x14ac:dyDescent="0.3">
      <c r="A32">
        <v>45</v>
      </c>
      <c r="B32">
        <v>0</v>
      </c>
      <c r="C32">
        <v>0</v>
      </c>
      <c r="D32" t="s">
        <v>14</v>
      </c>
      <c r="F32" s="1">
        <v>-0.36582722096185399</v>
      </c>
      <c r="G32" s="1">
        <v>-0.229272848009347</v>
      </c>
      <c r="H32" s="1">
        <v>0.43173556076722502</v>
      </c>
      <c r="I32" s="1">
        <v>3.4813799999999998E-9</v>
      </c>
      <c r="J32" s="1">
        <v>6.6315470000000002E-12</v>
      </c>
      <c r="K32">
        <v>1</v>
      </c>
      <c r="L32" s="1">
        <v>0.38191422872612701</v>
      </c>
      <c r="M32" s="1">
        <v>0.20803960518932599</v>
      </c>
      <c r="N32">
        <v>15000</v>
      </c>
      <c r="O32">
        <v>16</v>
      </c>
      <c r="P32">
        <v>1</v>
      </c>
      <c r="Q32">
        <v>1</v>
      </c>
      <c r="R32">
        <v>1</v>
      </c>
      <c r="S32">
        <v>0.01</v>
      </c>
      <c r="T32">
        <v>16</v>
      </c>
      <c r="U32">
        <v>0</v>
      </c>
      <c r="V32">
        <v>2</v>
      </c>
      <c r="W32">
        <v>288.10000000000002</v>
      </c>
      <c r="X32" t="s">
        <v>65</v>
      </c>
      <c r="Y32">
        <v>2</v>
      </c>
      <c r="Z32" t="s">
        <v>63</v>
      </c>
    </row>
    <row r="33" spans="1:26" x14ac:dyDescent="0.3">
      <c r="A33">
        <v>45</v>
      </c>
      <c r="B33">
        <v>1</v>
      </c>
      <c r="C33">
        <v>0.1</v>
      </c>
      <c r="D33" t="s">
        <v>28</v>
      </c>
      <c r="E33">
        <v>0</v>
      </c>
      <c r="F33" s="1">
        <v>-0.39792526184118299</v>
      </c>
      <c r="G33" s="1">
        <v>-0.21222989313476101</v>
      </c>
      <c r="H33" s="1">
        <v>0.45098341604915598</v>
      </c>
      <c r="I33" s="1">
        <v>2.2954899999999999E-5</v>
      </c>
      <c r="J33" s="1">
        <v>2.018357E-4</v>
      </c>
      <c r="K33">
        <v>0.99974300000000005</v>
      </c>
      <c r="L33" s="1">
        <v>0.38191422872612701</v>
      </c>
      <c r="M33" s="1">
        <v>0.20803960518932599</v>
      </c>
      <c r="N33">
        <v>9000</v>
      </c>
      <c r="O33">
        <v>16</v>
      </c>
      <c r="P33">
        <v>1</v>
      </c>
      <c r="Q33">
        <v>1</v>
      </c>
      <c r="R33">
        <v>1</v>
      </c>
      <c r="S33">
        <v>0.01</v>
      </c>
      <c r="T33">
        <v>16</v>
      </c>
      <c r="U33">
        <v>0</v>
      </c>
      <c r="V33">
        <v>2</v>
      </c>
      <c r="W33">
        <v>172.7</v>
      </c>
      <c r="X33" t="s">
        <v>66</v>
      </c>
      <c r="Y33">
        <v>2</v>
      </c>
      <c r="Z33" t="s">
        <v>63</v>
      </c>
    </row>
    <row r="34" spans="1:26" x14ac:dyDescent="0.3">
      <c r="A34">
        <v>42</v>
      </c>
      <c r="B34">
        <v>0</v>
      </c>
      <c r="C34">
        <v>0</v>
      </c>
      <c r="D34" t="s">
        <v>14</v>
      </c>
      <c r="F34" s="1">
        <v>-0.26182590163076003</v>
      </c>
      <c r="G34" s="1">
        <v>-0.342317664224698</v>
      </c>
      <c r="H34" s="1">
        <v>0.430968892154658</v>
      </c>
      <c r="I34" s="1">
        <v>3.6781290000000001E-9</v>
      </c>
      <c r="J34" s="1">
        <v>8.5517830000000007E-12</v>
      </c>
      <c r="K34">
        <v>1</v>
      </c>
      <c r="L34" s="1">
        <v>0.29031308968880298</v>
      </c>
      <c r="M34" s="1">
        <v>0.32381671572997001</v>
      </c>
      <c r="N34">
        <v>15000</v>
      </c>
      <c r="O34">
        <v>16</v>
      </c>
      <c r="P34">
        <v>1</v>
      </c>
      <c r="Q34">
        <v>1</v>
      </c>
      <c r="R34">
        <v>1</v>
      </c>
      <c r="S34">
        <v>0.01</v>
      </c>
      <c r="T34">
        <v>16</v>
      </c>
      <c r="U34">
        <v>0</v>
      </c>
      <c r="V34">
        <v>2.25</v>
      </c>
      <c r="W34">
        <v>286.7</v>
      </c>
      <c r="X34" t="s">
        <v>67</v>
      </c>
      <c r="Y34">
        <v>2.25</v>
      </c>
      <c r="Z34" t="s">
        <v>68</v>
      </c>
    </row>
    <row r="35" spans="1:26" x14ac:dyDescent="0.3">
      <c r="A35">
        <v>42</v>
      </c>
      <c r="B35">
        <v>1</v>
      </c>
      <c r="C35">
        <v>0.1</v>
      </c>
      <c r="D35" t="s">
        <v>28</v>
      </c>
      <c r="E35">
        <v>0</v>
      </c>
      <c r="F35" s="1">
        <v>-0.30138152588852501</v>
      </c>
      <c r="G35" s="1">
        <v>-0.33986317075122302</v>
      </c>
      <c r="H35" s="1">
        <v>0.454244206325156</v>
      </c>
      <c r="I35" s="1">
        <v>2.7765919999999999E-5</v>
      </c>
      <c r="J35" s="1">
        <v>2.8906670000000001E-4</v>
      </c>
      <c r="K35">
        <v>0.99965800000000005</v>
      </c>
      <c r="L35" s="1">
        <v>0.29031308968880298</v>
      </c>
      <c r="M35" s="1">
        <v>0.32381671572997001</v>
      </c>
      <c r="N35">
        <v>9000</v>
      </c>
      <c r="O35">
        <v>16</v>
      </c>
      <c r="P35">
        <v>1</v>
      </c>
      <c r="Q35">
        <v>1</v>
      </c>
      <c r="R35">
        <v>1</v>
      </c>
      <c r="S35">
        <v>0.01</v>
      </c>
      <c r="T35">
        <v>16</v>
      </c>
      <c r="U35">
        <v>0</v>
      </c>
      <c r="V35">
        <v>2.25</v>
      </c>
      <c r="W35">
        <v>171.1</v>
      </c>
      <c r="X35" t="s">
        <v>69</v>
      </c>
      <c r="Y35">
        <v>2.25</v>
      </c>
      <c r="Z35" t="s">
        <v>68</v>
      </c>
    </row>
    <row r="36" spans="1:26" x14ac:dyDescent="0.3">
      <c r="A36">
        <v>45</v>
      </c>
      <c r="B36">
        <v>0</v>
      </c>
      <c r="C36">
        <v>0</v>
      </c>
      <c r="D36" t="s">
        <v>14</v>
      </c>
      <c r="F36" s="1">
        <v>0.26201380841069599</v>
      </c>
      <c r="G36" s="1">
        <v>0.34208179058480498</v>
      </c>
      <c r="H36" s="1">
        <v>0.43089579627513602</v>
      </c>
      <c r="I36" s="1">
        <v>3.1656869999999999E-9</v>
      </c>
      <c r="J36" s="1">
        <v>6.5813340000000001E-12</v>
      </c>
      <c r="K36">
        <v>1</v>
      </c>
      <c r="L36" s="1">
        <v>0.29031308968880298</v>
      </c>
      <c r="M36" s="1">
        <v>0.32381671572997001</v>
      </c>
      <c r="N36">
        <v>15000</v>
      </c>
      <c r="O36">
        <v>16</v>
      </c>
      <c r="P36">
        <v>1</v>
      </c>
      <c r="Q36">
        <v>1</v>
      </c>
      <c r="R36">
        <v>1</v>
      </c>
      <c r="S36">
        <v>0.01</v>
      </c>
      <c r="T36">
        <v>16</v>
      </c>
      <c r="U36">
        <v>0</v>
      </c>
      <c r="V36">
        <v>2.25</v>
      </c>
      <c r="W36">
        <v>289</v>
      </c>
      <c r="X36" t="s">
        <v>70</v>
      </c>
      <c r="Y36">
        <v>2.25</v>
      </c>
      <c r="Z36" t="s">
        <v>68</v>
      </c>
    </row>
    <row r="37" spans="1:26" x14ac:dyDescent="0.3">
      <c r="A37">
        <v>45</v>
      </c>
      <c r="B37">
        <v>1</v>
      </c>
      <c r="C37">
        <v>0.1</v>
      </c>
      <c r="D37" t="s">
        <v>28</v>
      </c>
      <c r="E37">
        <v>0</v>
      </c>
      <c r="F37" s="1">
        <v>0.304973558009833</v>
      </c>
      <c r="G37" s="1">
        <v>0.33284768715365198</v>
      </c>
      <c r="H37" s="1">
        <v>0.45143820610213398</v>
      </c>
      <c r="I37" s="1">
        <v>2.5945179999999999E-5</v>
      </c>
      <c r="J37" s="1">
        <v>2.5490149999999999E-4</v>
      </c>
      <c r="K37">
        <v>0.99967200000000001</v>
      </c>
      <c r="L37" s="1">
        <v>0.29031308968880298</v>
      </c>
      <c r="M37" s="1">
        <v>0.32381671572997001</v>
      </c>
      <c r="N37">
        <v>9000</v>
      </c>
      <c r="O37">
        <v>16</v>
      </c>
      <c r="P37">
        <v>1</v>
      </c>
      <c r="Q37">
        <v>1</v>
      </c>
      <c r="R37">
        <v>1</v>
      </c>
      <c r="S37">
        <v>0.01</v>
      </c>
      <c r="T37">
        <v>16</v>
      </c>
      <c r="U37">
        <v>0</v>
      </c>
      <c r="V37">
        <v>2.25</v>
      </c>
      <c r="W37">
        <v>169.5</v>
      </c>
      <c r="X37" t="s">
        <v>71</v>
      </c>
      <c r="Y37">
        <v>2.25</v>
      </c>
      <c r="Z37" t="s">
        <v>68</v>
      </c>
    </row>
    <row r="38" spans="1:26" x14ac:dyDescent="0.3">
      <c r="A38">
        <v>42</v>
      </c>
      <c r="B38">
        <v>0</v>
      </c>
      <c r="C38">
        <v>0</v>
      </c>
      <c r="D38" t="s">
        <v>14</v>
      </c>
      <c r="F38" s="1">
        <v>0.10802475519755</v>
      </c>
      <c r="G38" s="1">
        <v>0.416247168675003</v>
      </c>
      <c r="H38" s="1">
        <v>0.43003610681598198</v>
      </c>
      <c r="I38" s="1">
        <v>3.2076659999999999E-9</v>
      </c>
      <c r="J38" s="1">
        <v>5.94054E-12</v>
      </c>
      <c r="K38">
        <v>1</v>
      </c>
      <c r="L38" s="1">
        <v>0.148985702719966</v>
      </c>
      <c r="M38" s="1">
        <v>0.40858562849890001</v>
      </c>
      <c r="N38">
        <v>15000</v>
      </c>
      <c r="O38">
        <v>16</v>
      </c>
      <c r="P38">
        <v>1</v>
      </c>
      <c r="Q38">
        <v>1</v>
      </c>
      <c r="R38">
        <v>1</v>
      </c>
      <c r="S38">
        <v>0.01</v>
      </c>
      <c r="T38">
        <v>16</v>
      </c>
      <c r="U38">
        <v>0</v>
      </c>
      <c r="V38">
        <v>2.5</v>
      </c>
      <c r="W38">
        <v>284.2</v>
      </c>
      <c r="X38" t="s">
        <v>72</v>
      </c>
      <c r="Y38">
        <v>2.5</v>
      </c>
      <c r="Z38" t="s">
        <v>73</v>
      </c>
    </row>
    <row r="39" spans="1:26" x14ac:dyDescent="0.3">
      <c r="A39">
        <v>42</v>
      </c>
      <c r="B39">
        <v>1</v>
      </c>
      <c r="C39">
        <v>0.1</v>
      </c>
      <c r="D39" t="s">
        <v>28</v>
      </c>
      <c r="E39">
        <v>0</v>
      </c>
      <c r="F39" s="1">
        <v>0.19678809089538701</v>
      </c>
      <c r="G39" s="1">
        <v>0.41739275714040103</v>
      </c>
      <c r="H39" s="1">
        <v>0.461456678824261</v>
      </c>
      <c r="I39" s="1">
        <v>1.1941570000000001E-5</v>
      </c>
      <c r="J39" s="1">
        <v>6.0927719999999997E-5</v>
      </c>
      <c r="K39">
        <v>0.99993500000000002</v>
      </c>
      <c r="L39" s="1">
        <v>0.148985702719966</v>
      </c>
      <c r="M39" s="1">
        <v>0.40858562849890001</v>
      </c>
      <c r="N39">
        <v>9000</v>
      </c>
      <c r="O39">
        <v>16</v>
      </c>
      <c r="P39">
        <v>1</v>
      </c>
      <c r="Q39">
        <v>1</v>
      </c>
      <c r="R39">
        <v>1</v>
      </c>
      <c r="S39">
        <v>0.01</v>
      </c>
      <c r="T39">
        <v>16</v>
      </c>
      <c r="U39">
        <v>0</v>
      </c>
      <c r="V39">
        <v>2.5</v>
      </c>
      <c r="W39">
        <v>170.7</v>
      </c>
      <c r="X39" t="s">
        <v>74</v>
      </c>
      <c r="Y39">
        <v>2.5</v>
      </c>
      <c r="Z39" t="s">
        <v>73</v>
      </c>
    </row>
    <row r="40" spans="1:26" x14ac:dyDescent="0.3">
      <c r="A40">
        <v>45</v>
      </c>
      <c r="B40">
        <v>0</v>
      </c>
      <c r="C40">
        <v>0</v>
      </c>
      <c r="D40" t="s">
        <v>14</v>
      </c>
      <c r="F40" s="1">
        <v>0.108028113794717</v>
      </c>
      <c r="G40" s="1">
        <v>0.41619231353831998</v>
      </c>
      <c r="H40" s="1">
        <v>0.42998385460203498</v>
      </c>
      <c r="I40" s="1">
        <v>3.2693569999999998E-9</v>
      </c>
      <c r="J40" s="1">
        <v>6.1743839999999997E-12</v>
      </c>
      <c r="K40">
        <v>1</v>
      </c>
      <c r="L40" s="1">
        <v>0.148985702719966</v>
      </c>
      <c r="M40" s="1">
        <v>0.40858562849890001</v>
      </c>
      <c r="N40">
        <v>15000</v>
      </c>
      <c r="O40">
        <v>16</v>
      </c>
      <c r="P40">
        <v>1</v>
      </c>
      <c r="Q40">
        <v>1</v>
      </c>
      <c r="R40">
        <v>1</v>
      </c>
      <c r="S40">
        <v>0.01</v>
      </c>
      <c r="T40">
        <v>16</v>
      </c>
      <c r="U40">
        <v>0</v>
      </c>
      <c r="V40">
        <v>2.5</v>
      </c>
      <c r="W40">
        <v>285.89999999999998</v>
      </c>
      <c r="X40" t="s">
        <v>75</v>
      </c>
      <c r="Y40">
        <v>2.5</v>
      </c>
      <c r="Z40" t="s">
        <v>73</v>
      </c>
    </row>
    <row r="41" spans="1:26" x14ac:dyDescent="0.3">
      <c r="A41">
        <v>45</v>
      </c>
      <c r="B41">
        <v>1</v>
      </c>
      <c r="C41">
        <v>0.1</v>
      </c>
      <c r="D41" t="s">
        <v>28</v>
      </c>
      <c r="E41">
        <v>0</v>
      </c>
      <c r="F41" s="1">
        <v>0.18082888341580799</v>
      </c>
      <c r="G41" s="1">
        <v>0.41588261829975798</v>
      </c>
      <c r="H41" s="1">
        <v>0.45349469377410601</v>
      </c>
      <c r="I41" s="1">
        <v>3.0014000000000001E-5</v>
      </c>
      <c r="J41" s="1">
        <v>3.6462430000000002E-4</v>
      </c>
      <c r="K41">
        <v>0.999587</v>
      </c>
      <c r="L41" s="1">
        <v>0.148985702719966</v>
      </c>
      <c r="M41" s="1">
        <v>0.40858562849890001</v>
      </c>
      <c r="N41">
        <v>9000</v>
      </c>
      <c r="O41">
        <v>16</v>
      </c>
      <c r="P41">
        <v>1</v>
      </c>
      <c r="Q41">
        <v>1</v>
      </c>
      <c r="R41">
        <v>1</v>
      </c>
      <c r="S41">
        <v>0.01</v>
      </c>
      <c r="T41">
        <v>16</v>
      </c>
      <c r="U41">
        <v>0</v>
      </c>
      <c r="V41">
        <v>2.5</v>
      </c>
      <c r="W41">
        <v>168.6</v>
      </c>
      <c r="X41" t="s">
        <v>76</v>
      </c>
      <c r="Y41">
        <v>2.5</v>
      </c>
      <c r="Z41" t="s">
        <v>73</v>
      </c>
    </row>
    <row r="42" spans="1:26" x14ac:dyDescent="0.3">
      <c r="A42">
        <v>42</v>
      </c>
      <c r="B42">
        <v>0</v>
      </c>
      <c r="C42">
        <v>0</v>
      </c>
      <c r="D42" t="s">
        <v>14</v>
      </c>
      <c r="F42" s="1">
        <v>8.0507467851542197E-2</v>
      </c>
      <c r="G42" s="1">
        <v>-0.42147146525644102</v>
      </c>
      <c r="H42" s="1">
        <v>0.42909165501705798</v>
      </c>
      <c r="I42" s="1">
        <v>4.8833789999999998E-9</v>
      </c>
      <c r="J42" s="1">
        <v>1.838139E-11</v>
      </c>
      <c r="K42">
        <v>1</v>
      </c>
      <c r="L42" s="1">
        <v>-3.1163598094273801E-2</v>
      </c>
      <c r="M42" s="1">
        <v>0.43378310892036998</v>
      </c>
      <c r="N42">
        <v>15000</v>
      </c>
      <c r="O42">
        <v>16</v>
      </c>
      <c r="P42">
        <v>1</v>
      </c>
      <c r="Q42">
        <v>1</v>
      </c>
      <c r="R42">
        <v>1</v>
      </c>
      <c r="S42">
        <v>0.01</v>
      </c>
      <c r="T42">
        <v>16</v>
      </c>
      <c r="U42">
        <v>0</v>
      </c>
      <c r="V42">
        <v>2.75</v>
      </c>
      <c r="W42">
        <v>284.8</v>
      </c>
      <c r="X42" t="s">
        <v>77</v>
      </c>
      <c r="Y42">
        <v>2.75</v>
      </c>
      <c r="Z42" t="s">
        <v>78</v>
      </c>
    </row>
    <row r="43" spans="1:26" x14ac:dyDescent="0.3">
      <c r="A43">
        <v>42</v>
      </c>
      <c r="B43">
        <v>1</v>
      </c>
      <c r="C43">
        <v>0.1</v>
      </c>
      <c r="D43" t="s">
        <v>28</v>
      </c>
      <c r="E43">
        <v>0</v>
      </c>
      <c r="F43" s="1">
        <v>1.5508770507426399E-2</v>
      </c>
      <c r="G43" s="1">
        <v>-0.451273923247905</v>
      </c>
      <c r="H43" s="1">
        <v>0.45154033680969002</v>
      </c>
      <c r="I43" s="1">
        <v>3.514941E-5</v>
      </c>
      <c r="J43" s="1">
        <v>4.4937649999999998E-4</v>
      </c>
      <c r="K43">
        <v>0.99946599999999997</v>
      </c>
      <c r="L43" s="1">
        <v>-3.1163598094273801E-2</v>
      </c>
      <c r="M43" s="1">
        <v>0.43378310892036998</v>
      </c>
      <c r="N43">
        <v>9000</v>
      </c>
      <c r="O43">
        <v>16</v>
      </c>
      <c r="P43">
        <v>1</v>
      </c>
      <c r="Q43">
        <v>1</v>
      </c>
      <c r="R43">
        <v>1</v>
      </c>
      <c r="S43">
        <v>0.01</v>
      </c>
      <c r="T43">
        <v>16</v>
      </c>
      <c r="U43">
        <v>0</v>
      </c>
      <c r="V43">
        <v>2.75</v>
      </c>
      <c r="W43">
        <v>170.9</v>
      </c>
      <c r="X43" t="s">
        <v>79</v>
      </c>
      <c r="Y43">
        <v>2.75</v>
      </c>
      <c r="Z43" t="s">
        <v>78</v>
      </c>
    </row>
    <row r="44" spans="1:26" x14ac:dyDescent="0.3">
      <c r="A44">
        <v>45</v>
      </c>
      <c r="B44">
        <v>0</v>
      </c>
      <c r="C44">
        <v>0</v>
      </c>
      <c r="D44" t="s">
        <v>14</v>
      </c>
      <c r="F44" s="1">
        <v>-7.98670172505761E-2</v>
      </c>
      <c r="G44" s="1">
        <v>0.42149431016092898</v>
      </c>
      <c r="H44" s="1">
        <v>0.42899439849785997</v>
      </c>
      <c r="I44" s="1">
        <v>3.3897879999999999E-9</v>
      </c>
      <c r="J44" s="1">
        <v>6.1248709999999997E-12</v>
      </c>
      <c r="K44">
        <v>1</v>
      </c>
      <c r="L44" s="1">
        <v>-3.1163598094273801E-2</v>
      </c>
      <c r="M44" s="1">
        <v>0.43378310892036998</v>
      </c>
      <c r="N44">
        <v>15000</v>
      </c>
      <c r="O44">
        <v>16</v>
      </c>
      <c r="P44">
        <v>1</v>
      </c>
      <c r="Q44">
        <v>1</v>
      </c>
      <c r="R44">
        <v>1</v>
      </c>
      <c r="S44">
        <v>0.01</v>
      </c>
      <c r="T44">
        <v>16</v>
      </c>
      <c r="U44">
        <v>0</v>
      </c>
      <c r="V44">
        <v>2.75</v>
      </c>
      <c r="W44">
        <v>284.10000000000002</v>
      </c>
      <c r="X44" t="s">
        <v>80</v>
      </c>
      <c r="Y44">
        <v>2.75</v>
      </c>
      <c r="Z44" t="s">
        <v>78</v>
      </c>
    </row>
    <row r="45" spans="1:26" x14ac:dyDescent="0.3">
      <c r="A45">
        <v>45</v>
      </c>
      <c r="B45">
        <v>1</v>
      </c>
      <c r="C45">
        <v>0.1</v>
      </c>
      <c r="D45" t="s">
        <v>28</v>
      </c>
      <c r="E45">
        <v>0</v>
      </c>
      <c r="F45" s="1">
        <v>2.4506386035675499E-2</v>
      </c>
      <c r="G45" s="1">
        <v>0.455704612386298</v>
      </c>
      <c r="H45" s="1">
        <v>0.45636307552942501</v>
      </c>
      <c r="I45" s="1">
        <v>3.4612720000000003E-5</v>
      </c>
      <c r="J45" s="1">
        <v>4.62781E-4</v>
      </c>
      <c r="K45">
        <v>0.99945600000000001</v>
      </c>
      <c r="L45" s="1">
        <v>-3.1163598094273801E-2</v>
      </c>
      <c r="M45" s="1">
        <v>0.43378310892036998</v>
      </c>
      <c r="N45">
        <v>9000</v>
      </c>
      <c r="O45">
        <v>16</v>
      </c>
      <c r="P45">
        <v>1</v>
      </c>
      <c r="Q45">
        <v>1</v>
      </c>
      <c r="R45">
        <v>1</v>
      </c>
      <c r="S45">
        <v>0.01</v>
      </c>
      <c r="T45">
        <v>16</v>
      </c>
      <c r="U45">
        <v>0</v>
      </c>
      <c r="V45">
        <v>2.75</v>
      </c>
      <c r="W45">
        <v>168.8</v>
      </c>
      <c r="X45" t="s">
        <v>81</v>
      </c>
      <c r="Y45">
        <v>2.75</v>
      </c>
      <c r="Z45" t="s">
        <v>78</v>
      </c>
    </row>
    <row r="46" spans="1:26" x14ac:dyDescent="0.3">
      <c r="A46">
        <v>42</v>
      </c>
      <c r="B46">
        <v>0</v>
      </c>
      <c r="C46">
        <v>0</v>
      </c>
      <c r="D46" t="s">
        <v>14</v>
      </c>
      <c r="F46" s="1">
        <v>0.26618589237099799</v>
      </c>
      <c r="G46" s="1">
        <v>-0.33505258744178801</v>
      </c>
      <c r="H46" s="1">
        <v>0.42791957848266499</v>
      </c>
      <c r="I46" s="1">
        <v>4.5763950000000001E-9</v>
      </c>
      <c r="J46" s="1">
        <v>1.033923E-11</v>
      </c>
      <c r="K46">
        <v>1</v>
      </c>
      <c r="L46" s="1">
        <v>-0.22106497125442601</v>
      </c>
      <c r="M46" s="1">
        <v>0.374525344823395</v>
      </c>
      <c r="N46">
        <v>15000</v>
      </c>
      <c r="O46">
        <v>16</v>
      </c>
      <c r="P46">
        <v>1</v>
      </c>
      <c r="Q46">
        <v>1</v>
      </c>
      <c r="R46">
        <v>1</v>
      </c>
      <c r="S46">
        <v>0.01</v>
      </c>
      <c r="T46">
        <v>16</v>
      </c>
      <c r="U46">
        <v>0</v>
      </c>
      <c r="V46">
        <v>3</v>
      </c>
      <c r="W46">
        <v>280.39999999999998</v>
      </c>
      <c r="X46" t="s">
        <v>82</v>
      </c>
      <c r="Y46">
        <v>3</v>
      </c>
      <c r="Z46" t="s">
        <v>83</v>
      </c>
    </row>
    <row r="47" spans="1:26" x14ac:dyDescent="0.3">
      <c r="A47">
        <v>42</v>
      </c>
      <c r="B47">
        <v>1</v>
      </c>
      <c r="C47">
        <v>0.1</v>
      </c>
      <c r="D47" t="s">
        <v>28</v>
      </c>
      <c r="E47">
        <v>0</v>
      </c>
      <c r="F47" s="1">
        <v>0.150683421731202</v>
      </c>
      <c r="G47" s="1">
        <v>-0.44601422152411702</v>
      </c>
      <c r="H47" s="1">
        <v>0.47078039401231098</v>
      </c>
      <c r="I47" s="1">
        <v>1.4835890000000001E-5</v>
      </c>
      <c r="J47" s="1">
        <v>9.1945210000000003E-5</v>
      </c>
      <c r="K47">
        <v>0.99990500000000004</v>
      </c>
      <c r="L47" s="1">
        <v>-0.22106497125442601</v>
      </c>
      <c r="M47" s="1">
        <v>0.374525344823395</v>
      </c>
      <c r="N47">
        <v>9000</v>
      </c>
      <c r="O47">
        <v>16</v>
      </c>
      <c r="P47">
        <v>1</v>
      </c>
      <c r="Q47">
        <v>1</v>
      </c>
      <c r="R47">
        <v>1</v>
      </c>
      <c r="S47">
        <v>0.01</v>
      </c>
      <c r="T47">
        <v>16</v>
      </c>
      <c r="U47">
        <v>0</v>
      </c>
      <c r="V47">
        <v>3</v>
      </c>
      <c r="W47">
        <v>169.2</v>
      </c>
      <c r="X47" t="s">
        <v>84</v>
      </c>
      <c r="Y47">
        <v>3</v>
      </c>
      <c r="Z47" t="s">
        <v>83</v>
      </c>
    </row>
    <row r="48" spans="1:26" x14ac:dyDescent="0.3">
      <c r="A48">
        <v>45</v>
      </c>
      <c r="B48">
        <v>0</v>
      </c>
      <c r="C48">
        <v>0</v>
      </c>
      <c r="D48" t="s">
        <v>14</v>
      </c>
      <c r="F48" s="1">
        <v>-0.26606875030198901</v>
      </c>
      <c r="G48" s="1">
        <v>0.33511122969650498</v>
      </c>
      <c r="H48" s="1">
        <v>0.42789264559696</v>
      </c>
      <c r="I48" s="1">
        <v>3.6958269999999999E-9</v>
      </c>
      <c r="J48" s="1">
        <v>8.3103849999999992E-12</v>
      </c>
      <c r="K48">
        <v>1</v>
      </c>
      <c r="L48" s="1">
        <v>-0.22106497125442601</v>
      </c>
      <c r="M48" s="1">
        <v>0.374525344823395</v>
      </c>
      <c r="N48">
        <v>15000</v>
      </c>
      <c r="O48">
        <v>16</v>
      </c>
      <c r="P48">
        <v>1</v>
      </c>
      <c r="Q48">
        <v>1</v>
      </c>
      <c r="R48">
        <v>1</v>
      </c>
      <c r="S48">
        <v>0.01</v>
      </c>
      <c r="T48">
        <v>16</v>
      </c>
      <c r="U48">
        <v>0</v>
      </c>
      <c r="V48">
        <v>3</v>
      </c>
      <c r="W48">
        <v>282.5</v>
      </c>
      <c r="X48" t="s">
        <v>85</v>
      </c>
      <c r="Y48">
        <v>3</v>
      </c>
      <c r="Z48" t="s">
        <v>83</v>
      </c>
    </row>
    <row r="49" spans="1:26" x14ac:dyDescent="0.3">
      <c r="A49">
        <v>45</v>
      </c>
      <c r="B49">
        <v>1</v>
      </c>
      <c r="C49">
        <v>0.1</v>
      </c>
      <c r="D49" t="s">
        <v>28</v>
      </c>
      <c r="E49">
        <v>0</v>
      </c>
      <c r="F49" s="1">
        <v>-0.13840568580422399</v>
      </c>
      <c r="G49" s="1">
        <v>0.43774011602301299</v>
      </c>
      <c r="H49" s="1">
        <v>0.45909970925582</v>
      </c>
      <c r="I49" s="1">
        <v>3.966335E-5</v>
      </c>
      <c r="J49" s="1">
        <v>6.2161740000000001E-4</v>
      </c>
      <c r="K49">
        <v>0.99931899999999996</v>
      </c>
      <c r="L49" s="1">
        <v>-0.22106497125442601</v>
      </c>
      <c r="M49" s="1">
        <v>0.374525344823395</v>
      </c>
      <c r="N49">
        <v>9000</v>
      </c>
      <c r="O49">
        <v>16</v>
      </c>
      <c r="P49">
        <v>1</v>
      </c>
      <c r="Q49">
        <v>1</v>
      </c>
      <c r="R49">
        <v>1</v>
      </c>
      <c r="S49">
        <v>0.01</v>
      </c>
      <c r="T49">
        <v>16</v>
      </c>
      <c r="U49">
        <v>0</v>
      </c>
      <c r="V49">
        <v>3</v>
      </c>
      <c r="W49">
        <v>168.8</v>
      </c>
      <c r="X49" t="s">
        <v>86</v>
      </c>
      <c r="Y49">
        <v>3</v>
      </c>
      <c r="Z49" t="s">
        <v>83</v>
      </c>
    </row>
    <row r="50" spans="1:26" x14ac:dyDescent="0.3">
      <c r="A50">
        <v>42</v>
      </c>
      <c r="B50">
        <v>0</v>
      </c>
      <c r="C50">
        <v>0</v>
      </c>
      <c r="D50" t="s">
        <v>14</v>
      </c>
      <c r="F50" s="1">
        <v>-0.39748229452207501</v>
      </c>
      <c r="G50" s="1">
        <v>0.15566071023337799</v>
      </c>
      <c r="H50" s="1">
        <v>0.42687519390202699</v>
      </c>
      <c r="I50" s="1">
        <v>4.831453E-9</v>
      </c>
      <c r="J50" s="1">
        <v>1.2399200000000001E-11</v>
      </c>
      <c r="K50">
        <v>1</v>
      </c>
      <c r="L50" s="1">
        <v>-0.37392335017320999</v>
      </c>
      <c r="M50" s="1">
        <v>0.222081704843164</v>
      </c>
      <c r="N50">
        <v>15000</v>
      </c>
      <c r="O50">
        <v>16</v>
      </c>
      <c r="P50">
        <v>1</v>
      </c>
      <c r="Q50">
        <v>1</v>
      </c>
      <c r="R50">
        <v>1</v>
      </c>
      <c r="S50">
        <v>0.01</v>
      </c>
      <c r="T50">
        <v>16</v>
      </c>
      <c r="U50">
        <v>0</v>
      </c>
      <c r="V50">
        <v>3.25</v>
      </c>
      <c r="W50">
        <v>281.8</v>
      </c>
      <c r="X50" t="s">
        <v>87</v>
      </c>
      <c r="Y50">
        <v>3.25</v>
      </c>
      <c r="Z50" t="s">
        <v>88</v>
      </c>
    </row>
    <row r="51" spans="1:26" x14ac:dyDescent="0.3">
      <c r="A51">
        <v>42</v>
      </c>
      <c r="B51">
        <v>1</v>
      </c>
      <c r="C51">
        <v>0.1</v>
      </c>
      <c r="D51" t="s">
        <v>28</v>
      </c>
      <c r="E51">
        <v>0</v>
      </c>
      <c r="F51" s="1">
        <v>-0.31126633732173897</v>
      </c>
      <c r="G51" s="1">
        <v>0.36855936939490802</v>
      </c>
      <c r="H51" s="1">
        <v>0.48241345495172799</v>
      </c>
      <c r="I51" s="1">
        <v>1.1052150000000001E-5</v>
      </c>
      <c r="J51" s="1">
        <v>4.6953580000000003E-5</v>
      </c>
      <c r="K51">
        <v>0.99994899999999998</v>
      </c>
      <c r="L51" s="1">
        <v>-0.37392335017320999</v>
      </c>
      <c r="M51" s="1">
        <v>0.222081704843164</v>
      </c>
      <c r="N51">
        <v>9000</v>
      </c>
      <c r="O51">
        <v>16</v>
      </c>
      <c r="P51">
        <v>1</v>
      </c>
      <c r="Q51">
        <v>1</v>
      </c>
      <c r="R51">
        <v>1</v>
      </c>
      <c r="S51">
        <v>0.01</v>
      </c>
      <c r="T51">
        <v>16</v>
      </c>
      <c r="U51">
        <v>0</v>
      </c>
      <c r="V51">
        <v>3.25</v>
      </c>
      <c r="W51">
        <v>168.5</v>
      </c>
      <c r="X51" t="s">
        <v>89</v>
      </c>
      <c r="Y51">
        <v>3.25</v>
      </c>
      <c r="Z51" t="s">
        <v>88</v>
      </c>
    </row>
    <row r="52" spans="1:26" x14ac:dyDescent="0.3">
      <c r="A52">
        <v>45</v>
      </c>
      <c r="B52">
        <v>0</v>
      </c>
      <c r="C52">
        <v>0</v>
      </c>
      <c r="D52" t="s">
        <v>14</v>
      </c>
      <c r="F52" s="1">
        <v>0.39729376461409799</v>
      </c>
      <c r="G52" s="1">
        <v>-0.155901101277436</v>
      </c>
      <c r="H52" s="1">
        <v>0.42678740466508602</v>
      </c>
      <c r="I52" s="1">
        <v>4.1710129999999998E-9</v>
      </c>
      <c r="J52" s="1">
        <v>9.6167850000000002E-12</v>
      </c>
      <c r="K52">
        <v>1</v>
      </c>
      <c r="L52" s="1">
        <v>-0.37392335017320999</v>
      </c>
      <c r="M52" s="1">
        <v>0.222081704843164</v>
      </c>
      <c r="N52">
        <v>15000</v>
      </c>
      <c r="O52">
        <v>16</v>
      </c>
      <c r="P52">
        <v>1</v>
      </c>
      <c r="Q52">
        <v>1</v>
      </c>
      <c r="R52">
        <v>1</v>
      </c>
      <c r="S52">
        <v>0.01</v>
      </c>
      <c r="T52">
        <v>16</v>
      </c>
      <c r="U52">
        <v>0</v>
      </c>
      <c r="V52">
        <v>3.25</v>
      </c>
      <c r="W52">
        <v>280.10000000000002</v>
      </c>
      <c r="X52" t="s">
        <v>90</v>
      </c>
      <c r="Y52">
        <v>3.25</v>
      </c>
      <c r="Z52" t="s">
        <v>88</v>
      </c>
    </row>
    <row r="53" spans="1:26" x14ac:dyDescent="0.3">
      <c r="A53">
        <v>45</v>
      </c>
      <c r="B53">
        <v>1</v>
      </c>
      <c r="C53">
        <v>0.1</v>
      </c>
      <c r="D53" t="s">
        <v>28</v>
      </c>
      <c r="E53">
        <v>0</v>
      </c>
      <c r="F53" s="1">
        <v>0.31804783708232698</v>
      </c>
      <c r="G53" s="1">
        <v>-0.37123412189072003</v>
      </c>
      <c r="H53" s="1">
        <v>0.48884476056179699</v>
      </c>
      <c r="I53" s="1">
        <v>1.21969E-5</v>
      </c>
      <c r="J53" s="1">
        <v>6.0912039999999998E-5</v>
      </c>
      <c r="K53">
        <v>0.99993900000000002</v>
      </c>
      <c r="L53" s="1">
        <v>-0.37392335017320999</v>
      </c>
      <c r="M53" s="1">
        <v>0.222081704843164</v>
      </c>
      <c r="N53">
        <v>9000</v>
      </c>
      <c r="O53">
        <v>16</v>
      </c>
      <c r="P53">
        <v>1</v>
      </c>
      <c r="Q53">
        <v>1</v>
      </c>
      <c r="R53">
        <v>1</v>
      </c>
      <c r="S53">
        <v>0.01</v>
      </c>
      <c r="T53">
        <v>16</v>
      </c>
      <c r="U53">
        <v>0</v>
      </c>
      <c r="V53">
        <v>3.25</v>
      </c>
      <c r="W53">
        <v>169.9</v>
      </c>
      <c r="X53" t="s">
        <v>91</v>
      </c>
      <c r="Y53">
        <v>3.25</v>
      </c>
      <c r="Z53" t="s">
        <v>88</v>
      </c>
    </row>
    <row r="54" spans="1:26" x14ac:dyDescent="0.3">
      <c r="A54">
        <v>42</v>
      </c>
      <c r="B54">
        <v>0</v>
      </c>
      <c r="C54">
        <v>0</v>
      </c>
      <c r="D54" t="s">
        <v>14</v>
      </c>
      <c r="F54" s="1">
        <v>0.41750035656353102</v>
      </c>
      <c r="G54" s="1">
        <v>8.1781178855779305E-2</v>
      </c>
      <c r="H54" s="1">
        <v>0.425434729360117</v>
      </c>
      <c r="I54" s="1">
        <v>6.0011179999999998E-9</v>
      </c>
      <c r="J54" s="1">
        <v>1.328253E-11</v>
      </c>
      <c r="K54">
        <v>1</v>
      </c>
      <c r="L54" s="1">
        <v>-0.43489370505066799</v>
      </c>
      <c r="M54" s="1">
        <v>-2.5339175413038001E-3</v>
      </c>
      <c r="N54">
        <v>15000</v>
      </c>
      <c r="O54">
        <v>16</v>
      </c>
      <c r="P54">
        <v>1</v>
      </c>
      <c r="Q54">
        <v>1</v>
      </c>
      <c r="R54">
        <v>1</v>
      </c>
      <c r="S54">
        <v>0.01</v>
      </c>
      <c r="T54">
        <v>16</v>
      </c>
      <c r="U54">
        <v>0</v>
      </c>
      <c r="V54">
        <v>3.5</v>
      </c>
      <c r="W54">
        <v>282.2</v>
      </c>
      <c r="X54" t="s">
        <v>92</v>
      </c>
      <c r="Y54">
        <v>3.5</v>
      </c>
      <c r="Z54" t="s">
        <v>93</v>
      </c>
    </row>
    <row r="55" spans="1:26" x14ac:dyDescent="0.3">
      <c r="A55">
        <v>42</v>
      </c>
      <c r="B55">
        <v>1</v>
      </c>
      <c r="C55">
        <v>0.1</v>
      </c>
      <c r="D55" t="s">
        <v>28</v>
      </c>
      <c r="E55">
        <v>0</v>
      </c>
      <c r="F55" s="1">
        <v>0.42350999802175199</v>
      </c>
      <c r="G55" s="1">
        <v>-0.25438389587184301</v>
      </c>
      <c r="H55" s="1">
        <v>0.49403631941722798</v>
      </c>
      <c r="I55" s="1">
        <v>9.7535489999999997E-6</v>
      </c>
      <c r="J55" s="1">
        <v>3.1216659999999999E-5</v>
      </c>
      <c r="K55">
        <v>0.99996499999999999</v>
      </c>
      <c r="L55" s="1">
        <v>-0.43489370505066799</v>
      </c>
      <c r="M55" s="1">
        <v>-2.5339175413038001E-3</v>
      </c>
      <c r="N55">
        <v>9000</v>
      </c>
      <c r="O55">
        <v>16</v>
      </c>
      <c r="P55">
        <v>1</v>
      </c>
      <c r="Q55">
        <v>1</v>
      </c>
      <c r="R55">
        <v>1</v>
      </c>
      <c r="S55">
        <v>0.01</v>
      </c>
      <c r="T55">
        <v>16</v>
      </c>
      <c r="U55">
        <v>0</v>
      </c>
      <c r="V55">
        <v>3.5</v>
      </c>
      <c r="W55">
        <v>168.6</v>
      </c>
      <c r="X55" t="s">
        <v>94</v>
      </c>
      <c r="Y55">
        <v>3.5</v>
      </c>
      <c r="Z55" t="s">
        <v>93</v>
      </c>
    </row>
    <row r="56" spans="1:26" x14ac:dyDescent="0.3">
      <c r="A56">
        <v>45</v>
      </c>
      <c r="B56">
        <v>0</v>
      </c>
      <c r="C56">
        <v>0</v>
      </c>
      <c r="D56" t="s">
        <v>14</v>
      </c>
      <c r="F56" s="1">
        <v>-0.41753439529617198</v>
      </c>
      <c r="G56" s="1">
        <v>-8.1944630715860306E-2</v>
      </c>
      <c r="H56" s="1">
        <v>0.42549958138463401</v>
      </c>
      <c r="I56" s="1">
        <v>3.5894979999999998E-9</v>
      </c>
      <c r="J56" s="1">
        <v>7.7851320000000007E-12</v>
      </c>
      <c r="K56">
        <v>1</v>
      </c>
      <c r="L56" s="1">
        <v>-0.43489370505066799</v>
      </c>
      <c r="M56" s="1">
        <v>-2.5339175413038001E-3</v>
      </c>
      <c r="N56">
        <v>15000</v>
      </c>
      <c r="O56">
        <v>16</v>
      </c>
      <c r="P56">
        <v>1</v>
      </c>
      <c r="Q56">
        <v>1</v>
      </c>
      <c r="R56">
        <v>1</v>
      </c>
      <c r="S56">
        <v>0.01</v>
      </c>
      <c r="T56">
        <v>16</v>
      </c>
      <c r="U56">
        <v>0</v>
      </c>
      <c r="V56">
        <v>3.5</v>
      </c>
      <c r="W56">
        <v>280.89999999999998</v>
      </c>
      <c r="X56" t="s">
        <v>95</v>
      </c>
      <c r="Y56">
        <v>3.5</v>
      </c>
      <c r="Z56" t="s">
        <v>93</v>
      </c>
    </row>
    <row r="57" spans="1:26" x14ac:dyDescent="0.3">
      <c r="A57">
        <v>45</v>
      </c>
      <c r="B57">
        <v>1</v>
      </c>
      <c r="C57">
        <v>0.1</v>
      </c>
      <c r="D57" t="s">
        <v>28</v>
      </c>
      <c r="E57">
        <v>0</v>
      </c>
      <c r="F57" s="1">
        <v>-0.39567106828172699</v>
      </c>
      <c r="G57" s="1">
        <v>0.22693703389141501</v>
      </c>
      <c r="H57" s="1">
        <v>0.45613157271409799</v>
      </c>
      <c r="I57" s="1">
        <v>1.085735E-5</v>
      </c>
      <c r="J57" s="1">
        <v>5.7723970000000003E-5</v>
      </c>
      <c r="K57">
        <v>0.999946</v>
      </c>
      <c r="L57" s="1">
        <v>-0.43489370505066799</v>
      </c>
      <c r="M57" s="1">
        <v>-2.5339175413038001E-3</v>
      </c>
      <c r="N57">
        <v>9000</v>
      </c>
      <c r="O57">
        <v>16</v>
      </c>
      <c r="P57">
        <v>1</v>
      </c>
      <c r="Q57">
        <v>1</v>
      </c>
      <c r="R57">
        <v>1</v>
      </c>
      <c r="S57">
        <v>0.01</v>
      </c>
      <c r="T57">
        <v>16</v>
      </c>
      <c r="U57">
        <v>0</v>
      </c>
      <c r="V57">
        <v>3.5</v>
      </c>
      <c r="W57">
        <v>169.3</v>
      </c>
      <c r="X57" t="s">
        <v>96</v>
      </c>
      <c r="Y57">
        <v>3.5</v>
      </c>
      <c r="Z57" t="s">
        <v>93</v>
      </c>
    </row>
    <row r="58" spans="1:26" x14ac:dyDescent="0.3">
      <c r="A58">
        <v>42</v>
      </c>
      <c r="B58">
        <v>0</v>
      </c>
      <c r="C58">
        <v>0</v>
      </c>
      <c r="D58" t="s">
        <v>14</v>
      </c>
      <c r="F58" s="1">
        <v>-0.29430326110254201</v>
      </c>
      <c r="G58" s="1">
        <v>-0.30560527972791002</v>
      </c>
      <c r="H58" s="1">
        <v>0.424274671048326</v>
      </c>
      <c r="I58" s="1">
        <v>4.2406020000000002E-9</v>
      </c>
      <c r="J58" s="1">
        <v>9.6163410000000008E-12</v>
      </c>
      <c r="K58">
        <v>1</v>
      </c>
      <c r="L58" s="1">
        <v>-0.36192704155485</v>
      </c>
      <c r="M58" s="1">
        <v>-0.24113849137405899</v>
      </c>
      <c r="N58">
        <v>15000</v>
      </c>
      <c r="O58">
        <v>16</v>
      </c>
      <c r="P58">
        <v>1</v>
      </c>
      <c r="Q58">
        <v>1</v>
      </c>
      <c r="R58">
        <v>1</v>
      </c>
      <c r="S58">
        <v>0.01</v>
      </c>
      <c r="T58">
        <v>16</v>
      </c>
      <c r="U58">
        <v>0</v>
      </c>
      <c r="V58">
        <v>3.75</v>
      </c>
      <c r="W58">
        <v>281.3</v>
      </c>
      <c r="X58" t="s">
        <v>97</v>
      </c>
      <c r="Y58">
        <v>3.75</v>
      </c>
      <c r="Z58" t="s">
        <v>98</v>
      </c>
    </row>
    <row r="59" spans="1:26" x14ac:dyDescent="0.3">
      <c r="A59">
        <v>42</v>
      </c>
      <c r="B59">
        <v>1</v>
      </c>
      <c r="C59">
        <v>0.1</v>
      </c>
      <c r="D59" t="s">
        <v>28</v>
      </c>
      <c r="E59">
        <v>0</v>
      </c>
      <c r="F59" s="1">
        <v>-0.42701171652904002</v>
      </c>
      <c r="G59" s="1">
        <v>9.07693732204371E-2</v>
      </c>
      <c r="H59" s="1">
        <v>0.436552499898819</v>
      </c>
      <c r="I59" s="1">
        <v>8.2605750000000001E-6</v>
      </c>
      <c r="J59" s="1">
        <v>2.7764970000000001E-5</v>
      </c>
      <c r="K59">
        <v>0.99997000000000003</v>
      </c>
      <c r="L59" s="1">
        <v>-0.36192704155485</v>
      </c>
      <c r="M59" s="1">
        <v>-0.24113849137405899</v>
      </c>
      <c r="N59">
        <v>9000</v>
      </c>
      <c r="O59">
        <v>16</v>
      </c>
      <c r="P59">
        <v>1</v>
      </c>
      <c r="Q59">
        <v>1</v>
      </c>
      <c r="R59">
        <v>1</v>
      </c>
      <c r="S59">
        <v>0.01</v>
      </c>
      <c r="T59">
        <v>16</v>
      </c>
      <c r="U59">
        <v>0</v>
      </c>
      <c r="V59">
        <v>3.75</v>
      </c>
      <c r="W59">
        <v>168.3</v>
      </c>
      <c r="X59" t="s">
        <v>99</v>
      </c>
      <c r="Y59">
        <v>3.75</v>
      </c>
      <c r="Z59" t="s">
        <v>98</v>
      </c>
    </row>
    <row r="60" spans="1:26" x14ac:dyDescent="0.3">
      <c r="A60">
        <v>45</v>
      </c>
      <c r="B60">
        <v>0</v>
      </c>
      <c r="C60">
        <v>0</v>
      </c>
      <c r="D60" t="s">
        <v>14</v>
      </c>
      <c r="F60" s="1">
        <v>-0.29460264583172402</v>
      </c>
      <c r="G60" s="1">
        <v>-0.30481854187783702</v>
      </c>
      <c r="H60" s="1">
        <v>0.42391633892029101</v>
      </c>
      <c r="I60" s="1">
        <v>4.3596020000000002E-8</v>
      </c>
      <c r="J60" s="1">
        <v>7.7833100000000005E-10</v>
      </c>
      <c r="K60">
        <v>1</v>
      </c>
      <c r="L60" s="1">
        <v>-0.36192704155485</v>
      </c>
      <c r="M60" s="1">
        <v>-0.24113849137405899</v>
      </c>
      <c r="N60">
        <v>15000</v>
      </c>
      <c r="O60">
        <v>16</v>
      </c>
      <c r="P60">
        <v>1</v>
      </c>
      <c r="Q60">
        <v>1</v>
      </c>
      <c r="R60">
        <v>1</v>
      </c>
      <c r="S60">
        <v>0.01</v>
      </c>
      <c r="T60">
        <v>16</v>
      </c>
      <c r="U60">
        <v>0</v>
      </c>
      <c r="V60">
        <v>3.75</v>
      </c>
      <c r="W60">
        <v>282.10000000000002</v>
      </c>
      <c r="X60" t="s">
        <v>100</v>
      </c>
      <c r="Y60">
        <v>3.75</v>
      </c>
      <c r="Z60" t="s">
        <v>98</v>
      </c>
    </row>
    <row r="61" spans="1:26" x14ac:dyDescent="0.3">
      <c r="A61">
        <v>45</v>
      </c>
      <c r="B61">
        <v>1</v>
      </c>
      <c r="C61">
        <v>0.1</v>
      </c>
      <c r="D61" t="s">
        <v>28</v>
      </c>
      <c r="E61">
        <v>0</v>
      </c>
      <c r="F61" s="1">
        <v>-0.42031454331622498</v>
      </c>
      <c r="G61" s="1">
        <v>0.10163169431989801</v>
      </c>
      <c r="H61" s="1">
        <v>0.43242723851933701</v>
      </c>
      <c r="I61" s="1">
        <v>6.6075909999999996E-6</v>
      </c>
      <c r="J61" s="1">
        <v>1.8858100000000002E-5</v>
      </c>
      <c r="K61">
        <v>0.999977</v>
      </c>
      <c r="L61" s="1">
        <v>-0.36192704155485</v>
      </c>
      <c r="M61" s="1">
        <v>-0.24113849137405899</v>
      </c>
      <c r="N61">
        <v>9000</v>
      </c>
      <c r="O61">
        <v>16</v>
      </c>
      <c r="P61">
        <v>1</v>
      </c>
      <c r="Q61">
        <v>1</v>
      </c>
      <c r="R61">
        <v>1</v>
      </c>
      <c r="S61">
        <v>0.01</v>
      </c>
      <c r="T61">
        <v>16</v>
      </c>
      <c r="U61">
        <v>0</v>
      </c>
      <c r="V61">
        <v>3.75</v>
      </c>
      <c r="W61">
        <v>168.1</v>
      </c>
      <c r="X61" t="s">
        <v>101</v>
      </c>
      <c r="Y61">
        <v>3.75</v>
      </c>
      <c r="Z61" t="s">
        <v>98</v>
      </c>
    </row>
    <row r="62" spans="1:26" x14ac:dyDescent="0.3">
      <c r="A62">
        <v>42</v>
      </c>
      <c r="B62">
        <v>0</v>
      </c>
      <c r="C62">
        <v>0</v>
      </c>
      <c r="D62" t="s">
        <v>14</v>
      </c>
      <c r="F62" s="1">
        <v>-4.8093530045043402E-2</v>
      </c>
      <c r="G62" s="1">
        <v>-0.42010228027465701</v>
      </c>
      <c r="H62" s="1">
        <v>0.42284620552177099</v>
      </c>
      <c r="I62" s="1">
        <v>4.8434760000000003E-9</v>
      </c>
      <c r="J62" s="1">
        <v>1.529013E-11</v>
      </c>
      <c r="K62">
        <v>1</v>
      </c>
      <c r="L62" s="1">
        <v>-0.15363019665698799</v>
      </c>
      <c r="M62" s="1">
        <v>-0.40686203817257099</v>
      </c>
      <c r="N62">
        <v>15000</v>
      </c>
      <c r="O62">
        <v>16</v>
      </c>
      <c r="P62">
        <v>1</v>
      </c>
      <c r="Q62">
        <v>1</v>
      </c>
      <c r="R62">
        <v>1</v>
      </c>
      <c r="S62">
        <v>0.01</v>
      </c>
      <c r="T62">
        <v>16</v>
      </c>
      <c r="U62">
        <v>0</v>
      </c>
      <c r="V62">
        <v>4</v>
      </c>
      <c r="W62">
        <v>281.60000000000002</v>
      </c>
      <c r="X62" t="s">
        <v>102</v>
      </c>
      <c r="Y62">
        <v>4</v>
      </c>
      <c r="Z62" t="s">
        <v>103</v>
      </c>
    </row>
    <row r="63" spans="1:26" x14ac:dyDescent="0.3">
      <c r="A63">
        <v>42</v>
      </c>
      <c r="B63">
        <v>1</v>
      </c>
      <c r="C63">
        <v>0.1</v>
      </c>
      <c r="D63" t="s">
        <v>28</v>
      </c>
      <c r="E63">
        <v>0</v>
      </c>
      <c r="F63" s="1">
        <v>-0.44629811688809401</v>
      </c>
      <c r="G63" s="1">
        <v>-7.8637387913993908E-3</v>
      </c>
      <c r="H63" s="1">
        <v>0.44636739075075599</v>
      </c>
      <c r="I63" s="1">
        <v>8.3666989999999996E-6</v>
      </c>
      <c r="J63" s="1">
        <v>3.0769199999999997E-5</v>
      </c>
      <c r="K63">
        <v>0.99996700000000005</v>
      </c>
      <c r="L63" s="1">
        <v>-0.15363019665698799</v>
      </c>
      <c r="M63" s="1">
        <v>-0.40686203817257099</v>
      </c>
      <c r="N63">
        <v>9000</v>
      </c>
      <c r="O63">
        <v>16</v>
      </c>
      <c r="P63">
        <v>1</v>
      </c>
      <c r="Q63">
        <v>1</v>
      </c>
      <c r="R63">
        <v>1</v>
      </c>
      <c r="S63">
        <v>0.01</v>
      </c>
      <c r="T63">
        <v>16</v>
      </c>
      <c r="U63">
        <v>0</v>
      </c>
      <c r="V63">
        <v>4</v>
      </c>
      <c r="W63">
        <v>168.4</v>
      </c>
      <c r="X63" t="s">
        <v>104</v>
      </c>
      <c r="Y63">
        <v>4</v>
      </c>
      <c r="Z63" t="s">
        <v>103</v>
      </c>
    </row>
    <row r="64" spans="1:26" x14ac:dyDescent="0.3">
      <c r="A64">
        <v>45</v>
      </c>
      <c r="B64">
        <v>0</v>
      </c>
      <c r="C64">
        <v>0</v>
      </c>
      <c r="D64" t="s">
        <v>14</v>
      </c>
      <c r="F64" s="1">
        <v>4.8900937363792203E-2</v>
      </c>
      <c r="G64" s="1">
        <v>0.419623091796895</v>
      </c>
      <c r="H64" s="1">
        <v>0.42246282776623401</v>
      </c>
      <c r="I64" s="1">
        <v>5.3938959999999998E-8</v>
      </c>
      <c r="J64" s="1">
        <v>1.430663E-9</v>
      </c>
      <c r="K64">
        <v>1</v>
      </c>
      <c r="L64" s="1">
        <v>-0.15363019665698799</v>
      </c>
      <c r="M64" s="1">
        <v>-0.40686203817257099</v>
      </c>
      <c r="N64">
        <v>15000</v>
      </c>
      <c r="O64">
        <v>16</v>
      </c>
      <c r="P64">
        <v>1</v>
      </c>
      <c r="Q64">
        <v>1</v>
      </c>
      <c r="R64">
        <v>1</v>
      </c>
      <c r="S64">
        <v>0.01</v>
      </c>
      <c r="T64">
        <v>16</v>
      </c>
      <c r="U64">
        <v>0</v>
      </c>
      <c r="V64">
        <v>4</v>
      </c>
      <c r="W64">
        <v>281</v>
      </c>
      <c r="X64" t="s">
        <v>105</v>
      </c>
      <c r="Y64">
        <v>4</v>
      </c>
      <c r="Z64" t="s">
        <v>103</v>
      </c>
    </row>
    <row r="65" spans="1:26" x14ac:dyDescent="0.3">
      <c r="A65">
        <v>45</v>
      </c>
      <c r="B65">
        <v>1</v>
      </c>
      <c r="C65">
        <v>0.1</v>
      </c>
      <c r="D65" t="s">
        <v>28</v>
      </c>
      <c r="E65">
        <v>0</v>
      </c>
      <c r="F65" s="1">
        <v>0.47752936970993098</v>
      </c>
      <c r="G65" s="1">
        <v>-4.2345286890114998E-2</v>
      </c>
      <c r="H65" s="1">
        <v>0.47940319383309299</v>
      </c>
      <c r="I65" s="1">
        <v>6.4032690000000004E-6</v>
      </c>
      <c r="J65" s="1">
        <v>1.6313720000000001E-5</v>
      </c>
      <c r="K65">
        <v>0.99998399999999998</v>
      </c>
      <c r="L65" s="1">
        <v>-0.15363019665698799</v>
      </c>
      <c r="M65" s="1">
        <v>-0.40686203817257099</v>
      </c>
      <c r="N65">
        <v>9000</v>
      </c>
      <c r="O65">
        <v>16</v>
      </c>
      <c r="P65">
        <v>1</v>
      </c>
      <c r="Q65">
        <v>1</v>
      </c>
      <c r="R65">
        <v>1</v>
      </c>
      <c r="S65">
        <v>0.01</v>
      </c>
      <c r="T65">
        <v>16</v>
      </c>
      <c r="U65">
        <v>0</v>
      </c>
      <c r="V65">
        <v>4</v>
      </c>
      <c r="W65">
        <v>166.9</v>
      </c>
      <c r="X65" t="s">
        <v>106</v>
      </c>
      <c r="Y65">
        <v>4</v>
      </c>
      <c r="Z65" t="s">
        <v>103</v>
      </c>
    </row>
    <row r="66" spans="1:26" x14ac:dyDescent="0.3">
      <c r="A66">
        <v>42</v>
      </c>
      <c r="B66">
        <v>0</v>
      </c>
      <c r="C66">
        <v>0</v>
      </c>
      <c r="D66" t="s">
        <v>14</v>
      </c>
      <c r="F66" s="1">
        <v>0.230185759973627</v>
      </c>
      <c r="G66" s="1">
        <v>-0.352524838788008</v>
      </c>
      <c r="H66" s="1">
        <v>0.42102166934392699</v>
      </c>
      <c r="I66" s="1">
        <v>5.2378189999999997E-9</v>
      </c>
      <c r="J66" s="1">
        <v>1.6394120000000001E-11</v>
      </c>
      <c r="K66">
        <v>1</v>
      </c>
      <c r="L66" s="1">
        <v>0.12898390421313599</v>
      </c>
      <c r="M66" s="1">
        <v>-0.41533373073317797</v>
      </c>
      <c r="N66">
        <v>15000</v>
      </c>
      <c r="O66">
        <v>16</v>
      </c>
      <c r="P66">
        <v>1</v>
      </c>
      <c r="Q66">
        <v>1</v>
      </c>
      <c r="R66">
        <v>1</v>
      </c>
      <c r="S66">
        <v>0.01</v>
      </c>
      <c r="T66">
        <v>16</v>
      </c>
      <c r="U66">
        <v>0</v>
      </c>
      <c r="V66">
        <v>4.25</v>
      </c>
      <c r="W66">
        <v>279.7</v>
      </c>
      <c r="X66" t="s">
        <v>107</v>
      </c>
      <c r="Y66">
        <v>4.25</v>
      </c>
      <c r="Z66" t="s">
        <v>108</v>
      </c>
    </row>
    <row r="67" spans="1:26" x14ac:dyDescent="0.3">
      <c r="A67">
        <v>42</v>
      </c>
      <c r="B67">
        <v>1</v>
      </c>
      <c r="C67">
        <v>0.1</v>
      </c>
      <c r="D67" t="s">
        <v>28</v>
      </c>
      <c r="E67">
        <v>0</v>
      </c>
      <c r="F67" s="1">
        <v>-0.46774027421535402</v>
      </c>
      <c r="G67" s="1">
        <v>-9.8115799658485603E-2</v>
      </c>
      <c r="H67" s="1">
        <v>0.47792015469707799</v>
      </c>
      <c r="I67" s="1">
        <v>9.8639189999999992E-6</v>
      </c>
      <c r="J67" s="1">
        <v>3.4260390000000001E-5</v>
      </c>
      <c r="K67">
        <v>0.99996200000000002</v>
      </c>
      <c r="L67" s="1">
        <v>0.12898390421313599</v>
      </c>
      <c r="M67" s="1">
        <v>-0.41533373073317797</v>
      </c>
      <c r="N67">
        <v>9000</v>
      </c>
      <c r="O67">
        <v>16</v>
      </c>
      <c r="P67">
        <v>1</v>
      </c>
      <c r="Q67">
        <v>1</v>
      </c>
      <c r="R67">
        <v>1</v>
      </c>
      <c r="S67">
        <v>0.01</v>
      </c>
      <c r="T67">
        <v>16</v>
      </c>
      <c r="U67">
        <v>0</v>
      </c>
      <c r="V67">
        <v>4.25</v>
      </c>
      <c r="W67">
        <v>170.1</v>
      </c>
      <c r="X67" t="s">
        <v>109</v>
      </c>
      <c r="Y67">
        <v>4.25</v>
      </c>
      <c r="Z67" t="s">
        <v>108</v>
      </c>
    </row>
    <row r="68" spans="1:26" x14ac:dyDescent="0.3">
      <c r="A68">
        <v>45</v>
      </c>
      <c r="B68">
        <v>0</v>
      </c>
      <c r="C68">
        <v>0</v>
      </c>
      <c r="D68" t="s">
        <v>14</v>
      </c>
      <c r="F68" s="1">
        <v>0.230275315691049</v>
      </c>
      <c r="G68" s="1">
        <v>-0.35265391078215802</v>
      </c>
      <c r="H68" s="1">
        <v>0.421178705309946</v>
      </c>
      <c r="I68" s="1">
        <v>4.1389980000000001E-9</v>
      </c>
      <c r="J68" s="1">
        <v>1.0677229999999999E-11</v>
      </c>
      <c r="K68">
        <v>1</v>
      </c>
      <c r="L68" s="1">
        <v>0.12898390421313599</v>
      </c>
      <c r="M68" s="1">
        <v>-0.41533373073317797</v>
      </c>
      <c r="N68">
        <v>15000</v>
      </c>
      <c r="O68">
        <v>16</v>
      </c>
      <c r="P68">
        <v>1</v>
      </c>
      <c r="Q68">
        <v>1</v>
      </c>
      <c r="R68">
        <v>1</v>
      </c>
      <c r="S68">
        <v>0.01</v>
      </c>
      <c r="T68">
        <v>16</v>
      </c>
      <c r="U68">
        <v>0</v>
      </c>
      <c r="V68">
        <v>4.25</v>
      </c>
      <c r="W68">
        <v>278.7</v>
      </c>
      <c r="X68" t="s">
        <v>110</v>
      </c>
      <c r="Y68">
        <v>4.25</v>
      </c>
      <c r="Z68" t="s">
        <v>108</v>
      </c>
    </row>
    <row r="69" spans="1:26" x14ac:dyDescent="0.3">
      <c r="A69">
        <v>45</v>
      </c>
      <c r="B69">
        <v>1</v>
      </c>
      <c r="C69">
        <v>0.1</v>
      </c>
      <c r="D69" t="s">
        <v>28</v>
      </c>
      <c r="E69">
        <v>0</v>
      </c>
      <c r="F69" s="1">
        <v>-0.45761336551121201</v>
      </c>
      <c r="G69" s="1">
        <v>-0.10667465019353201</v>
      </c>
      <c r="H69" s="1">
        <v>0.46988240368033701</v>
      </c>
      <c r="I69" s="1">
        <v>1.028295E-5</v>
      </c>
      <c r="J69" s="1">
        <v>4.2660129999999997E-5</v>
      </c>
      <c r="K69">
        <v>0.99995299999999998</v>
      </c>
      <c r="L69" s="1">
        <v>0.12898390421313599</v>
      </c>
      <c r="M69" s="1">
        <v>-0.41533373073317797</v>
      </c>
      <c r="N69">
        <v>9000</v>
      </c>
      <c r="O69">
        <v>16</v>
      </c>
      <c r="P69">
        <v>1</v>
      </c>
      <c r="Q69">
        <v>1</v>
      </c>
      <c r="R69">
        <v>1</v>
      </c>
      <c r="S69">
        <v>0.01</v>
      </c>
      <c r="T69">
        <v>16</v>
      </c>
      <c r="U69">
        <v>0</v>
      </c>
      <c r="V69">
        <v>4.25</v>
      </c>
      <c r="W69">
        <v>166.4</v>
      </c>
      <c r="X69" t="s">
        <v>111</v>
      </c>
      <c r="Y69">
        <v>4.25</v>
      </c>
      <c r="Z69" t="s">
        <v>108</v>
      </c>
    </row>
    <row r="70" spans="1:26" x14ac:dyDescent="0.3">
      <c r="A70">
        <v>42</v>
      </c>
      <c r="B70">
        <v>0</v>
      </c>
      <c r="C70">
        <v>0</v>
      </c>
      <c r="D70" t="s">
        <v>14</v>
      </c>
      <c r="F70" s="1">
        <v>0.40577387259999897</v>
      </c>
      <c r="G70" s="1">
        <v>-0.106467651184481</v>
      </c>
      <c r="H70" s="1">
        <v>0.41950899446083401</v>
      </c>
      <c r="I70" s="1">
        <v>6.025861E-9</v>
      </c>
      <c r="J70" s="1">
        <v>1.8839800000000001E-11</v>
      </c>
      <c r="K70">
        <v>1</v>
      </c>
      <c r="L70" s="1">
        <v>0.36675359306684402</v>
      </c>
      <c r="M70" s="1">
        <v>-0.23373223441229299</v>
      </c>
      <c r="N70">
        <v>15000</v>
      </c>
      <c r="O70">
        <v>16</v>
      </c>
      <c r="P70">
        <v>1</v>
      </c>
      <c r="Q70">
        <v>1</v>
      </c>
      <c r="R70">
        <v>1</v>
      </c>
      <c r="S70">
        <v>0.01</v>
      </c>
      <c r="T70">
        <v>16</v>
      </c>
      <c r="U70">
        <v>0</v>
      </c>
      <c r="V70">
        <v>4.5</v>
      </c>
      <c r="W70">
        <v>281.39999999999998</v>
      </c>
      <c r="X70" t="s">
        <v>112</v>
      </c>
      <c r="Y70">
        <v>4.5</v>
      </c>
      <c r="Z70" t="s">
        <v>113</v>
      </c>
    </row>
    <row r="71" spans="1:26" x14ac:dyDescent="0.3">
      <c r="A71">
        <v>42</v>
      </c>
      <c r="B71">
        <v>1</v>
      </c>
      <c r="C71">
        <v>0.1</v>
      </c>
      <c r="D71" t="s">
        <v>28</v>
      </c>
      <c r="E71">
        <v>0</v>
      </c>
      <c r="F71" s="1">
        <v>-0.41005391898306198</v>
      </c>
      <c r="G71" s="1">
        <v>-0.13294191386601001</v>
      </c>
      <c r="H71" s="1">
        <v>0.43106585220326299</v>
      </c>
      <c r="I71" s="1">
        <v>1.22508E-5</v>
      </c>
      <c r="J71" s="1">
        <v>6.2229049999999993E-5</v>
      </c>
      <c r="K71">
        <v>0.99993399999999999</v>
      </c>
      <c r="L71" s="1">
        <v>0.36675359306684402</v>
      </c>
      <c r="M71" s="1">
        <v>-0.23373223441229299</v>
      </c>
      <c r="N71">
        <v>9000</v>
      </c>
      <c r="O71">
        <v>16</v>
      </c>
      <c r="P71">
        <v>1</v>
      </c>
      <c r="Q71">
        <v>1</v>
      </c>
      <c r="R71">
        <v>1</v>
      </c>
      <c r="S71">
        <v>0.01</v>
      </c>
      <c r="T71">
        <v>16</v>
      </c>
      <c r="U71">
        <v>0</v>
      </c>
      <c r="V71">
        <v>4.5</v>
      </c>
      <c r="W71">
        <v>168.2</v>
      </c>
      <c r="X71" t="s">
        <v>114</v>
      </c>
      <c r="Y71">
        <v>4.5</v>
      </c>
      <c r="Z71" t="s">
        <v>113</v>
      </c>
    </row>
    <row r="72" spans="1:26" x14ac:dyDescent="0.3">
      <c r="A72">
        <v>45</v>
      </c>
      <c r="B72">
        <v>0</v>
      </c>
      <c r="C72">
        <v>0</v>
      </c>
      <c r="D72" t="s">
        <v>14</v>
      </c>
      <c r="F72" s="1">
        <v>0.40590118791831697</v>
      </c>
      <c r="G72" s="1">
        <v>-0.10630408895660901</v>
      </c>
      <c r="H72" s="1">
        <v>0.41959067396975802</v>
      </c>
      <c r="I72" s="1">
        <v>4.7819090000000002E-9</v>
      </c>
      <c r="J72" s="1">
        <v>1.6196740000000002E-11</v>
      </c>
      <c r="K72">
        <v>1</v>
      </c>
      <c r="L72" s="1">
        <v>0.36675359306684402</v>
      </c>
      <c r="M72" s="1">
        <v>-0.23373223441229299</v>
      </c>
      <c r="N72">
        <v>15000</v>
      </c>
      <c r="O72">
        <v>16</v>
      </c>
      <c r="P72">
        <v>1</v>
      </c>
      <c r="Q72">
        <v>1</v>
      </c>
      <c r="R72">
        <v>1</v>
      </c>
      <c r="S72">
        <v>0.01</v>
      </c>
      <c r="T72">
        <v>16</v>
      </c>
      <c r="U72">
        <v>0</v>
      </c>
      <c r="V72">
        <v>4.5</v>
      </c>
      <c r="W72">
        <v>280.2</v>
      </c>
      <c r="X72" t="s">
        <v>115</v>
      </c>
      <c r="Y72">
        <v>4.5</v>
      </c>
      <c r="Z72" t="s">
        <v>113</v>
      </c>
    </row>
    <row r="73" spans="1:26" x14ac:dyDescent="0.3">
      <c r="A73">
        <v>45</v>
      </c>
      <c r="B73">
        <v>1</v>
      </c>
      <c r="C73">
        <v>0.1</v>
      </c>
      <c r="D73" t="s">
        <v>28</v>
      </c>
      <c r="E73">
        <v>0</v>
      </c>
      <c r="F73" s="1">
        <v>-0.38773713322652298</v>
      </c>
      <c r="G73" s="1">
        <v>-0.127121445947459</v>
      </c>
      <c r="H73" s="1">
        <v>0.40804404970847802</v>
      </c>
      <c r="I73" s="1">
        <v>1.0018599999999999E-5</v>
      </c>
      <c r="J73" s="1">
        <v>5.0764840000000002E-5</v>
      </c>
      <c r="K73">
        <v>0.999942</v>
      </c>
      <c r="L73" s="1">
        <v>0.36675359306684402</v>
      </c>
      <c r="M73" s="1">
        <v>-0.23373223441229299</v>
      </c>
      <c r="N73">
        <v>9000</v>
      </c>
      <c r="O73">
        <v>16</v>
      </c>
      <c r="P73">
        <v>1</v>
      </c>
      <c r="Q73">
        <v>1</v>
      </c>
      <c r="R73">
        <v>1</v>
      </c>
      <c r="S73">
        <v>0.01</v>
      </c>
      <c r="T73">
        <v>16</v>
      </c>
      <c r="U73">
        <v>0</v>
      </c>
      <c r="V73">
        <v>4.5</v>
      </c>
      <c r="W73">
        <v>165.6</v>
      </c>
      <c r="X73" t="s">
        <v>116</v>
      </c>
      <c r="Y73">
        <v>4.5</v>
      </c>
      <c r="Z73" t="s">
        <v>113</v>
      </c>
    </row>
    <row r="74" spans="1:26" x14ac:dyDescent="0.3">
      <c r="A74">
        <v>42</v>
      </c>
      <c r="B74">
        <v>0</v>
      </c>
      <c r="C74">
        <v>0</v>
      </c>
      <c r="D74" t="s">
        <v>14</v>
      </c>
      <c r="F74" s="1">
        <v>0.36206247541100101</v>
      </c>
      <c r="G74" s="1">
        <v>0.20829053755808</v>
      </c>
      <c r="H74" s="1">
        <v>0.41770107030863102</v>
      </c>
      <c r="I74" s="1">
        <v>5.1408630000000002E-8</v>
      </c>
      <c r="J74" s="1">
        <v>1.5465210000000001E-9</v>
      </c>
      <c r="K74">
        <v>1</v>
      </c>
      <c r="L74" s="1">
        <v>0.42825683585732799</v>
      </c>
      <c r="M74" s="1">
        <v>7.5730033489181905E-2</v>
      </c>
      <c r="N74">
        <v>15000</v>
      </c>
      <c r="O74">
        <v>16</v>
      </c>
      <c r="P74">
        <v>1</v>
      </c>
      <c r="Q74">
        <v>1</v>
      </c>
      <c r="R74">
        <v>1</v>
      </c>
      <c r="S74">
        <v>0.01</v>
      </c>
      <c r="T74">
        <v>16</v>
      </c>
      <c r="U74">
        <v>0</v>
      </c>
      <c r="V74">
        <v>4.75</v>
      </c>
      <c r="W74">
        <v>280.60000000000002</v>
      </c>
      <c r="X74" t="s">
        <v>117</v>
      </c>
      <c r="Y74">
        <v>4.75</v>
      </c>
      <c r="Z74" t="s">
        <v>118</v>
      </c>
    </row>
    <row r="75" spans="1:26" x14ac:dyDescent="0.3">
      <c r="A75">
        <v>42</v>
      </c>
      <c r="B75">
        <v>1</v>
      </c>
      <c r="C75">
        <v>0.1</v>
      </c>
      <c r="D75" t="s">
        <v>28</v>
      </c>
      <c r="E75">
        <v>0</v>
      </c>
      <c r="F75" s="1">
        <v>-0.39901995563418202</v>
      </c>
      <c r="G75" s="1">
        <v>-0.17563498331851901</v>
      </c>
      <c r="H75" s="1">
        <v>0.43596395763824503</v>
      </c>
      <c r="I75" s="1">
        <v>1.007762E-5</v>
      </c>
      <c r="J75" s="1">
        <v>4.6564899999999999E-5</v>
      </c>
      <c r="K75">
        <v>0.99994899999999998</v>
      </c>
      <c r="L75" s="1">
        <v>0.42825683585732799</v>
      </c>
      <c r="M75" s="1">
        <v>7.5730033489181905E-2</v>
      </c>
      <c r="N75">
        <v>9000</v>
      </c>
      <c r="O75">
        <v>16</v>
      </c>
      <c r="P75">
        <v>1</v>
      </c>
      <c r="Q75">
        <v>1</v>
      </c>
      <c r="R75">
        <v>1</v>
      </c>
      <c r="S75">
        <v>0.01</v>
      </c>
      <c r="T75">
        <v>16</v>
      </c>
      <c r="U75">
        <v>0</v>
      </c>
      <c r="V75">
        <v>4.75</v>
      </c>
      <c r="W75">
        <v>165.1</v>
      </c>
      <c r="X75" t="s">
        <v>119</v>
      </c>
      <c r="Y75">
        <v>4.75</v>
      </c>
      <c r="Z75" t="s">
        <v>118</v>
      </c>
    </row>
    <row r="76" spans="1:26" x14ac:dyDescent="0.3">
      <c r="A76">
        <v>45</v>
      </c>
      <c r="B76">
        <v>0</v>
      </c>
      <c r="C76">
        <v>0</v>
      </c>
      <c r="D76" t="s">
        <v>14</v>
      </c>
      <c r="F76" s="1">
        <v>0.36141082442094702</v>
      </c>
      <c r="G76" s="1">
        <v>0.20824778057396801</v>
      </c>
      <c r="H76" s="1">
        <v>0.417114998678556</v>
      </c>
      <c r="I76" s="1">
        <v>6.2439879999999997E-8</v>
      </c>
      <c r="J76" s="1">
        <v>1.776646E-9</v>
      </c>
      <c r="K76">
        <v>1</v>
      </c>
      <c r="L76" s="1">
        <v>0.42825683585732799</v>
      </c>
      <c r="M76" s="1">
        <v>7.5730033489181905E-2</v>
      </c>
      <c r="N76">
        <v>15000</v>
      </c>
      <c r="O76">
        <v>16</v>
      </c>
      <c r="P76">
        <v>1</v>
      </c>
      <c r="Q76">
        <v>1</v>
      </c>
      <c r="R76">
        <v>1</v>
      </c>
      <c r="S76">
        <v>0.01</v>
      </c>
      <c r="T76">
        <v>16</v>
      </c>
      <c r="U76">
        <v>0</v>
      </c>
      <c r="V76">
        <v>4.75</v>
      </c>
      <c r="W76">
        <v>281.10000000000002</v>
      </c>
      <c r="X76" t="s">
        <v>120</v>
      </c>
      <c r="Y76">
        <v>4.75</v>
      </c>
      <c r="Z76" t="s">
        <v>118</v>
      </c>
    </row>
    <row r="77" spans="1:26" x14ac:dyDescent="0.3">
      <c r="A77">
        <v>45</v>
      </c>
      <c r="B77">
        <v>1</v>
      </c>
      <c r="C77">
        <v>0.1</v>
      </c>
      <c r="D77" t="s">
        <v>28</v>
      </c>
      <c r="E77">
        <v>0</v>
      </c>
      <c r="F77" s="1">
        <v>-0.45140746138656301</v>
      </c>
      <c r="G77" s="1">
        <v>-0.12973942544061301</v>
      </c>
      <c r="H77" s="1">
        <v>0.46968182284299897</v>
      </c>
      <c r="I77" s="1">
        <v>1.125283E-5</v>
      </c>
      <c r="J77" s="1">
        <v>4.8332289999999997E-5</v>
      </c>
      <c r="K77">
        <v>0.99994899999999998</v>
      </c>
      <c r="L77" s="1">
        <v>0.42825683585732799</v>
      </c>
      <c r="M77" s="1">
        <v>7.5730033489181905E-2</v>
      </c>
      <c r="N77">
        <v>9000</v>
      </c>
      <c r="O77">
        <v>16</v>
      </c>
      <c r="P77">
        <v>1</v>
      </c>
      <c r="Q77">
        <v>1</v>
      </c>
      <c r="R77">
        <v>1</v>
      </c>
      <c r="S77">
        <v>0.01</v>
      </c>
      <c r="T77">
        <v>16</v>
      </c>
      <c r="U77">
        <v>0</v>
      </c>
      <c r="V77">
        <v>4.75</v>
      </c>
      <c r="W77">
        <v>168.3</v>
      </c>
      <c r="X77" t="s">
        <v>121</v>
      </c>
      <c r="Y77">
        <v>4.75</v>
      </c>
      <c r="Z77" t="s">
        <v>118</v>
      </c>
    </row>
    <row r="78" spans="1:26" x14ac:dyDescent="0.3">
      <c r="A78">
        <v>42</v>
      </c>
      <c r="B78">
        <v>0</v>
      </c>
      <c r="C78">
        <v>0</v>
      </c>
      <c r="D78" t="s">
        <v>14</v>
      </c>
      <c r="F78" s="1">
        <v>9.4430692812414702E-2</v>
      </c>
      <c r="G78" s="1">
        <v>0.40476327062830902</v>
      </c>
      <c r="H78" s="1">
        <v>0.41563260338279301</v>
      </c>
      <c r="I78" s="1">
        <v>4.0275640000000001E-8</v>
      </c>
      <c r="J78" s="1">
        <v>8.1064750000000002E-10</v>
      </c>
      <c r="K78">
        <v>1</v>
      </c>
      <c r="L78" s="1">
        <v>0.25028795366583501</v>
      </c>
      <c r="M78" s="1">
        <v>0.35566120913106603</v>
      </c>
      <c r="N78">
        <v>15000</v>
      </c>
      <c r="O78">
        <v>16</v>
      </c>
      <c r="P78">
        <v>1</v>
      </c>
      <c r="Q78">
        <v>1</v>
      </c>
      <c r="R78">
        <v>1</v>
      </c>
      <c r="S78">
        <v>0.01</v>
      </c>
      <c r="T78">
        <v>16</v>
      </c>
      <c r="U78">
        <v>0</v>
      </c>
      <c r="V78">
        <v>5</v>
      </c>
      <c r="W78">
        <v>280.2</v>
      </c>
      <c r="X78" t="s">
        <v>122</v>
      </c>
      <c r="Y78">
        <v>5</v>
      </c>
      <c r="Z78" t="s">
        <v>123</v>
      </c>
    </row>
    <row r="79" spans="1:26" x14ac:dyDescent="0.3">
      <c r="A79">
        <v>42</v>
      </c>
      <c r="B79">
        <v>1</v>
      </c>
      <c r="C79">
        <v>0.1</v>
      </c>
      <c r="D79" t="s">
        <v>28</v>
      </c>
      <c r="E79">
        <v>0</v>
      </c>
      <c r="F79" s="1">
        <v>2.8048606616165599E-3</v>
      </c>
      <c r="G79" s="1">
        <v>2.7858709828262199E-3</v>
      </c>
      <c r="H79" s="1">
        <v>3.9532670620686904E-3</v>
      </c>
      <c r="I79" s="1">
        <v>1.6844099999999999E-7</v>
      </c>
      <c r="J79" s="1">
        <v>1.279036E-4</v>
      </c>
      <c r="K79">
        <v>0.99986299999999995</v>
      </c>
      <c r="L79" s="1">
        <v>0.25028795366583501</v>
      </c>
      <c r="M79" s="1">
        <v>0.35566120913106603</v>
      </c>
      <c r="N79">
        <v>9000</v>
      </c>
      <c r="O79">
        <v>16</v>
      </c>
      <c r="P79">
        <v>1</v>
      </c>
      <c r="Q79">
        <v>1</v>
      </c>
      <c r="R79">
        <v>1</v>
      </c>
      <c r="S79">
        <v>0.01</v>
      </c>
      <c r="T79">
        <v>16</v>
      </c>
      <c r="U79">
        <v>0</v>
      </c>
      <c r="V79">
        <v>5</v>
      </c>
      <c r="W79">
        <v>168.1</v>
      </c>
      <c r="X79" t="s">
        <v>124</v>
      </c>
      <c r="Y79">
        <v>5</v>
      </c>
      <c r="Z79" t="s">
        <v>123</v>
      </c>
    </row>
    <row r="80" spans="1:26" x14ac:dyDescent="0.3">
      <c r="A80">
        <v>45</v>
      </c>
      <c r="B80">
        <v>0</v>
      </c>
      <c r="C80">
        <v>0</v>
      </c>
      <c r="D80" t="s">
        <v>14</v>
      </c>
      <c r="F80" s="1">
        <v>-9.4607383379459606E-2</v>
      </c>
      <c r="G80" s="1">
        <v>-0.40492907581733401</v>
      </c>
      <c r="H80" s="1">
        <v>0.415834237926831</v>
      </c>
      <c r="I80" s="1">
        <v>6.2760460000000002E-8</v>
      </c>
      <c r="J80" s="1">
        <v>2.2562480000000001E-9</v>
      </c>
      <c r="K80">
        <v>1</v>
      </c>
      <c r="L80" s="1">
        <v>0.25028795366583501</v>
      </c>
      <c r="M80" s="1">
        <v>0.35566120913106603</v>
      </c>
      <c r="N80">
        <v>15000</v>
      </c>
      <c r="O80">
        <v>16</v>
      </c>
      <c r="P80">
        <v>1</v>
      </c>
      <c r="Q80">
        <v>1</v>
      </c>
      <c r="R80">
        <v>1</v>
      </c>
      <c r="S80">
        <v>0.01</v>
      </c>
      <c r="T80">
        <v>16</v>
      </c>
      <c r="U80">
        <v>0</v>
      </c>
      <c r="V80">
        <v>5</v>
      </c>
      <c r="W80">
        <v>281</v>
      </c>
      <c r="X80" t="s">
        <v>125</v>
      </c>
      <c r="Y80">
        <v>5</v>
      </c>
      <c r="Z80" t="s">
        <v>123</v>
      </c>
    </row>
    <row r="81" spans="1:26" x14ac:dyDescent="0.3">
      <c r="A81">
        <v>45</v>
      </c>
      <c r="B81">
        <v>1</v>
      </c>
      <c r="C81">
        <v>0.1</v>
      </c>
      <c r="D81" t="s">
        <v>28</v>
      </c>
      <c r="E81">
        <v>0</v>
      </c>
      <c r="F81" s="1">
        <v>-3.4684437675676001E-3</v>
      </c>
      <c r="G81" s="1">
        <v>7.6569794446488398E-4</v>
      </c>
      <c r="H81" s="1">
        <v>3.55195657503527E-3</v>
      </c>
      <c r="I81" s="1">
        <v>1.9765630000000001E-7</v>
      </c>
      <c r="J81" s="1">
        <v>2.9059449999999998E-4</v>
      </c>
      <c r="K81">
        <v>0.99974099999999999</v>
      </c>
      <c r="L81" s="1">
        <v>0.25028795366583501</v>
      </c>
      <c r="M81" s="1">
        <v>0.35566120913106603</v>
      </c>
      <c r="N81">
        <v>9000</v>
      </c>
      <c r="O81">
        <v>16</v>
      </c>
      <c r="P81">
        <v>1</v>
      </c>
      <c r="Q81">
        <v>1</v>
      </c>
      <c r="R81">
        <v>1</v>
      </c>
      <c r="S81">
        <v>0.01</v>
      </c>
      <c r="T81">
        <v>16</v>
      </c>
      <c r="U81">
        <v>0</v>
      </c>
      <c r="V81">
        <v>5</v>
      </c>
      <c r="W81">
        <v>168.6</v>
      </c>
      <c r="X81" t="s">
        <v>126</v>
      </c>
      <c r="Y81">
        <v>5</v>
      </c>
      <c r="Z81" t="s">
        <v>123</v>
      </c>
    </row>
    <row r="82" spans="1:26" x14ac:dyDescent="0.3">
      <c r="A82">
        <v>42</v>
      </c>
      <c r="B82">
        <v>0</v>
      </c>
      <c r="C82">
        <v>0</v>
      </c>
      <c r="D82" t="s">
        <v>14</v>
      </c>
      <c r="F82" s="1">
        <v>0.24525569032354999</v>
      </c>
      <c r="G82" s="1">
        <v>-0.33399413325660798</v>
      </c>
      <c r="H82" s="1">
        <v>0.41436992492930103</v>
      </c>
      <c r="I82" s="1">
        <v>4.399974E-8</v>
      </c>
      <c r="J82" s="1">
        <v>1.284104E-9</v>
      </c>
      <c r="K82">
        <v>1</v>
      </c>
      <c r="L82" s="1">
        <v>-9.0429339268449205E-2</v>
      </c>
      <c r="M82" s="1">
        <v>0.425395686426502</v>
      </c>
      <c r="N82">
        <v>15000</v>
      </c>
      <c r="O82">
        <v>16</v>
      </c>
      <c r="P82">
        <v>1</v>
      </c>
      <c r="Q82">
        <v>1</v>
      </c>
      <c r="R82">
        <v>1</v>
      </c>
      <c r="S82">
        <v>0.01</v>
      </c>
      <c r="T82">
        <v>16</v>
      </c>
      <c r="U82">
        <v>0</v>
      </c>
      <c r="V82">
        <v>5.25</v>
      </c>
      <c r="W82">
        <v>277.3</v>
      </c>
      <c r="X82" t="s">
        <v>127</v>
      </c>
      <c r="Y82">
        <v>5.25</v>
      </c>
      <c r="Z82" t="s">
        <v>128</v>
      </c>
    </row>
    <row r="83" spans="1:26" x14ac:dyDescent="0.3">
      <c r="A83">
        <v>42</v>
      </c>
      <c r="B83">
        <v>1</v>
      </c>
      <c r="C83">
        <v>0.1</v>
      </c>
      <c r="D83" t="s">
        <v>28</v>
      </c>
      <c r="E83">
        <v>0</v>
      </c>
      <c r="F83" s="1">
        <v>0.105586556154359</v>
      </c>
      <c r="G83" s="1">
        <v>-6.7904752161116494E-2</v>
      </c>
      <c r="H83" s="1">
        <v>0.12553715070289001</v>
      </c>
      <c r="I83" s="1">
        <v>6.2587220000000001E-6</v>
      </c>
      <c r="J83" s="1">
        <v>1.914129E-4</v>
      </c>
      <c r="K83">
        <v>0.999807</v>
      </c>
      <c r="L83" s="1">
        <v>-9.0429339268449205E-2</v>
      </c>
      <c r="M83" s="1">
        <v>0.425395686426502</v>
      </c>
      <c r="N83">
        <v>9000</v>
      </c>
      <c r="O83">
        <v>16</v>
      </c>
      <c r="P83">
        <v>1</v>
      </c>
      <c r="Q83">
        <v>1</v>
      </c>
      <c r="R83">
        <v>1</v>
      </c>
      <c r="S83">
        <v>0.01</v>
      </c>
      <c r="T83">
        <v>16</v>
      </c>
      <c r="U83">
        <v>0</v>
      </c>
      <c r="V83">
        <v>5.25</v>
      </c>
      <c r="W83">
        <v>166.8</v>
      </c>
      <c r="X83" t="s">
        <v>129</v>
      </c>
      <c r="Y83">
        <v>5.25</v>
      </c>
      <c r="Z83" t="s">
        <v>128</v>
      </c>
    </row>
    <row r="84" spans="1:26" x14ac:dyDescent="0.3">
      <c r="A84">
        <v>45</v>
      </c>
      <c r="B84">
        <v>0</v>
      </c>
      <c r="C84">
        <v>0</v>
      </c>
      <c r="D84" t="s">
        <v>14</v>
      </c>
      <c r="F84" s="1">
        <v>-0.244626167343692</v>
      </c>
      <c r="G84" s="1">
        <v>0.33372298620991397</v>
      </c>
      <c r="H84" s="1">
        <v>0.41377891835390401</v>
      </c>
      <c r="I84" s="1">
        <v>8.5102890000000002E-8</v>
      </c>
      <c r="J84" s="1">
        <v>4.3129140000000002E-9</v>
      </c>
      <c r="K84">
        <v>1</v>
      </c>
      <c r="L84" s="1">
        <v>-9.0429339268449205E-2</v>
      </c>
      <c r="M84" s="1">
        <v>0.425395686426502</v>
      </c>
      <c r="N84">
        <v>15000</v>
      </c>
      <c r="O84">
        <v>16</v>
      </c>
      <c r="P84">
        <v>1</v>
      </c>
      <c r="Q84">
        <v>1</v>
      </c>
      <c r="R84">
        <v>1</v>
      </c>
      <c r="S84">
        <v>0.01</v>
      </c>
      <c r="T84">
        <v>16</v>
      </c>
      <c r="U84">
        <v>0</v>
      </c>
      <c r="V84">
        <v>5.25</v>
      </c>
      <c r="W84">
        <v>280.60000000000002</v>
      </c>
      <c r="X84" t="s">
        <v>130</v>
      </c>
      <c r="Y84">
        <v>5.25</v>
      </c>
      <c r="Z84" t="s">
        <v>128</v>
      </c>
    </row>
    <row r="85" spans="1:26" x14ac:dyDescent="0.3">
      <c r="A85">
        <v>45</v>
      </c>
      <c r="B85">
        <v>1</v>
      </c>
      <c r="C85">
        <v>0.1</v>
      </c>
      <c r="D85" t="s">
        <v>28</v>
      </c>
      <c r="E85">
        <v>0</v>
      </c>
      <c r="F85" s="1">
        <v>4.3209629606841302</v>
      </c>
      <c r="G85" s="1">
        <v>3.3124088177659101</v>
      </c>
      <c r="H85" s="1">
        <v>5.4445177090002703</v>
      </c>
      <c r="I85" s="1">
        <v>3.2193759999999999E-4</v>
      </c>
      <c r="J85" s="1">
        <v>2.164488E-4</v>
      </c>
      <c r="K85">
        <v>0.99976100000000001</v>
      </c>
      <c r="L85" s="1">
        <v>-9.0429339268449205E-2</v>
      </c>
      <c r="M85" s="1">
        <v>0.425395686426502</v>
      </c>
      <c r="N85">
        <v>9000</v>
      </c>
      <c r="O85">
        <v>16</v>
      </c>
      <c r="P85">
        <v>1</v>
      </c>
      <c r="Q85">
        <v>1</v>
      </c>
      <c r="R85">
        <v>1</v>
      </c>
      <c r="S85">
        <v>0.01</v>
      </c>
      <c r="T85">
        <v>16</v>
      </c>
      <c r="U85">
        <v>0</v>
      </c>
      <c r="V85">
        <v>5.25</v>
      </c>
      <c r="W85">
        <v>168.3</v>
      </c>
      <c r="X85" t="s">
        <v>131</v>
      </c>
      <c r="Y85">
        <v>5.25</v>
      </c>
      <c r="Z85" t="s">
        <v>128</v>
      </c>
    </row>
    <row r="86" spans="1:26" x14ac:dyDescent="0.3">
      <c r="A86">
        <v>42</v>
      </c>
      <c r="B86">
        <v>0</v>
      </c>
      <c r="C86">
        <v>0</v>
      </c>
      <c r="D86" t="s">
        <v>14</v>
      </c>
      <c r="F86" s="1">
        <v>-0.411794796961995</v>
      </c>
      <c r="G86" s="1">
        <v>1.38106162445784E-2</v>
      </c>
      <c r="H86" s="1">
        <v>0.41202631945790302</v>
      </c>
      <c r="I86" s="1">
        <v>3.9793570000000001E-8</v>
      </c>
      <c r="J86" s="1">
        <v>1.440772E-9</v>
      </c>
      <c r="K86">
        <v>1</v>
      </c>
      <c r="L86" s="1">
        <v>-0.38196867215320102</v>
      </c>
      <c r="M86" s="1">
        <v>0.20793962807585201</v>
      </c>
      <c r="N86">
        <v>15000</v>
      </c>
      <c r="O86">
        <v>16</v>
      </c>
      <c r="P86">
        <v>1</v>
      </c>
      <c r="Q86">
        <v>1</v>
      </c>
      <c r="R86">
        <v>1</v>
      </c>
      <c r="S86">
        <v>0.01</v>
      </c>
      <c r="T86">
        <v>16</v>
      </c>
      <c r="U86">
        <v>0</v>
      </c>
      <c r="V86">
        <v>5.5</v>
      </c>
      <c r="W86">
        <v>277.3</v>
      </c>
      <c r="X86" t="s">
        <v>132</v>
      </c>
      <c r="Y86">
        <v>5.5</v>
      </c>
      <c r="Z86" t="s">
        <v>133</v>
      </c>
    </row>
    <row r="87" spans="1:26" x14ac:dyDescent="0.3">
      <c r="A87">
        <v>42</v>
      </c>
      <c r="B87">
        <v>1</v>
      </c>
      <c r="C87">
        <v>0.1</v>
      </c>
      <c r="D87" t="s">
        <v>28</v>
      </c>
      <c r="E87">
        <v>0</v>
      </c>
      <c r="F87" s="1">
        <v>-1.30360661456456E-3</v>
      </c>
      <c r="G87" s="1">
        <v>1.18303492522589E-3</v>
      </c>
      <c r="H87" s="1">
        <v>1.76038684380471E-3</v>
      </c>
      <c r="I87" s="1">
        <v>7.5320230000000003E-8</v>
      </c>
      <c r="J87" s="1">
        <v>1.4543170000000001E-4</v>
      </c>
      <c r="K87">
        <v>0.99970800000000004</v>
      </c>
      <c r="L87" s="1">
        <v>-0.38196867215320102</v>
      </c>
      <c r="M87" s="1">
        <v>0.20793962807585201</v>
      </c>
      <c r="N87">
        <v>9000</v>
      </c>
      <c r="O87">
        <v>16</v>
      </c>
      <c r="P87">
        <v>1</v>
      </c>
      <c r="Q87">
        <v>1</v>
      </c>
      <c r="R87">
        <v>1</v>
      </c>
      <c r="S87">
        <v>0.01</v>
      </c>
      <c r="T87">
        <v>16</v>
      </c>
      <c r="U87">
        <v>0</v>
      </c>
      <c r="V87">
        <v>5.5</v>
      </c>
      <c r="W87">
        <v>166.7</v>
      </c>
      <c r="X87" t="s">
        <v>134</v>
      </c>
      <c r="Y87">
        <v>5.5</v>
      </c>
      <c r="Z87" t="s">
        <v>133</v>
      </c>
    </row>
    <row r="88" spans="1:26" x14ac:dyDescent="0.3">
      <c r="A88">
        <v>45</v>
      </c>
      <c r="B88">
        <v>0</v>
      </c>
      <c r="C88">
        <v>0</v>
      </c>
      <c r="D88" t="s">
        <v>14</v>
      </c>
      <c r="F88" s="1">
        <v>0.41212477552631699</v>
      </c>
      <c r="G88" s="1">
        <v>-1.3688227568798899E-2</v>
      </c>
      <c r="H88" s="1">
        <v>0.41235203185699498</v>
      </c>
      <c r="I88" s="1">
        <v>1.155011E-8</v>
      </c>
      <c r="J88" s="1">
        <v>6.5617799999999999E-11</v>
      </c>
      <c r="K88">
        <v>1</v>
      </c>
      <c r="L88" s="1">
        <v>-0.38196867215320102</v>
      </c>
      <c r="M88" s="1">
        <v>0.20793962807585201</v>
      </c>
      <c r="N88">
        <v>15000</v>
      </c>
      <c r="O88">
        <v>16</v>
      </c>
      <c r="P88">
        <v>1</v>
      </c>
      <c r="Q88">
        <v>1</v>
      </c>
      <c r="R88">
        <v>1</v>
      </c>
      <c r="S88">
        <v>0.01</v>
      </c>
      <c r="T88">
        <v>16</v>
      </c>
      <c r="U88">
        <v>0</v>
      </c>
      <c r="V88">
        <v>5.5</v>
      </c>
      <c r="W88">
        <v>280.7</v>
      </c>
      <c r="X88" t="s">
        <v>135</v>
      </c>
      <c r="Y88">
        <v>5.5</v>
      </c>
      <c r="Z88" t="s">
        <v>133</v>
      </c>
    </row>
    <row r="89" spans="1:26" x14ac:dyDescent="0.3">
      <c r="A89">
        <v>45</v>
      </c>
      <c r="B89">
        <v>1</v>
      </c>
      <c r="C89">
        <v>0.1</v>
      </c>
      <c r="D89" t="s">
        <v>28</v>
      </c>
      <c r="E89">
        <v>0</v>
      </c>
      <c r="F89" s="1">
        <v>-0.30218037964565397</v>
      </c>
      <c r="G89" s="1">
        <v>0.1208858632379</v>
      </c>
      <c r="H89" s="1">
        <v>0.32546332170240599</v>
      </c>
      <c r="I89" s="1">
        <v>2.0336709999999999E-5</v>
      </c>
      <c r="J89" s="1">
        <v>4.068225E-4</v>
      </c>
      <c r="K89">
        <v>0.99948199999999998</v>
      </c>
      <c r="L89" s="1">
        <v>-0.38196867215320102</v>
      </c>
      <c r="M89" s="1">
        <v>0.20793962807585201</v>
      </c>
      <c r="N89">
        <v>9000</v>
      </c>
      <c r="O89">
        <v>16</v>
      </c>
      <c r="P89">
        <v>1</v>
      </c>
      <c r="Q89">
        <v>1</v>
      </c>
      <c r="R89">
        <v>1</v>
      </c>
      <c r="S89">
        <v>0.01</v>
      </c>
      <c r="T89">
        <v>16</v>
      </c>
      <c r="U89">
        <v>0</v>
      </c>
      <c r="V89">
        <v>5.5</v>
      </c>
      <c r="W89">
        <v>165.4</v>
      </c>
      <c r="X89" t="s">
        <v>136</v>
      </c>
      <c r="Y89">
        <v>5.5</v>
      </c>
      <c r="Z89" t="s">
        <v>133</v>
      </c>
    </row>
    <row r="90" spans="1:26" x14ac:dyDescent="0.3">
      <c r="A90">
        <v>42</v>
      </c>
      <c r="B90">
        <v>0</v>
      </c>
      <c r="C90">
        <v>0</v>
      </c>
      <c r="D90" t="s">
        <v>14</v>
      </c>
      <c r="F90" s="1">
        <v>-0.25035062821510701</v>
      </c>
      <c r="G90" s="1">
        <v>-0.32472669950947902</v>
      </c>
      <c r="H90" s="1">
        <v>0.410027884932255</v>
      </c>
      <c r="I90" s="1">
        <v>1.442221E-7</v>
      </c>
      <c r="J90" s="1">
        <v>8.8721549999999997E-9</v>
      </c>
      <c r="K90">
        <v>1</v>
      </c>
      <c r="L90" s="1">
        <v>-0.399818391919529</v>
      </c>
      <c r="M90" s="1">
        <v>-0.17112629521404599</v>
      </c>
      <c r="N90">
        <v>15000</v>
      </c>
      <c r="O90">
        <v>16</v>
      </c>
      <c r="P90">
        <v>1</v>
      </c>
      <c r="Q90">
        <v>1</v>
      </c>
      <c r="R90">
        <v>1</v>
      </c>
      <c r="S90">
        <v>0.01</v>
      </c>
      <c r="T90">
        <v>16</v>
      </c>
      <c r="U90">
        <v>0</v>
      </c>
      <c r="V90">
        <v>5.75</v>
      </c>
      <c r="W90">
        <v>279</v>
      </c>
      <c r="X90" t="s">
        <v>137</v>
      </c>
      <c r="Y90">
        <v>5.75</v>
      </c>
      <c r="Z90" t="s">
        <v>138</v>
      </c>
    </row>
    <row r="91" spans="1:26" x14ac:dyDescent="0.3">
      <c r="A91">
        <v>42</v>
      </c>
      <c r="B91">
        <v>1</v>
      </c>
      <c r="C91">
        <v>0.1</v>
      </c>
      <c r="D91" t="s">
        <v>28</v>
      </c>
      <c r="E91">
        <v>0</v>
      </c>
      <c r="F91" s="1">
        <v>-7.4476196483923996E-3</v>
      </c>
      <c r="G91" s="1">
        <v>-1.06141592800856E-2</v>
      </c>
      <c r="H91" s="1">
        <v>1.2966395630634901E-2</v>
      </c>
      <c r="I91" s="1">
        <v>6.9678389999999998E-7</v>
      </c>
      <c r="J91" s="1">
        <v>1.5687249999999999E-4</v>
      </c>
      <c r="K91">
        <v>0.99977000000000005</v>
      </c>
      <c r="L91" s="1">
        <v>-0.399818391919529</v>
      </c>
      <c r="M91" s="1">
        <v>-0.17112629521404599</v>
      </c>
      <c r="N91">
        <v>9000</v>
      </c>
      <c r="O91">
        <v>16</v>
      </c>
      <c r="P91">
        <v>1</v>
      </c>
      <c r="Q91">
        <v>1</v>
      </c>
      <c r="R91">
        <v>1</v>
      </c>
      <c r="S91">
        <v>0.01</v>
      </c>
      <c r="T91">
        <v>16</v>
      </c>
      <c r="U91">
        <v>0</v>
      </c>
      <c r="V91">
        <v>5.75</v>
      </c>
      <c r="W91">
        <v>166.5</v>
      </c>
      <c r="X91" t="s">
        <v>139</v>
      </c>
      <c r="Y91">
        <v>5.75</v>
      </c>
      <c r="Z91" t="s">
        <v>138</v>
      </c>
    </row>
    <row r="92" spans="1:26" x14ac:dyDescent="0.3">
      <c r="A92">
        <v>45</v>
      </c>
      <c r="B92">
        <v>0</v>
      </c>
      <c r="C92">
        <v>0</v>
      </c>
      <c r="D92" t="s">
        <v>14</v>
      </c>
      <c r="F92" s="1">
        <v>-0.25127207599732398</v>
      </c>
      <c r="G92" s="1">
        <v>-0.32484786708153601</v>
      </c>
      <c r="H92" s="1">
        <v>0.41068697681254601</v>
      </c>
      <c r="I92" s="1">
        <v>8.7779849999999994E-8</v>
      </c>
      <c r="J92" s="1">
        <v>3.9577849999999999E-9</v>
      </c>
      <c r="K92">
        <v>1</v>
      </c>
      <c r="L92" s="1">
        <v>-0.399818391919529</v>
      </c>
      <c r="M92" s="1">
        <v>-0.17112629521404599</v>
      </c>
      <c r="N92">
        <v>15000</v>
      </c>
      <c r="O92">
        <v>16</v>
      </c>
      <c r="P92">
        <v>1</v>
      </c>
      <c r="Q92">
        <v>1</v>
      </c>
      <c r="R92">
        <v>1</v>
      </c>
      <c r="S92">
        <v>0.01</v>
      </c>
      <c r="T92">
        <v>16</v>
      </c>
      <c r="U92">
        <v>0</v>
      </c>
      <c r="V92">
        <v>5.75</v>
      </c>
      <c r="W92">
        <v>282.5</v>
      </c>
      <c r="X92" t="s">
        <v>140</v>
      </c>
      <c r="Y92">
        <v>5.75</v>
      </c>
      <c r="Z92" t="s">
        <v>138</v>
      </c>
    </row>
    <row r="93" spans="1:26" x14ac:dyDescent="0.3">
      <c r="A93">
        <v>45</v>
      </c>
      <c r="B93">
        <v>1</v>
      </c>
      <c r="C93">
        <v>0.1</v>
      </c>
      <c r="D93" t="s">
        <v>28</v>
      </c>
      <c r="E93">
        <v>0</v>
      </c>
      <c r="F93" s="1">
        <v>-0.11237799164107599</v>
      </c>
      <c r="G93" s="1">
        <v>-0.225447155959967</v>
      </c>
      <c r="H93" s="1">
        <v>0.25190322176526397</v>
      </c>
      <c r="I93" s="1">
        <v>1.19047E-5</v>
      </c>
      <c r="J93" s="1">
        <v>2.9572000000000002E-4</v>
      </c>
      <c r="K93">
        <v>0.99976500000000001</v>
      </c>
      <c r="L93" s="1">
        <v>-0.399818391919529</v>
      </c>
      <c r="M93" s="1">
        <v>-0.17112629521404599</v>
      </c>
      <c r="N93">
        <v>9000</v>
      </c>
      <c r="O93">
        <v>16</v>
      </c>
      <c r="P93">
        <v>1</v>
      </c>
      <c r="Q93">
        <v>1</v>
      </c>
      <c r="R93">
        <v>1</v>
      </c>
      <c r="S93">
        <v>0.01</v>
      </c>
      <c r="T93">
        <v>16</v>
      </c>
      <c r="U93">
        <v>0</v>
      </c>
      <c r="V93">
        <v>5.75</v>
      </c>
      <c r="W93">
        <v>165.3</v>
      </c>
      <c r="X93" t="s">
        <v>141</v>
      </c>
      <c r="Y93">
        <v>5.75</v>
      </c>
      <c r="Z93" t="s">
        <v>138</v>
      </c>
    </row>
    <row r="94" spans="1:26" x14ac:dyDescent="0.3">
      <c r="A94">
        <v>42</v>
      </c>
      <c r="B94">
        <v>0</v>
      </c>
      <c r="C94">
        <v>0</v>
      </c>
      <c r="D94" t="s">
        <v>14</v>
      </c>
      <c r="F94" s="1">
        <v>0.13128992937890399</v>
      </c>
      <c r="G94" s="1">
        <v>-0.38604877265808202</v>
      </c>
      <c r="H94" s="1">
        <v>0.40776304445980499</v>
      </c>
      <c r="I94" s="1">
        <v>6.4003740000000005E-8</v>
      </c>
      <c r="J94" s="1">
        <v>2.4131970000000002E-9</v>
      </c>
      <c r="K94">
        <v>1</v>
      </c>
      <c r="L94" s="1">
        <v>-9.6310638158220802E-2</v>
      </c>
      <c r="M94" s="1">
        <v>-0.42410283706709601</v>
      </c>
      <c r="N94">
        <v>15000</v>
      </c>
      <c r="O94">
        <v>16</v>
      </c>
      <c r="P94">
        <v>1</v>
      </c>
      <c r="Q94">
        <v>1</v>
      </c>
      <c r="R94">
        <v>1</v>
      </c>
      <c r="S94">
        <v>0.01</v>
      </c>
      <c r="T94">
        <v>16</v>
      </c>
      <c r="U94">
        <v>0</v>
      </c>
      <c r="V94">
        <v>6</v>
      </c>
      <c r="W94">
        <v>280.10000000000002</v>
      </c>
      <c r="X94" t="s">
        <v>142</v>
      </c>
      <c r="Y94">
        <v>6</v>
      </c>
      <c r="Z94" t="s">
        <v>143</v>
      </c>
    </row>
    <row r="95" spans="1:26" x14ac:dyDescent="0.3">
      <c r="A95">
        <v>42</v>
      </c>
      <c r="B95">
        <v>1</v>
      </c>
      <c r="C95">
        <v>0.1</v>
      </c>
      <c r="D95" t="s">
        <v>28</v>
      </c>
      <c r="E95">
        <v>0</v>
      </c>
      <c r="F95" s="1">
        <v>2.3876366041685202</v>
      </c>
      <c r="G95" s="1">
        <v>0.20128601059267601</v>
      </c>
      <c r="H95" s="1">
        <v>2.3961061353007098</v>
      </c>
      <c r="I95" s="1">
        <v>1.3681469999999999E-4</v>
      </c>
      <c r="J95" s="1">
        <v>2.8271569999999997E-4</v>
      </c>
      <c r="K95">
        <v>0.99969699999999995</v>
      </c>
      <c r="L95" s="1">
        <v>-9.6310638158220802E-2</v>
      </c>
      <c r="M95" s="1">
        <v>-0.42410283706709601</v>
      </c>
      <c r="N95">
        <v>9000</v>
      </c>
      <c r="O95">
        <v>16</v>
      </c>
      <c r="P95">
        <v>1</v>
      </c>
      <c r="Q95">
        <v>1</v>
      </c>
      <c r="R95">
        <v>1</v>
      </c>
      <c r="S95">
        <v>0.01</v>
      </c>
      <c r="T95">
        <v>16</v>
      </c>
      <c r="U95">
        <v>0</v>
      </c>
      <c r="V95">
        <v>6</v>
      </c>
      <c r="W95">
        <v>167.5</v>
      </c>
      <c r="X95" t="s">
        <v>144</v>
      </c>
      <c r="Y95">
        <v>6</v>
      </c>
      <c r="Z95" t="s">
        <v>143</v>
      </c>
    </row>
    <row r="96" spans="1:26" x14ac:dyDescent="0.3">
      <c r="A96">
        <v>45</v>
      </c>
      <c r="B96">
        <v>0</v>
      </c>
      <c r="C96">
        <v>0</v>
      </c>
      <c r="D96" t="s">
        <v>14</v>
      </c>
      <c r="F96" s="1">
        <v>0.13094677869113799</v>
      </c>
      <c r="G96" s="1">
        <v>-0.385811567944983</v>
      </c>
      <c r="H96" s="1">
        <v>0.407428060901249</v>
      </c>
      <c r="I96" s="1">
        <v>1.402405E-7</v>
      </c>
      <c r="J96" s="1">
        <v>1.2041E-8</v>
      </c>
      <c r="K96">
        <v>1</v>
      </c>
      <c r="L96" s="1">
        <v>-9.6310638158220802E-2</v>
      </c>
      <c r="M96" s="1">
        <v>-0.42410283706709601</v>
      </c>
      <c r="N96">
        <v>15000</v>
      </c>
      <c r="O96">
        <v>16</v>
      </c>
      <c r="P96">
        <v>1</v>
      </c>
      <c r="Q96">
        <v>1</v>
      </c>
      <c r="R96">
        <v>1</v>
      </c>
      <c r="S96">
        <v>0.01</v>
      </c>
      <c r="T96">
        <v>16</v>
      </c>
      <c r="U96">
        <v>0</v>
      </c>
      <c r="V96">
        <v>6</v>
      </c>
      <c r="W96">
        <v>274.7</v>
      </c>
      <c r="X96" t="s">
        <v>145</v>
      </c>
      <c r="Y96">
        <v>6</v>
      </c>
      <c r="Z96" t="s">
        <v>143</v>
      </c>
    </row>
    <row r="97" spans="1:26" x14ac:dyDescent="0.3">
      <c r="A97">
        <v>45</v>
      </c>
      <c r="B97">
        <v>1</v>
      </c>
      <c r="C97">
        <v>0.1</v>
      </c>
      <c r="D97" t="s">
        <v>28</v>
      </c>
      <c r="E97">
        <v>0</v>
      </c>
      <c r="F97" s="1">
        <v>-3.5215934736025098</v>
      </c>
      <c r="G97" s="1">
        <v>1.41469234385783</v>
      </c>
      <c r="H97" s="1">
        <v>3.7951251654049298</v>
      </c>
      <c r="I97" s="1">
        <v>2.1025009999999999E-4</v>
      </c>
      <c r="J97" s="1">
        <v>2.6607250000000002E-4</v>
      </c>
      <c r="K97">
        <v>0.99969300000000005</v>
      </c>
      <c r="L97" s="1">
        <v>-9.6310638158220802E-2</v>
      </c>
      <c r="M97" s="1">
        <v>-0.42410283706709601</v>
      </c>
      <c r="N97">
        <v>9000</v>
      </c>
      <c r="O97">
        <v>16</v>
      </c>
      <c r="P97">
        <v>1</v>
      </c>
      <c r="Q97">
        <v>1</v>
      </c>
      <c r="R97">
        <v>1</v>
      </c>
      <c r="S97">
        <v>0.01</v>
      </c>
      <c r="T97">
        <v>16</v>
      </c>
      <c r="U97">
        <v>0</v>
      </c>
      <c r="V97">
        <v>6</v>
      </c>
      <c r="W97">
        <v>166</v>
      </c>
      <c r="X97" t="s">
        <v>146</v>
      </c>
      <c r="Y97">
        <v>6</v>
      </c>
      <c r="Z97" t="s">
        <v>143</v>
      </c>
    </row>
    <row r="98" spans="1:26" x14ac:dyDescent="0.3">
      <c r="A98">
        <v>42</v>
      </c>
      <c r="B98">
        <v>0</v>
      </c>
      <c r="C98">
        <v>0</v>
      </c>
      <c r="D98" t="s">
        <v>14</v>
      </c>
      <c r="F98" s="1">
        <v>0.39691423139572901</v>
      </c>
      <c r="G98" s="1">
        <v>-8.5494731894137393E-2</v>
      </c>
      <c r="H98" s="1">
        <v>0.40601755659837202</v>
      </c>
      <c r="I98" s="1">
        <v>1.042752E-7</v>
      </c>
      <c r="J98" s="1">
        <v>6.6555029999999997E-9</v>
      </c>
      <c r="K98">
        <v>1</v>
      </c>
      <c r="L98" s="1">
        <v>0.29958083084489201</v>
      </c>
      <c r="M98" s="1">
        <v>-0.31526224198449099</v>
      </c>
      <c r="N98">
        <v>15000</v>
      </c>
      <c r="O98">
        <v>16</v>
      </c>
      <c r="P98">
        <v>1</v>
      </c>
      <c r="Q98">
        <v>1</v>
      </c>
      <c r="R98">
        <v>1</v>
      </c>
      <c r="S98">
        <v>0.01</v>
      </c>
      <c r="T98">
        <v>16</v>
      </c>
      <c r="U98">
        <v>0</v>
      </c>
      <c r="V98">
        <v>6.25</v>
      </c>
      <c r="W98">
        <v>278.60000000000002</v>
      </c>
      <c r="X98" t="s">
        <v>147</v>
      </c>
      <c r="Y98">
        <v>6.25</v>
      </c>
      <c r="Z98" t="s">
        <v>148</v>
      </c>
    </row>
    <row r="99" spans="1:26" x14ac:dyDescent="0.3">
      <c r="A99">
        <v>42</v>
      </c>
      <c r="B99">
        <v>1</v>
      </c>
      <c r="C99">
        <v>0.1</v>
      </c>
      <c r="D99" t="s">
        <v>28</v>
      </c>
      <c r="E99">
        <v>0</v>
      </c>
      <c r="F99" s="1">
        <v>-5.3205390959825301E-2</v>
      </c>
      <c r="G99" s="1">
        <v>12.4093622641383</v>
      </c>
      <c r="H99" s="1">
        <v>12.4094763232074</v>
      </c>
      <c r="I99" s="1">
        <v>9.0602870000000004E-4</v>
      </c>
      <c r="J99" s="1">
        <v>2.1855029999999999E-4</v>
      </c>
      <c r="K99">
        <v>0.99970700000000001</v>
      </c>
      <c r="L99" s="1">
        <v>0.29958083084489201</v>
      </c>
      <c r="M99" s="1">
        <v>-0.31526224198449099</v>
      </c>
      <c r="N99">
        <v>9000</v>
      </c>
      <c r="O99">
        <v>16</v>
      </c>
      <c r="P99">
        <v>1</v>
      </c>
      <c r="Q99">
        <v>1</v>
      </c>
      <c r="R99">
        <v>1</v>
      </c>
      <c r="S99">
        <v>0.01</v>
      </c>
      <c r="T99">
        <v>16</v>
      </c>
      <c r="U99">
        <v>0</v>
      </c>
      <c r="V99">
        <v>6.25</v>
      </c>
      <c r="W99">
        <v>165.9</v>
      </c>
      <c r="X99" t="s">
        <v>149</v>
      </c>
      <c r="Y99">
        <v>6.25</v>
      </c>
      <c r="Z99" t="s">
        <v>148</v>
      </c>
    </row>
    <row r="100" spans="1:26" x14ac:dyDescent="0.3">
      <c r="A100">
        <v>45</v>
      </c>
      <c r="B100">
        <v>0</v>
      </c>
      <c r="C100">
        <v>0</v>
      </c>
      <c r="D100" t="s">
        <v>14</v>
      </c>
      <c r="F100" s="1">
        <v>-0.39761149315177502</v>
      </c>
      <c r="G100" s="1">
        <v>8.4046365059505607E-2</v>
      </c>
      <c r="H100" s="1">
        <v>0.40639720836405802</v>
      </c>
      <c r="I100" s="1">
        <v>5.9535269999999997E-8</v>
      </c>
      <c r="J100" s="1">
        <v>1.8247129999999999E-9</v>
      </c>
      <c r="K100">
        <v>1</v>
      </c>
      <c r="L100" s="1">
        <v>0.29958083084489201</v>
      </c>
      <c r="M100" s="1">
        <v>-0.31526224198449099</v>
      </c>
      <c r="N100">
        <v>15000</v>
      </c>
      <c r="O100">
        <v>16</v>
      </c>
      <c r="P100">
        <v>1</v>
      </c>
      <c r="Q100">
        <v>1</v>
      </c>
      <c r="R100">
        <v>1</v>
      </c>
      <c r="S100">
        <v>0.01</v>
      </c>
      <c r="T100">
        <v>16</v>
      </c>
      <c r="U100">
        <v>0</v>
      </c>
      <c r="V100">
        <v>6.25</v>
      </c>
      <c r="W100">
        <v>276.89999999999998</v>
      </c>
      <c r="X100" t="s">
        <v>150</v>
      </c>
      <c r="Y100">
        <v>6.25</v>
      </c>
      <c r="Z100" t="s">
        <v>148</v>
      </c>
    </row>
    <row r="101" spans="1:26" x14ac:dyDescent="0.3">
      <c r="A101">
        <v>45</v>
      </c>
      <c r="B101">
        <v>1</v>
      </c>
      <c r="C101">
        <v>0.1</v>
      </c>
      <c r="D101" t="s">
        <v>28</v>
      </c>
      <c r="E101">
        <v>0</v>
      </c>
      <c r="F101" s="1">
        <v>-5.4851865780879399</v>
      </c>
      <c r="G101" s="1">
        <v>38.967169835580499</v>
      </c>
      <c r="H101" s="1">
        <v>39.351335387651197</v>
      </c>
      <c r="I101" s="1">
        <v>2.3594089999999998E-3</v>
      </c>
      <c r="J101" s="1">
        <v>2.484907E-4</v>
      </c>
      <c r="K101">
        <v>0.99958800000000003</v>
      </c>
      <c r="L101" s="1">
        <v>0.29958083084489201</v>
      </c>
      <c r="M101" s="1">
        <v>-0.31526224198449099</v>
      </c>
      <c r="N101">
        <v>9000</v>
      </c>
      <c r="O101">
        <v>16</v>
      </c>
      <c r="P101">
        <v>1</v>
      </c>
      <c r="Q101">
        <v>1</v>
      </c>
      <c r="R101">
        <v>1</v>
      </c>
      <c r="S101">
        <v>0.01</v>
      </c>
      <c r="T101">
        <v>16</v>
      </c>
      <c r="U101">
        <v>0</v>
      </c>
      <c r="V101">
        <v>6.25</v>
      </c>
      <c r="W101">
        <v>167</v>
      </c>
      <c r="X101" t="s">
        <v>151</v>
      </c>
      <c r="Y101">
        <v>6.25</v>
      </c>
      <c r="Z101" t="s">
        <v>148</v>
      </c>
    </row>
    <row r="102" spans="1:26" x14ac:dyDescent="0.3">
      <c r="A102">
        <v>42</v>
      </c>
      <c r="B102">
        <v>0</v>
      </c>
      <c r="C102">
        <v>0</v>
      </c>
      <c r="D102" t="s">
        <v>14</v>
      </c>
      <c r="F102" s="1">
        <v>0.26262457845354498</v>
      </c>
      <c r="G102" s="1">
        <v>0.30488648357753101</v>
      </c>
      <c r="H102" s="1">
        <v>0.40240208383676901</v>
      </c>
      <c r="I102" s="1">
        <v>2.211468E-7</v>
      </c>
      <c r="J102" s="1">
        <v>2.5489520000000001E-8</v>
      </c>
      <c r="K102">
        <v>1</v>
      </c>
      <c r="L102" s="1">
        <v>0.42512444070403799</v>
      </c>
      <c r="M102" s="1">
        <v>9.1696048698305305E-2</v>
      </c>
      <c r="N102">
        <v>15000</v>
      </c>
      <c r="O102">
        <v>16</v>
      </c>
      <c r="P102">
        <v>1</v>
      </c>
      <c r="Q102">
        <v>1</v>
      </c>
      <c r="R102">
        <v>1</v>
      </c>
      <c r="S102">
        <v>0.01</v>
      </c>
      <c r="T102">
        <v>16</v>
      </c>
      <c r="U102">
        <v>0</v>
      </c>
      <c r="V102">
        <v>6.5</v>
      </c>
      <c r="W102">
        <v>277.3</v>
      </c>
      <c r="X102" t="s">
        <v>152</v>
      </c>
      <c r="Y102">
        <v>6.5</v>
      </c>
      <c r="Z102" t="s">
        <v>153</v>
      </c>
    </row>
    <row r="103" spans="1:26" x14ac:dyDescent="0.3">
      <c r="A103">
        <v>42</v>
      </c>
      <c r="B103">
        <v>1</v>
      </c>
      <c r="C103">
        <v>0.1</v>
      </c>
      <c r="D103" t="s">
        <v>28</v>
      </c>
      <c r="E103">
        <v>0</v>
      </c>
      <c r="F103" s="1">
        <v>8.7646323569366995</v>
      </c>
      <c r="G103" s="1">
        <v>9.6802020964455107</v>
      </c>
      <c r="H103" s="1">
        <v>13.058525681725699</v>
      </c>
      <c r="I103" s="1">
        <v>1.313633E-3</v>
      </c>
      <c r="J103" s="1">
        <v>2.5244779999999999E-4</v>
      </c>
      <c r="K103">
        <v>0.99972499999999997</v>
      </c>
      <c r="L103" s="1">
        <v>0.42512444070403799</v>
      </c>
      <c r="M103" s="1">
        <v>9.1696048698305305E-2</v>
      </c>
      <c r="N103">
        <v>9000</v>
      </c>
      <c r="O103">
        <v>16</v>
      </c>
      <c r="P103">
        <v>1</v>
      </c>
      <c r="Q103">
        <v>1</v>
      </c>
      <c r="R103">
        <v>1</v>
      </c>
      <c r="S103">
        <v>0.01</v>
      </c>
      <c r="T103">
        <v>16</v>
      </c>
      <c r="U103">
        <v>0</v>
      </c>
      <c r="V103">
        <v>6.5</v>
      </c>
      <c r="W103">
        <v>165.4</v>
      </c>
      <c r="X103" t="s">
        <v>154</v>
      </c>
      <c r="Y103">
        <v>6.5</v>
      </c>
      <c r="Z103" t="s">
        <v>153</v>
      </c>
    </row>
    <row r="104" spans="1:26" x14ac:dyDescent="0.3">
      <c r="A104">
        <v>45</v>
      </c>
      <c r="B104">
        <v>0</v>
      </c>
      <c r="C104">
        <v>0</v>
      </c>
      <c r="D104" t="s">
        <v>14</v>
      </c>
      <c r="F104" s="1">
        <v>0.26275871765932501</v>
      </c>
      <c r="G104" s="1">
        <v>0.306060961956855</v>
      </c>
      <c r="H104" s="1">
        <v>0.40338003934246403</v>
      </c>
      <c r="I104" s="1">
        <v>1.076123E-7</v>
      </c>
      <c r="J104" s="1">
        <v>6.0097069999999998E-9</v>
      </c>
      <c r="K104">
        <v>1</v>
      </c>
      <c r="L104" s="1">
        <v>0.42512444070403799</v>
      </c>
      <c r="M104" s="1">
        <v>9.1696048698305305E-2</v>
      </c>
      <c r="N104">
        <v>15000</v>
      </c>
      <c r="O104">
        <v>16</v>
      </c>
      <c r="P104">
        <v>1</v>
      </c>
      <c r="Q104">
        <v>1</v>
      </c>
      <c r="R104">
        <v>1</v>
      </c>
      <c r="S104">
        <v>0.01</v>
      </c>
      <c r="T104">
        <v>16</v>
      </c>
      <c r="U104">
        <v>0</v>
      </c>
      <c r="V104">
        <v>6.5</v>
      </c>
      <c r="W104">
        <v>279.5</v>
      </c>
      <c r="X104" t="s">
        <v>155</v>
      </c>
      <c r="Y104">
        <v>6.5</v>
      </c>
      <c r="Z104" t="s">
        <v>153</v>
      </c>
    </row>
    <row r="105" spans="1:26" x14ac:dyDescent="0.3">
      <c r="A105">
        <v>45</v>
      </c>
      <c r="B105">
        <v>1</v>
      </c>
      <c r="C105">
        <v>0.1</v>
      </c>
      <c r="D105" t="s">
        <v>28</v>
      </c>
      <c r="E105">
        <v>0</v>
      </c>
      <c r="F105" s="1">
        <v>15.6089354981982</v>
      </c>
      <c r="G105" s="1">
        <v>12.867016004979501</v>
      </c>
      <c r="H105" s="1">
        <v>20.228666991655999</v>
      </c>
      <c r="I105" s="1">
        <v>2.1008570000000001E-2</v>
      </c>
      <c r="J105" s="1">
        <v>0.16536110000000001</v>
      </c>
      <c r="K105">
        <v>0.90514499999999998</v>
      </c>
      <c r="L105" s="1">
        <v>0.42512444070403799</v>
      </c>
      <c r="M105" s="1">
        <v>9.1696048698305305E-2</v>
      </c>
      <c r="N105">
        <v>9000</v>
      </c>
      <c r="O105">
        <v>16</v>
      </c>
      <c r="P105">
        <v>1</v>
      </c>
      <c r="Q105">
        <v>1</v>
      </c>
      <c r="R105">
        <v>1</v>
      </c>
      <c r="S105">
        <v>0.01</v>
      </c>
      <c r="T105">
        <v>16</v>
      </c>
      <c r="U105">
        <v>0</v>
      </c>
      <c r="V105">
        <v>6.5</v>
      </c>
      <c r="W105">
        <v>167.1</v>
      </c>
      <c r="X105" t="s">
        <v>156</v>
      </c>
      <c r="Y105">
        <v>6.5</v>
      </c>
      <c r="Z105" t="s">
        <v>153</v>
      </c>
    </row>
    <row r="106" spans="1:26" x14ac:dyDescent="0.3">
      <c r="A106">
        <v>42</v>
      </c>
      <c r="B106">
        <v>0</v>
      </c>
      <c r="C106">
        <v>0</v>
      </c>
      <c r="D106" t="s">
        <v>14</v>
      </c>
      <c r="F106" s="1">
        <v>0.15792647981383301</v>
      </c>
      <c r="G106" s="1">
        <v>-0.368090182451833</v>
      </c>
      <c r="H106" s="1">
        <v>0.40053858171693302</v>
      </c>
      <c r="I106" s="1">
        <v>1.203417E-7</v>
      </c>
      <c r="J106" s="1">
        <v>8.1189999999999998E-9</v>
      </c>
      <c r="K106">
        <v>1</v>
      </c>
      <c r="L106" s="1">
        <v>0.12639842613082</v>
      </c>
      <c r="M106" s="1">
        <v>0.41612785691714399</v>
      </c>
      <c r="N106">
        <v>15000</v>
      </c>
      <c r="O106">
        <v>16</v>
      </c>
      <c r="P106">
        <v>1</v>
      </c>
      <c r="Q106">
        <v>1</v>
      </c>
      <c r="R106">
        <v>1</v>
      </c>
      <c r="S106">
        <v>0.01</v>
      </c>
      <c r="T106">
        <v>16</v>
      </c>
      <c r="U106">
        <v>0</v>
      </c>
      <c r="V106">
        <v>6.75</v>
      </c>
      <c r="W106">
        <v>279</v>
      </c>
      <c r="X106" t="s">
        <v>157</v>
      </c>
      <c r="Y106">
        <v>6.75</v>
      </c>
      <c r="Z106" t="s">
        <v>158</v>
      </c>
    </row>
    <row r="107" spans="1:26" x14ac:dyDescent="0.3">
      <c r="A107">
        <v>42</v>
      </c>
      <c r="B107">
        <v>1</v>
      </c>
      <c r="C107">
        <v>0.1</v>
      </c>
      <c r="D107" t="s">
        <v>28</v>
      </c>
      <c r="E107">
        <v>0</v>
      </c>
      <c r="F107" s="1">
        <v>-5.59114799933496</v>
      </c>
      <c r="G107" s="1">
        <v>15.7661602237345</v>
      </c>
      <c r="H107" s="1">
        <v>16.728202059723401</v>
      </c>
      <c r="I107" s="1">
        <v>4.5968479999999997E-3</v>
      </c>
      <c r="J107" s="1">
        <v>2.5179489999999998E-3</v>
      </c>
      <c r="K107">
        <v>0.99848700000000001</v>
      </c>
      <c r="L107" s="1">
        <v>0.12639842613082</v>
      </c>
      <c r="M107" s="1">
        <v>0.41612785691714399</v>
      </c>
      <c r="N107">
        <v>9000</v>
      </c>
      <c r="O107">
        <v>16</v>
      </c>
      <c r="P107">
        <v>1</v>
      </c>
      <c r="Q107">
        <v>1</v>
      </c>
      <c r="R107">
        <v>1</v>
      </c>
      <c r="S107">
        <v>0.01</v>
      </c>
      <c r="T107">
        <v>16</v>
      </c>
      <c r="U107">
        <v>0</v>
      </c>
      <c r="V107">
        <v>6.75</v>
      </c>
      <c r="W107">
        <v>166.9</v>
      </c>
      <c r="X107" t="s">
        <v>159</v>
      </c>
      <c r="Y107">
        <v>6.75</v>
      </c>
      <c r="Z107" t="s">
        <v>158</v>
      </c>
    </row>
    <row r="108" spans="1:26" x14ac:dyDescent="0.3">
      <c r="A108">
        <v>45</v>
      </c>
      <c r="B108">
        <v>0</v>
      </c>
      <c r="C108">
        <v>0</v>
      </c>
      <c r="D108" t="s">
        <v>14</v>
      </c>
      <c r="F108" s="1">
        <v>0.157452089169166</v>
      </c>
      <c r="G108" s="1">
        <v>-0.36865240389988502</v>
      </c>
      <c r="H108" s="1">
        <v>0.40086875069640798</v>
      </c>
      <c r="I108" s="1">
        <v>9.7056379999999994E-8</v>
      </c>
      <c r="J108" s="1">
        <v>6.027052E-9</v>
      </c>
      <c r="K108">
        <v>1</v>
      </c>
      <c r="L108" s="1">
        <v>0.12639842613082</v>
      </c>
      <c r="M108" s="1">
        <v>0.41612785691714399</v>
      </c>
      <c r="N108">
        <v>15000</v>
      </c>
      <c r="O108">
        <v>16</v>
      </c>
      <c r="P108">
        <v>1</v>
      </c>
      <c r="Q108">
        <v>1</v>
      </c>
      <c r="R108">
        <v>1</v>
      </c>
      <c r="S108">
        <v>0.01</v>
      </c>
      <c r="T108">
        <v>16</v>
      </c>
      <c r="U108">
        <v>0</v>
      </c>
      <c r="V108">
        <v>6.75</v>
      </c>
      <c r="W108">
        <v>275.2</v>
      </c>
      <c r="X108" t="s">
        <v>160</v>
      </c>
      <c r="Y108">
        <v>6.75</v>
      </c>
      <c r="Z108" t="s">
        <v>158</v>
      </c>
    </row>
    <row r="109" spans="1:26" x14ac:dyDescent="0.3">
      <c r="A109">
        <v>45</v>
      </c>
      <c r="B109">
        <v>1</v>
      </c>
      <c r="C109">
        <v>0.1</v>
      </c>
      <c r="D109" t="s">
        <v>28</v>
      </c>
      <c r="E109">
        <v>0</v>
      </c>
      <c r="F109" s="1">
        <v>-2.7780439410269002</v>
      </c>
      <c r="G109" s="1">
        <v>0.23382944972088199</v>
      </c>
      <c r="H109" s="1">
        <v>2.7878673479620599</v>
      </c>
      <c r="I109" s="1">
        <v>5.769808E-4</v>
      </c>
      <c r="J109" s="1">
        <v>2.7608049999999999E-3</v>
      </c>
      <c r="K109">
        <v>0.99641299999999999</v>
      </c>
      <c r="L109" s="1">
        <v>0.12639842613082</v>
      </c>
      <c r="M109" s="1">
        <v>0.41612785691714399</v>
      </c>
      <c r="N109">
        <v>9000</v>
      </c>
      <c r="O109">
        <v>16</v>
      </c>
      <c r="P109">
        <v>1</v>
      </c>
      <c r="Q109">
        <v>1</v>
      </c>
      <c r="R109">
        <v>1</v>
      </c>
      <c r="S109">
        <v>0.01</v>
      </c>
      <c r="T109">
        <v>16</v>
      </c>
      <c r="U109">
        <v>0</v>
      </c>
      <c r="V109">
        <v>6.75</v>
      </c>
      <c r="W109">
        <v>164.4</v>
      </c>
      <c r="X109" t="s">
        <v>161</v>
      </c>
      <c r="Y109">
        <v>6.75</v>
      </c>
      <c r="Z109" t="s">
        <v>158</v>
      </c>
    </row>
    <row r="110" spans="1:26" x14ac:dyDescent="0.3">
      <c r="A110">
        <v>42</v>
      </c>
      <c r="B110">
        <v>0</v>
      </c>
      <c r="C110">
        <v>0</v>
      </c>
      <c r="D110" t="s">
        <v>14</v>
      </c>
      <c r="F110" s="1">
        <v>-0.39881310035418099</v>
      </c>
      <c r="G110" s="1">
        <v>3.7824434674533598E-3</v>
      </c>
      <c r="H110" s="1">
        <v>0.39883103677208798</v>
      </c>
      <c r="I110" s="1">
        <v>5.6023579999999998E-8</v>
      </c>
      <c r="J110" s="1">
        <v>2.3442249999999999E-9</v>
      </c>
      <c r="K110">
        <v>1</v>
      </c>
      <c r="L110" s="1">
        <v>-0.31460438747207398</v>
      </c>
      <c r="M110" s="1">
        <v>0.30027160174436202</v>
      </c>
      <c r="N110">
        <v>15000</v>
      </c>
      <c r="O110">
        <v>16</v>
      </c>
      <c r="P110">
        <v>1</v>
      </c>
      <c r="Q110">
        <v>1</v>
      </c>
      <c r="R110">
        <v>1</v>
      </c>
      <c r="S110">
        <v>0.01</v>
      </c>
      <c r="T110">
        <v>16</v>
      </c>
      <c r="U110">
        <v>0</v>
      </c>
      <c r="V110">
        <v>7</v>
      </c>
      <c r="W110">
        <v>277.3</v>
      </c>
      <c r="X110" t="s">
        <v>162</v>
      </c>
      <c r="Y110">
        <v>7</v>
      </c>
      <c r="Z110" t="s">
        <v>163</v>
      </c>
    </row>
    <row r="111" spans="1:26" x14ac:dyDescent="0.3">
      <c r="A111">
        <v>42</v>
      </c>
      <c r="B111">
        <v>1</v>
      </c>
      <c r="C111">
        <v>0.1</v>
      </c>
      <c r="D111" t="s">
        <v>28</v>
      </c>
      <c r="E111">
        <v>0</v>
      </c>
      <c r="F111" s="1">
        <v>-0.19958198418018799</v>
      </c>
      <c r="G111" s="1">
        <v>-0.50489649158847905</v>
      </c>
      <c r="H111" s="1">
        <v>0.54291199620901298</v>
      </c>
      <c r="I111" s="1">
        <v>6.4516080000000004E-4</v>
      </c>
      <c r="J111" s="1">
        <v>0.1199158</v>
      </c>
      <c r="K111">
        <v>0.874413</v>
      </c>
      <c r="L111" s="1">
        <v>-0.31460438747207398</v>
      </c>
      <c r="M111" s="1">
        <v>0.30027160174436202</v>
      </c>
      <c r="N111">
        <v>9000</v>
      </c>
      <c r="O111">
        <v>16</v>
      </c>
      <c r="P111">
        <v>1</v>
      </c>
      <c r="Q111">
        <v>1</v>
      </c>
      <c r="R111">
        <v>1</v>
      </c>
      <c r="S111">
        <v>0.01</v>
      </c>
      <c r="T111">
        <v>16</v>
      </c>
      <c r="U111">
        <v>0</v>
      </c>
      <c r="V111">
        <v>7</v>
      </c>
      <c r="W111">
        <v>166.3</v>
      </c>
      <c r="X111" t="s">
        <v>164</v>
      </c>
      <c r="Y111">
        <v>7</v>
      </c>
      <c r="Z111" t="s">
        <v>163</v>
      </c>
    </row>
    <row r="112" spans="1:26" x14ac:dyDescent="0.3">
      <c r="A112">
        <v>45</v>
      </c>
      <c r="B112">
        <v>0</v>
      </c>
      <c r="C112">
        <v>0</v>
      </c>
      <c r="D112" t="s">
        <v>14</v>
      </c>
      <c r="F112" s="1">
        <v>0.39858539228420498</v>
      </c>
      <c r="G112" s="1">
        <v>-4.1284890033375602E-3</v>
      </c>
      <c r="H112" s="1">
        <v>0.39860677285239898</v>
      </c>
      <c r="I112" s="1">
        <v>9.9903470000000002E-8</v>
      </c>
      <c r="J112" s="1">
        <v>5.7900999999999997E-9</v>
      </c>
      <c r="K112">
        <v>1</v>
      </c>
      <c r="L112" s="1">
        <v>-0.31460438747207398</v>
      </c>
      <c r="M112" s="1">
        <v>0.30027160174436202</v>
      </c>
      <c r="N112">
        <v>15000</v>
      </c>
      <c r="O112">
        <v>16</v>
      </c>
      <c r="P112">
        <v>1</v>
      </c>
      <c r="Q112">
        <v>1</v>
      </c>
      <c r="R112">
        <v>1</v>
      </c>
      <c r="S112">
        <v>0.01</v>
      </c>
      <c r="T112">
        <v>16</v>
      </c>
      <c r="U112">
        <v>0</v>
      </c>
      <c r="V112">
        <v>7</v>
      </c>
      <c r="W112">
        <v>275.39999999999998</v>
      </c>
      <c r="X112" t="s">
        <v>165</v>
      </c>
      <c r="Y112">
        <v>7</v>
      </c>
      <c r="Z112" t="s">
        <v>163</v>
      </c>
    </row>
    <row r="113" spans="1:26" x14ac:dyDescent="0.3">
      <c r="A113">
        <v>45</v>
      </c>
      <c r="B113">
        <v>1</v>
      </c>
      <c r="C113">
        <v>0.1</v>
      </c>
      <c r="D113" t="s">
        <v>28</v>
      </c>
      <c r="E113">
        <v>0</v>
      </c>
      <c r="F113" s="1">
        <v>-0.159445699093583</v>
      </c>
      <c r="G113" s="1">
        <v>-13.886503167277899</v>
      </c>
      <c r="H113" s="1">
        <v>13.887418519861001</v>
      </c>
      <c r="I113" s="1">
        <v>1.091891E-3</v>
      </c>
      <c r="J113" s="1">
        <v>1.436473E-3</v>
      </c>
      <c r="K113">
        <v>0.99956100000000003</v>
      </c>
      <c r="L113" s="1">
        <v>-0.31460438747207398</v>
      </c>
      <c r="M113" s="1">
        <v>0.30027160174436202</v>
      </c>
      <c r="N113">
        <v>9000</v>
      </c>
      <c r="O113">
        <v>16</v>
      </c>
      <c r="P113">
        <v>1</v>
      </c>
      <c r="Q113">
        <v>1</v>
      </c>
      <c r="R113">
        <v>1</v>
      </c>
      <c r="S113">
        <v>0.01</v>
      </c>
      <c r="T113">
        <v>16</v>
      </c>
      <c r="U113">
        <v>0</v>
      </c>
      <c r="V113">
        <v>7</v>
      </c>
      <c r="W113">
        <v>166.6</v>
      </c>
      <c r="X113" t="s">
        <v>166</v>
      </c>
      <c r="Y113">
        <v>7</v>
      </c>
      <c r="Z113" t="s">
        <v>163</v>
      </c>
    </row>
    <row r="114" spans="1:26" x14ac:dyDescent="0.3">
      <c r="A114">
        <v>42</v>
      </c>
      <c r="B114">
        <v>0</v>
      </c>
      <c r="C114">
        <v>0</v>
      </c>
      <c r="D114" t="s">
        <v>14</v>
      </c>
      <c r="F114" s="1">
        <v>-0.147857790959845</v>
      </c>
      <c r="G114" s="1">
        <v>-0.36765420373399998</v>
      </c>
      <c r="H114" s="1">
        <v>0.39627205285107697</v>
      </c>
      <c r="I114" s="1">
        <v>1.4005410000000001E-7</v>
      </c>
      <c r="J114" s="1">
        <v>1.060869E-8</v>
      </c>
      <c r="K114">
        <v>1</v>
      </c>
      <c r="L114" s="1">
        <v>-0.40361295054312302</v>
      </c>
      <c r="M114" s="1">
        <v>-0.16197389167602899</v>
      </c>
      <c r="N114">
        <v>15000</v>
      </c>
      <c r="O114">
        <v>16</v>
      </c>
      <c r="P114">
        <v>1</v>
      </c>
      <c r="Q114">
        <v>1</v>
      </c>
      <c r="R114">
        <v>1</v>
      </c>
      <c r="S114">
        <v>0.01</v>
      </c>
      <c r="T114">
        <v>16</v>
      </c>
      <c r="U114">
        <v>0</v>
      </c>
      <c r="V114">
        <v>7.25</v>
      </c>
      <c r="W114">
        <v>277.89999999999998</v>
      </c>
      <c r="X114" t="s">
        <v>167</v>
      </c>
      <c r="Y114">
        <v>7.25</v>
      </c>
      <c r="Z114" t="s">
        <v>168</v>
      </c>
    </row>
    <row r="115" spans="1:26" x14ac:dyDescent="0.3">
      <c r="A115">
        <v>42</v>
      </c>
      <c r="B115">
        <v>1</v>
      </c>
      <c r="C115">
        <v>0.1</v>
      </c>
      <c r="D115" t="s">
        <v>28</v>
      </c>
      <c r="E115">
        <v>0</v>
      </c>
      <c r="F115" s="1">
        <v>-91.238737133440907</v>
      </c>
      <c r="G115" s="1">
        <v>18.387359470041002</v>
      </c>
      <c r="H115" s="1">
        <v>93.073101065697998</v>
      </c>
      <c r="I115" s="1">
        <v>5.8830979999999998E-3</v>
      </c>
      <c r="J115" s="1">
        <v>1.4886850000000001E-4</v>
      </c>
      <c r="K115">
        <v>0.99943099999999996</v>
      </c>
      <c r="L115" s="1">
        <v>-0.40361295054312302</v>
      </c>
      <c r="M115" s="1">
        <v>-0.16197389167602899</v>
      </c>
      <c r="N115">
        <v>9000</v>
      </c>
      <c r="O115">
        <v>16</v>
      </c>
      <c r="P115">
        <v>1</v>
      </c>
      <c r="Q115">
        <v>1</v>
      </c>
      <c r="R115">
        <v>1</v>
      </c>
      <c r="S115">
        <v>0.01</v>
      </c>
      <c r="T115">
        <v>16</v>
      </c>
      <c r="U115">
        <v>0</v>
      </c>
      <c r="V115">
        <v>7.25</v>
      </c>
      <c r="W115">
        <v>167.3</v>
      </c>
      <c r="X115" t="s">
        <v>169</v>
      </c>
      <c r="Y115">
        <v>7.25</v>
      </c>
      <c r="Z115" t="s">
        <v>168</v>
      </c>
    </row>
    <row r="116" spans="1:26" x14ac:dyDescent="0.3">
      <c r="A116">
        <v>45</v>
      </c>
      <c r="B116">
        <v>0</v>
      </c>
      <c r="C116">
        <v>0</v>
      </c>
      <c r="D116" t="s">
        <v>14</v>
      </c>
      <c r="F116" s="1">
        <v>-0.14724424878179401</v>
      </c>
      <c r="G116" s="1">
        <v>-0.367705671163368</v>
      </c>
      <c r="H116" s="1">
        <v>0.396091314478136</v>
      </c>
      <c r="I116" s="1">
        <v>1.3466410000000001E-7</v>
      </c>
      <c r="J116" s="1">
        <v>9.867872E-9</v>
      </c>
      <c r="K116">
        <v>1</v>
      </c>
      <c r="L116" s="1">
        <v>-0.40361295054312302</v>
      </c>
      <c r="M116" s="1">
        <v>-0.16197389167602899</v>
      </c>
      <c r="N116">
        <v>15000</v>
      </c>
      <c r="O116">
        <v>16</v>
      </c>
      <c r="P116">
        <v>1</v>
      </c>
      <c r="Q116">
        <v>1</v>
      </c>
      <c r="R116">
        <v>1</v>
      </c>
      <c r="S116">
        <v>0.01</v>
      </c>
      <c r="T116">
        <v>16</v>
      </c>
      <c r="U116">
        <v>0</v>
      </c>
      <c r="V116">
        <v>7.25</v>
      </c>
      <c r="W116">
        <v>277.60000000000002</v>
      </c>
      <c r="X116" t="s">
        <v>170</v>
      </c>
      <c r="Y116">
        <v>7.25</v>
      </c>
      <c r="Z116" t="s">
        <v>168</v>
      </c>
    </row>
    <row r="117" spans="1:26" x14ac:dyDescent="0.3">
      <c r="A117">
        <v>45</v>
      </c>
      <c r="B117">
        <v>1</v>
      </c>
      <c r="C117">
        <v>0.1</v>
      </c>
      <c r="D117" t="s">
        <v>28</v>
      </c>
      <c r="E117">
        <v>0</v>
      </c>
      <c r="F117" s="1">
        <v>-12541.8351143443</v>
      </c>
      <c r="G117" s="1">
        <v>-17172.648798914499</v>
      </c>
      <c r="H117" s="1">
        <v>21264.935805364199</v>
      </c>
      <c r="I117" s="1">
        <v>1.6322460000000001</v>
      </c>
      <c r="J117" s="1">
        <v>6.7365820000000001E-4</v>
      </c>
      <c r="K117">
        <v>0.99959299999999995</v>
      </c>
      <c r="L117" s="1">
        <v>-0.40361295054312302</v>
      </c>
      <c r="M117" s="1">
        <v>-0.16197389167602899</v>
      </c>
      <c r="N117">
        <v>9000</v>
      </c>
      <c r="O117">
        <v>16</v>
      </c>
      <c r="P117">
        <v>1</v>
      </c>
      <c r="Q117">
        <v>1</v>
      </c>
      <c r="R117">
        <v>1</v>
      </c>
      <c r="S117">
        <v>0.01</v>
      </c>
      <c r="T117">
        <v>16</v>
      </c>
      <c r="U117">
        <v>0</v>
      </c>
      <c r="V117">
        <v>7.25</v>
      </c>
      <c r="W117">
        <v>165.8</v>
      </c>
      <c r="X117" t="s">
        <v>171</v>
      </c>
      <c r="Y117">
        <v>7.25</v>
      </c>
      <c r="Z117" t="s">
        <v>168</v>
      </c>
    </row>
    <row r="118" spans="1:26" x14ac:dyDescent="0.3">
      <c r="A118">
        <v>42</v>
      </c>
      <c r="B118">
        <v>0</v>
      </c>
      <c r="C118">
        <v>0</v>
      </c>
      <c r="D118" t="s">
        <v>14</v>
      </c>
      <c r="F118" s="1">
        <v>-0.297419893990511</v>
      </c>
      <c r="G118" s="1">
        <v>0.25759449084760899</v>
      </c>
      <c r="H118" s="1">
        <v>0.39346348630637301</v>
      </c>
      <c r="I118" s="1">
        <v>1.4272420000000001E-7</v>
      </c>
      <c r="J118" s="1">
        <v>1.135989E-8</v>
      </c>
      <c r="K118">
        <v>1</v>
      </c>
      <c r="L118" s="1">
        <v>-2.3062413813719701E-3</v>
      </c>
      <c r="M118" s="1">
        <v>-0.43489497201220201</v>
      </c>
      <c r="N118">
        <v>15000</v>
      </c>
      <c r="O118">
        <v>16</v>
      </c>
      <c r="P118">
        <v>1</v>
      </c>
      <c r="Q118">
        <v>1</v>
      </c>
      <c r="R118">
        <v>1</v>
      </c>
      <c r="S118">
        <v>0.01</v>
      </c>
      <c r="T118">
        <v>16</v>
      </c>
      <c r="U118">
        <v>0</v>
      </c>
      <c r="V118">
        <v>7.5</v>
      </c>
      <c r="W118">
        <v>277.39999999999998</v>
      </c>
      <c r="X118" t="s">
        <v>172</v>
      </c>
      <c r="Y118">
        <v>7.5</v>
      </c>
      <c r="Z118" t="s">
        <v>173</v>
      </c>
    </row>
    <row r="119" spans="1:26" x14ac:dyDescent="0.3">
      <c r="A119">
        <v>42</v>
      </c>
      <c r="B119">
        <v>1</v>
      </c>
      <c r="C119">
        <v>0.1</v>
      </c>
      <c r="D119" t="s">
        <v>28</v>
      </c>
      <c r="E119">
        <v>0</v>
      </c>
      <c r="F119" s="1">
        <v>7.0887640790236901</v>
      </c>
      <c r="G119" s="1">
        <v>-53.132823190074099</v>
      </c>
      <c r="H119" s="1">
        <v>53.6036143960063</v>
      </c>
      <c r="I119" s="1">
        <v>3.6917009999999999E-3</v>
      </c>
      <c r="J119" s="1">
        <v>1.0932649999999999E-3</v>
      </c>
      <c r="K119">
        <v>0.99961999999999995</v>
      </c>
      <c r="L119" s="1">
        <v>-2.3062413813719701E-3</v>
      </c>
      <c r="M119" s="1">
        <v>-0.43489497201220201</v>
      </c>
      <c r="N119">
        <v>9000</v>
      </c>
      <c r="O119">
        <v>16</v>
      </c>
      <c r="P119">
        <v>1</v>
      </c>
      <c r="Q119">
        <v>1</v>
      </c>
      <c r="R119">
        <v>1</v>
      </c>
      <c r="S119">
        <v>0.01</v>
      </c>
      <c r="T119">
        <v>16</v>
      </c>
      <c r="U119">
        <v>0</v>
      </c>
      <c r="V119">
        <v>7.5</v>
      </c>
      <c r="W119">
        <v>166.3</v>
      </c>
      <c r="X119" t="s">
        <v>174</v>
      </c>
      <c r="Y119">
        <v>7.5</v>
      </c>
      <c r="Z119" t="s">
        <v>173</v>
      </c>
    </row>
    <row r="120" spans="1:26" x14ac:dyDescent="0.3">
      <c r="A120">
        <v>45</v>
      </c>
      <c r="B120">
        <v>0</v>
      </c>
      <c r="C120">
        <v>0</v>
      </c>
      <c r="D120" t="s">
        <v>14</v>
      </c>
      <c r="F120" s="1">
        <v>0.29770032509657202</v>
      </c>
      <c r="G120" s="1">
        <v>-0.25781220581439601</v>
      </c>
      <c r="H120" s="1">
        <v>0.39381799988000699</v>
      </c>
      <c r="I120" s="1">
        <v>1.3906049999999999E-7</v>
      </c>
      <c r="J120" s="1">
        <v>1.051252E-8</v>
      </c>
      <c r="K120">
        <v>1</v>
      </c>
      <c r="L120" s="1">
        <v>-2.3062413813719701E-3</v>
      </c>
      <c r="M120" s="1">
        <v>-0.43489497201220201</v>
      </c>
      <c r="N120">
        <v>15000</v>
      </c>
      <c r="O120">
        <v>16</v>
      </c>
      <c r="P120">
        <v>1</v>
      </c>
      <c r="Q120">
        <v>1</v>
      </c>
      <c r="R120">
        <v>1</v>
      </c>
      <c r="S120">
        <v>0.01</v>
      </c>
      <c r="T120">
        <v>16</v>
      </c>
      <c r="U120">
        <v>0</v>
      </c>
      <c r="V120">
        <v>7.5</v>
      </c>
      <c r="W120">
        <v>277.7</v>
      </c>
      <c r="X120" t="s">
        <v>175</v>
      </c>
      <c r="Y120">
        <v>7.5</v>
      </c>
      <c r="Z120" t="s">
        <v>173</v>
      </c>
    </row>
    <row r="121" spans="1:26" x14ac:dyDescent="0.3">
      <c r="A121">
        <v>45</v>
      </c>
      <c r="B121">
        <v>1</v>
      </c>
      <c r="C121">
        <v>0.1</v>
      </c>
      <c r="D121" t="s">
        <v>28</v>
      </c>
      <c r="E121">
        <v>0</v>
      </c>
      <c r="F121" s="1">
        <v>1278.1190724584801</v>
      </c>
      <c r="G121" s="1">
        <v>-752.42904052719405</v>
      </c>
      <c r="H121" s="1">
        <v>1483.1513154128199</v>
      </c>
      <c r="I121" s="1">
        <v>0.10155939999999999</v>
      </c>
      <c r="J121" s="1">
        <v>5.6943719999999996E-4</v>
      </c>
      <c r="K121">
        <v>0.99947399999999997</v>
      </c>
      <c r="L121" s="1">
        <v>-2.3062413813719701E-3</v>
      </c>
      <c r="M121" s="1">
        <v>-0.43489497201220201</v>
      </c>
      <c r="N121">
        <v>9000</v>
      </c>
      <c r="O121">
        <v>16</v>
      </c>
      <c r="P121">
        <v>1</v>
      </c>
      <c r="Q121">
        <v>1</v>
      </c>
      <c r="R121">
        <v>1</v>
      </c>
      <c r="S121">
        <v>0.01</v>
      </c>
      <c r="T121">
        <v>16</v>
      </c>
      <c r="U121">
        <v>0</v>
      </c>
      <c r="V121">
        <v>7.5</v>
      </c>
      <c r="W121">
        <v>167.5</v>
      </c>
      <c r="X121" t="s">
        <v>176</v>
      </c>
      <c r="Y121">
        <v>7.5</v>
      </c>
      <c r="Z121" t="s">
        <v>173</v>
      </c>
    </row>
    <row r="122" spans="1:26" x14ac:dyDescent="0.3">
      <c r="A122">
        <v>42</v>
      </c>
      <c r="B122">
        <v>0</v>
      </c>
      <c r="C122">
        <v>0</v>
      </c>
      <c r="D122" t="s">
        <v>14</v>
      </c>
      <c r="F122" s="1">
        <v>-0.32876598778785798</v>
      </c>
      <c r="G122" s="1">
        <v>-0.21042432734444899</v>
      </c>
      <c r="H122" s="1">
        <v>0.39034020067691</v>
      </c>
      <c r="I122" s="1">
        <v>3.8235129999999998E-7</v>
      </c>
      <c r="J122" s="1">
        <v>1.123028E-7</v>
      </c>
      <c r="K122">
        <v>1</v>
      </c>
      <c r="L122" s="1">
        <v>0.40821861560144801</v>
      </c>
      <c r="M122" s="1">
        <v>-0.14998839057487401</v>
      </c>
      <c r="N122">
        <v>15000</v>
      </c>
      <c r="O122">
        <v>16</v>
      </c>
      <c r="P122">
        <v>1</v>
      </c>
      <c r="Q122">
        <v>1</v>
      </c>
      <c r="R122">
        <v>1</v>
      </c>
      <c r="S122">
        <v>0.01</v>
      </c>
      <c r="T122">
        <v>16</v>
      </c>
      <c r="U122">
        <v>0</v>
      </c>
      <c r="V122">
        <v>7.75</v>
      </c>
      <c r="W122">
        <v>274.8</v>
      </c>
      <c r="X122" t="s">
        <v>177</v>
      </c>
      <c r="Y122">
        <v>7.75</v>
      </c>
      <c r="Z122" t="s">
        <v>178</v>
      </c>
    </row>
    <row r="123" spans="1:26" x14ac:dyDescent="0.3">
      <c r="A123">
        <v>42</v>
      </c>
      <c r="B123">
        <v>1</v>
      </c>
      <c r="C123">
        <v>0.1</v>
      </c>
      <c r="D123" t="s">
        <v>28</v>
      </c>
      <c r="E123">
        <v>0</v>
      </c>
      <c r="F123" s="1">
        <v>-0.44806906676770802</v>
      </c>
      <c r="G123" s="1">
        <v>-0.44992946795558703</v>
      </c>
      <c r="H123" s="1">
        <v>0.63498221607292504</v>
      </c>
      <c r="I123" s="1">
        <v>2.2305520000000001E-4</v>
      </c>
      <c r="J123" s="1">
        <v>7.07291E-3</v>
      </c>
      <c r="K123">
        <v>0.99211499999999997</v>
      </c>
      <c r="L123" s="1">
        <v>0.40821861560144801</v>
      </c>
      <c r="M123" s="1">
        <v>-0.14998839057487401</v>
      </c>
      <c r="N123">
        <v>9000</v>
      </c>
      <c r="O123">
        <v>16</v>
      </c>
      <c r="P123">
        <v>1</v>
      </c>
      <c r="Q123">
        <v>1</v>
      </c>
      <c r="R123">
        <v>1</v>
      </c>
      <c r="S123">
        <v>0.01</v>
      </c>
      <c r="T123">
        <v>16</v>
      </c>
      <c r="U123">
        <v>0</v>
      </c>
      <c r="V123">
        <v>7.75</v>
      </c>
      <c r="W123">
        <v>165.8</v>
      </c>
      <c r="X123" t="s">
        <v>179</v>
      </c>
      <c r="Y123">
        <v>7.75</v>
      </c>
      <c r="Z123" t="s">
        <v>178</v>
      </c>
    </row>
    <row r="124" spans="1:26" x14ac:dyDescent="0.3">
      <c r="A124">
        <v>45</v>
      </c>
      <c r="B124">
        <v>0</v>
      </c>
      <c r="C124">
        <v>0</v>
      </c>
      <c r="D124" t="s">
        <v>14</v>
      </c>
      <c r="F124" s="1">
        <v>-0.32944192711099002</v>
      </c>
      <c r="G124" s="1">
        <v>-0.21076203597229301</v>
      </c>
      <c r="H124" s="1">
        <v>0.39109157386191401</v>
      </c>
      <c r="I124" s="1">
        <v>1.3537830000000001E-7</v>
      </c>
      <c r="J124" s="1">
        <v>2.1625619999999999E-8</v>
      </c>
      <c r="K124">
        <v>1</v>
      </c>
      <c r="L124" s="1">
        <v>0.40821861560144801</v>
      </c>
      <c r="M124" s="1">
        <v>-0.14998839057487401</v>
      </c>
      <c r="N124">
        <v>15000</v>
      </c>
      <c r="O124">
        <v>16</v>
      </c>
      <c r="P124">
        <v>1</v>
      </c>
      <c r="Q124">
        <v>1</v>
      </c>
      <c r="R124">
        <v>1</v>
      </c>
      <c r="S124">
        <v>0.01</v>
      </c>
      <c r="T124">
        <v>16</v>
      </c>
      <c r="U124">
        <v>0</v>
      </c>
      <c r="V124">
        <v>7.75</v>
      </c>
      <c r="W124">
        <v>276.8</v>
      </c>
      <c r="X124" t="s">
        <v>180</v>
      </c>
      <c r="Y124">
        <v>7.75</v>
      </c>
      <c r="Z124" t="s">
        <v>178</v>
      </c>
    </row>
    <row r="125" spans="1:26" x14ac:dyDescent="0.3">
      <c r="A125">
        <v>45</v>
      </c>
      <c r="B125">
        <v>1</v>
      </c>
      <c r="C125">
        <v>0.1</v>
      </c>
      <c r="D125" t="s">
        <v>28</v>
      </c>
      <c r="E125">
        <v>0</v>
      </c>
      <c r="F125" s="1">
        <v>323.81787358260101</v>
      </c>
      <c r="G125" s="1">
        <v>-521.53809288843001</v>
      </c>
      <c r="H125" s="1">
        <v>613.88923885767701</v>
      </c>
      <c r="I125" s="1">
        <v>0.1582991</v>
      </c>
      <c r="J125" s="1">
        <v>6.4572800000000001E-3</v>
      </c>
      <c r="K125">
        <v>0.991981</v>
      </c>
      <c r="L125" s="1">
        <v>0.40821861560144801</v>
      </c>
      <c r="M125" s="1">
        <v>-0.14998839057487401</v>
      </c>
      <c r="N125">
        <v>9000</v>
      </c>
      <c r="O125">
        <v>16</v>
      </c>
      <c r="P125">
        <v>1</v>
      </c>
      <c r="Q125">
        <v>1</v>
      </c>
      <c r="R125">
        <v>1</v>
      </c>
      <c r="S125">
        <v>0.01</v>
      </c>
      <c r="T125">
        <v>16</v>
      </c>
      <c r="U125">
        <v>0</v>
      </c>
      <c r="V125">
        <v>7.75</v>
      </c>
      <c r="W125">
        <v>169.1</v>
      </c>
      <c r="X125" t="s">
        <v>181</v>
      </c>
      <c r="Y125">
        <v>7.75</v>
      </c>
      <c r="Z125" t="s">
        <v>178</v>
      </c>
    </row>
    <row r="126" spans="1:26" x14ac:dyDescent="0.3">
      <c r="A126">
        <v>42</v>
      </c>
      <c r="B126">
        <v>0</v>
      </c>
      <c r="C126">
        <v>0</v>
      </c>
      <c r="D126" t="s">
        <v>14</v>
      </c>
      <c r="F126" s="1">
        <v>-0.121351585300378</v>
      </c>
      <c r="G126" s="1">
        <v>0.36786671492711898</v>
      </c>
      <c r="H126" s="1">
        <v>0.387365624708989</v>
      </c>
      <c r="I126" s="1">
        <v>2.9258030000000002E-7</v>
      </c>
      <c r="J126" s="1">
        <v>6.1508659999999996E-8</v>
      </c>
      <c r="K126">
        <v>1</v>
      </c>
      <c r="L126" s="1">
        <v>0.26622813818270302</v>
      </c>
      <c r="M126" s="1">
        <v>0.34389174731385302</v>
      </c>
      <c r="N126">
        <v>15000</v>
      </c>
      <c r="O126">
        <v>16</v>
      </c>
      <c r="P126">
        <v>1</v>
      </c>
      <c r="Q126">
        <v>1</v>
      </c>
      <c r="R126">
        <v>1</v>
      </c>
      <c r="S126">
        <v>0.01</v>
      </c>
      <c r="T126">
        <v>16</v>
      </c>
      <c r="U126">
        <v>0</v>
      </c>
      <c r="V126">
        <v>8</v>
      </c>
      <c r="W126">
        <v>275.8</v>
      </c>
      <c r="X126" t="s">
        <v>182</v>
      </c>
      <c r="Y126">
        <v>8</v>
      </c>
      <c r="Z126" t="s">
        <v>183</v>
      </c>
    </row>
    <row r="127" spans="1:26" x14ac:dyDescent="0.3">
      <c r="A127">
        <v>42</v>
      </c>
      <c r="B127">
        <v>1</v>
      </c>
      <c r="C127">
        <v>0.1</v>
      </c>
      <c r="D127" t="s">
        <v>28</v>
      </c>
      <c r="E127">
        <v>0</v>
      </c>
      <c r="F127" s="1">
        <v>-4245.2326466193599</v>
      </c>
      <c r="G127" s="1">
        <v>5572.5935979448004</v>
      </c>
      <c r="H127" s="1">
        <v>7005.4121671589201</v>
      </c>
      <c r="I127" s="1">
        <v>0.44096360000000001</v>
      </c>
      <c r="J127" s="1">
        <v>2.373946E-4</v>
      </c>
      <c r="K127">
        <v>0.99963900000000006</v>
      </c>
      <c r="L127" s="1">
        <v>0.26622813818270302</v>
      </c>
      <c r="M127" s="1">
        <v>0.34389174731385302</v>
      </c>
      <c r="N127">
        <v>9000</v>
      </c>
      <c r="O127">
        <v>16</v>
      </c>
      <c r="P127">
        <v>1</v>
      </c>
      <c r="Q127">
        <v>1</v>
      </c>
      <c r="R127">
        <v>1</v>
      </c>
      <c r="S127">
        <v>0.01</v>
      </c>
      <c r="T127">
        <v>16</v>
      </c>
      <c r="U127">
        <v>0</v>
      </c>
      <c r="V127">
        <v>8</v>
      </c>
      <c r="W127">
        <v>166.9</v>
      </c>
      <c r="X127" t="s">
        <v>184</v>
      </c>
      <c r="Y127">
        <v>8</v>
      </c>
      <c r="Z127" t="s">
        <v>183</v>
      </c>
    </row>
    <row r="128" spans="1:26" x14ac:dyDescent="0.3">
      <c r="A128">
        <v>45</v>
      </c>
      <c r="B128">
        <v>0</v>
      </c>
      <c r="C128">
        <v>0</v>
      </c>
      <c r="D128" t="s">
        <v>14</v>
      </c>
      <c r="F128" s="1">
        <v>0.123516154306837</v>
      </c>
      <c r="G128" s="1">
        <v>-0.36811807393135199</v>
      </c>
      <c r="H128" s="1">
        <v>0.38828746661420699</v>
      </c>
      <c r="I128" s="1">
        <v>1.064913E-7</v>
      </c>
      <c r="J128" s="1">
        <v>5.8793590000000004E-9</v>
      </c>
      <c r="K128">
        <v>1</v>
      </c>
      <c r="L128" s="1">
        <v>0.26622813818270302</v>
      </c>
      <c r="M128" s="1">
        <v>0.34389174731385302</v>
      </c>
      <c r="N128">
        <v>15000</v>
      </c>
      <c r="O128">
        <v>16</v>
      </c>
      <c r="P128">
        <v>1</v>
      </c>
      <c r="Q128">
        <v>1</v>
      </c>
      <c r="R128">
        <v>1</v>
      </c>
      <c r="S128">
        <v>0.01</v>
      </c>
      <c r="T128">
        <v>16</v>
      </c>
      <c r="U128">
        <v>0</v>
      </c>
      <c r="V128">
        <v>8</v>
      </c>
      <c r="W128">
        <v>278.3</v>
      </c>
      <c r="X128" t="s">
        <v>185</v>
      </c>
      <c r="Y128">
        <v>8</v>
      </c>
      <c r="Z128" t="s">
        <v>183</v>
      </c>
    </row>
    <row r="129" spans="1:26" x14ac:dyDescent="0.3">
      <c r="A129">
        <v>45</v>
      </c>
      <c r="B129">
        <v>1</v>
      </c>
      <c r="C129">
        <v>0.1</v>
      </c>
      <c r="D129" t="s">
        <v>28</v>
      </c>
      <c r="E129">
        <v>0</v>
      </c>
      <c r="F129" s="1">
        <v>803.34575563891997</v>
      </c>
      <c r="G129" s="1">
        <v>2752.1520865309599</v>
      </c>
      <c r="H129" s="1">
        <v>2867.00287940207</v>
      </c>
      <c r="I129" s="1">
        <v>0.15872900000000001</v>
      </c>
      <c r="J129" s="1">
        <v>1.4410869999999999E-4</v>
      </c>
      <c r="K129">
        <v>0.999386</v>
      </c>
      <c r="L129" s="1">
        <v>0.26622813818270302</v>
      </c>
      <c r="M129" s="1">
        <v>0.34389174731385302</v>
      </c>
      <c r="N129">
        <v>9000</v>
      </c>
      <c r="O129">
        <v>16</v>
      </c>
      <c r="P129">
        <v>1</v>
      </c>
      <c r="Q129">
        <v>1</v>
      </c>
      <c r="R129">
        <v>1</v>
      </c>
      <c r="S129">
        <v>0.01</v>
      </c>
      <c r="T129">
        <v>16</v>
      </c>
      <c r="U129">
        <v>0</v>
      </c>
      <c r="V129">
        <v>8</v>
      </c>
      <c r="W129">
        <v>167.3</v>
      </c>
      <c r="X129" t="s">
        <v>186</v>
      </c>
      <c r="Y129">
        <v>8</v>
      </c>
      <c r="Z129" t="s">
        <v>183</v>
      </c>
    </row>
    <row r="130" spans="1:26" x14ac:dyDescent="0.3">
      <c r="A130">
        <v>42</v>
      </c>
      <c r="B130">
        <v>0</v>
      </c>
      <c r="C130">
        <v>0</v>
      </c>
      <c r="D130" t="s">
        <v>14</v>
      </c>
      <c r="F130" s="1">
        <v>-0.38302459262537503</v>
      </c>
      <c r="G130" s="1">
        <v>-4.5852336776647198E-2</v>
      </c>
      <c r="H130" s="1">
        <v>0.385759349003642</v>
      </c>
      <c r="I130" s="1">
        <v>1.517069E-7</v>
      </c>
      <c r="J130" s="1">
        <v>1.7572700000000002E-8</v>
      </c>
      <c r="K130">
        <v>1</v>
      </c>
      <c r="L130" s="1">
        <v>-0.26162305354856003</v>
      </c>
      <c r="M130" s="1">
        <v>0.34740802132755999</v>
      </c>
      <c r="N130">
        <v>15000</v>
      </c>
      <c r="O130">
        <v>16</v>
      </c>
      <c r="P130">
        <v>1</v>
      </c>
      <c r="Q130">
        <v>1</v>
      </c>
      <c r="R130">
        <v>1</v>
      </c>
      <c r="S130">
        <v>0.01</v>
      </c>
      <c r="T130">
        <v>16</v>
      </c>
      <c r="U130">
        <v>0</v>
      </c>
      <c r="V130">
        <v>8.25</v>
      </c>
      <c r="W130">
        <v>275.5</v>
      </c>
      <c r="X130" t="s">
        <v>187</v>
      </c>
      <c r="Y130">
        <v>8.25</v>
      </c>
      <c r="Z130" t="s">
        <v>188</v>
      </c>
    </row>
    <row r="131" spans="1:26" x14ac:dyDescent="0.3">
      <c r="A131">
        <v>42</v>
      </c>
      <c r="B131">
        <v>1</v>
      </c>
      <c r="C131">
        <v>0.1</v>
      </c>
      <c r="D131" t="s">
        <v>28</v>
      </c>
      <c r="E131">
        <v>0</v>
      </c>
      <c r="F131" s="1">
        <v>-284.64902123231599</v>
      </c>
      <c r="G131" s="1">
        <v>-320.85226191381201</v>
      </c>
      <c r="H131" s="1">
        <v>428.918686074324</v>
      </c>
      <c r="I131" s="1">
        <v>1.9964490000000001E-2</v>
      </c>
      <c r="J131" s="1">
        <v>1.5178070000000001E-4</v>
      </c>
      <c r="K131">
        <v>0.99970400000000004</v>
      </c>
      <c r="L131" s="1">
        <v>-0.26162305354856003</v>
      </c>
      <c r="M131" s="1">
        <v>0.34740802132755999</v>
      </c>
      <c r="N131">
        <v>9000</v>
      </c>
      <c r="O131">
        <v>16</v>
      </c>
      <c r="P131">
        <v>1</v>
      </c>
      <c r="Q131">
        <v>1</v>
      </c>
      <c r="R131">
        <v>1</v>
      </c>
      <c r="S131">
        <v>0.01</v>
      </c>
      <c r="T131">
        <v>16</v>
      </c>
      <c r="U131">
        <v>0</v>
      </c>
      <c r="V131">
        <v>8.25</v>
      </c>
      <c r="W131">
        <v>164.5</v>
      </c>
      <c r="X131" t="s">
        <v>189</v>
      </c>
      <c r="Y131">
        <v>8.25</v>
      </c>
      <c r="Z131" t="s">
        <v>188</v>
      </c>
    </row>
    <row r="132" spans="1:26" x14ac:dyDescent="0.3">
      <c r="A132">
        <v>45</v>
      </c>
      <c r="B132">
        <v>0</v>
      </c>
      <c r="C132">
        <v>0</v>
      </c>
      <c r="D132" t="s">
        <v>14</v>
      </c>
      <c r="F132" s="1">
        <v>0.38186464919108598</v>
      </c>
      <c r="G132" s="1">
        <v>4.6665055834734299E-2</v>
      </c>
      <c r="H132" s="1">
        <v>0.38470539083549399</v>
      </c>
      <c r="I132" s="1">
        <v>2.35189E-7</v>
      </c>
      <c r="J132" s="1">
        <v>3.8701890000000003E-8</v>
      </c>
      <c r="K132">
        <v>1</v>
      </c>
      <c r="L132" s="1">
        <v>-0.26162305354856003</v>
      </c>
      <c r="M132" s="1">
        <v>0.34740802132755999</v>
      </c>
      <c r="N132">
        <v>15000</v>
      </c>
      <c r="O132">
        <v>16</v>
      </c>
      <c r="P132">
        <v>1</v>
      </c>
      <c r="Q132">
        <v>1</v>
      </c>
      <c r="R132">
        <v>1</v>
      </c>
      <c r="S132">
        <v>0.01</v>
      </c>
      <c r="T132">
        <v>16</v>
      </c>
      <c r="U132">
        <v>0</v>
      </c>
      <c r="V132">
        <v>8.25</v>
      </c>
      <c r="W132">
        <v>277.39999999999998</v>
      </c>
      <c r="X132" t="s">
        <v>190</v>
      </c>
      <c r="Y132">
        <v>8.25</v>
      </c>
      <c r="Z132" t="s">
        <v>188</v>
      </c>
    </row>
    <row r="133" spans="1:26" x14ac:dyDescent="0.3">
      <c r="A133">
        <v>45</v>
      </c>
      <c r="B133">
        <v>1</v>
      </c>
      <c r="C133">
        <v>0.1</v>
      </c>
      <c r="D133" t="s">
        <v>28</v>
      </c>
      <c r="E133">
        <v>0</v>
      </c>
      <c r="F133" s="1">
        <v>-347.07490971789298</v>
      </c>
      <c r="G133" s="1">
        <v>2812.89747900774</v>
      </c>
      <c r="H133" s="1">
        <v>2834.2288581488601</v>
      </c>
      <c r="I133" s="1">
        <v>0.14767849999999999</v>
      </c>
      <c r="J133" s="1">
        <v>1.7636759999999999E-4</v>
      </c>
      <c r="K133">
        <v>0.999695</v>
      </c>
      <c r="L133" s="1">
        <v>-0.26162305354856003</v>
      </c>
      <c r="M133" s="1">
        <v>0.34740802132755999</v>
      </c>
      <c r="N133">
        <v>9000</v>
      </c>
      <c r="O133">
        <v>16</v>
      </c>
      <c r="P133">
        <v>1</v>
      </c>
      <c r="Q133">
        <v>1</v>
      </c>
      <c r="R133">
        <v>1</v>
      </c>
      <c r="S133">
        <v>0.01</v>
      </c>
      <c r="T133">
        <v>16</v>
      </c>
      <c r="U133">
        <v>0</v>
      </c>
      <c r="V133">
        <v>8.25</v>
      </c>
      <c r="W133">
        <v>164.1</v>
      </c>
      <c r="X133" t="s">
        <v>191</v>
      </c>
      <c r="Y133">
        <v>8.25</v>
      </c>
      <c r="Z133" t="s">
        <v>188</v>
      </c>
    </row>
    <row r="134" spans="1:26" x14ac:dyDescent="0.3">
      <c r="A134">
        <v>42</v>
      </c>
      <c r="B134">
        <v>0</v>
      </c>
      <c r="C134">
        <v>0</v>
      </c>
      <c r="D134" t="s">
        <v>14</v>
      </c>
      <c r="F134" s="1">
        <v>-21781.049024648099</v>
      </c>
      <c r="G134" s="1">
        <v>8553.96387068474</v>
      </c>
      <c r="H134" s="1">
        <v>23400.5212445172</v>
      </c>
      <c r="I134" s="1">
        <v>0.29578579999999999</v>
      </c>
      <c r="J134" s="1">
        <v>1.130525E-5</v>
      </c>
      <c r="K134">
        <v>0.99998200000000004</v>
      </c>
      <c r="L134" s="1">
        <v>-0.39727183691364698</v>
      </c>
      <c r="M134" s="1">
        <v>-0.176957743617114</v>
      </c>
      <c r="N134">
        <v>15000</v>
      </c>
      <c r="O134">
        <v>16</v>
      </c>
      <c r="P134">
        <v>1</v>
      </c>
      <c r="Q134">
        <v>1</v>
      </c>
      <c r="R134">
        <v>1</v>
      </c>
      <c r="S134">
        <v>0.01</v>
      </c>
      <c r="T134">
        <v>16</v>
      </c>
      <c r="U134">
        <v>0</v>
      </c>
      <c r="V134">
        <v>8.5</v>
      </c>
      <c r="W134">
        <v>274</v>
      </c>
      <c r="X134" t="s">
        <v>192</v>
      </c>
      <c r="Y134">
        <v>8.5</v>
      </c>
      <c r="Z134" t="s">
        <v>193</v>
      </c>
    </row>
    <row r="135" spans="1:26" x14ac:dyDescent="0.3">
      <c r="A135">
        <v>42</v>
      </c>
      <c r="B135">
        <v>1</v>
      </c>
      <c r="C135">
        <v>0.1</v>
      </c>
      <c r="D135" t="s">
        <v>28</v>
      </c>
      <c r="E135">
        <v>0</v>
      </c>
      <c r="F135" s="1">
        <v>7903.9584230332002</v>
      </c>
      <c r="G135" s="1">
        <v>350918.95274076599</v>
      </c>
      <c r="H135" s="1">
        <v>351007.95425663597</v>
      </c>
      <c r="I135" s="1">
        <v>19.994479999999999</v>
      </c>
      <c r="J135" s="1">
        <v>3.0277119999999998E-4</v>
      </c>
      <c r="K135">
        <v>0.99972099999999997</v>
      </c>
      <c r="L135" s="1">
        <v>-0.39727183691364698</v>
      </c>
      <c r="M135" s="1">
        <v>-0.176957743617114</v>
      </c>
      <c r="N135">
        <v>9000</v>
      </c>
      <c r="O135">
        <v>16</v>
      </c>
      <c r="P135">
        <v>1</v>
      </c>
      <c r="Q135">
        <v>1</v>
      </c>
      <c r="R135">
        <v>1</v>
      </c>
      <c r="S135">
        <v>0.01</v>
      </c>
      <c r="T135">
        <v>16</v>
      </c>
      <c r="U135">
        <v>0</v>
      </c>
      <c r="V135">
        <v>8.5</v>
      </c>
      <c r="W135">
        <v>166.8</v>
      </c>
      <c r="X135" t="s">
        <v>194</v>
      </c>
      <c r="Y135">
        <v>8.5</v>
      </c>
      <c r="Z135" t="s">
        <v>193</v>
      </c>
    </row>
    <row r="136" spans="1:26" x14ac:dyDescent="0.3">
      <c r="A136">
        <v>45</v>
      </c>
      <c r="B136">
        <v>0</v>
      </c>
      <c r="C136">
        <v>0</v>
      </c>
      <c r="D136" t="s">
        <v>14</v>
      </c>
      <c r="F136" s="1">
        <v>18139.496150489202</v>
      </c>
      <c r="G136" s="1">
        <v>25376.901038015199</v>
      </c>
      <c r="H136" s="1">
        <v>31193.4035797127</v>
      </c>
      <c r="I136" s="1">
        <v>1.4133979999999999</v>
      </c>
      <c r="J136" s="1">
        <v>9.7979710000000007E-6</v>
      </c>
      <c r="K136">
        <v>0.99975199999999997</v>
      </c>
      <c r="L136" s="1">
        <v>-0.39727183691364698</v>
      </c>
      <c r="M136" s="1">
        <v>-0.176957743617114</v>
      </c>
      <c r="N136">
        <v>15000</v>
      </c>
      <c r="O136">
        <v>16</v>
      </c>
      <c r="P136">
        <v>1</v>
      </c>
      <c r="Q136">
        <v>1</v>
      </c>
      <c r="R136">
        <v>1</v>
      </c>
      <c r="S136">
        <v>0.01</v>
      </c>
      <c r="T136">
        <v>16</v>
      </c>
      <c r="U136">
        <v>0</v>
      </c>
      <c r="V136">
        <v>8.5</v>
      </c>
      <c r="W136">
        <v>278.7</v>
      </c>
      <c r="X136" t="s">
        <v>195</v>
      </c>
      <c r="Y136">
        <v>8.5</v>
      </c>
      <c r="Z136" t="s">
        <v>193</v>
      </c>
    </row>
    <row r="137" spans="1:26" x14ac:dyDescent="0.3">
      <c r="A137">
        <v>45</v>
      </c>
      <c r="B137">
        <v>1</v>
      </c>
      <c r="C137">
        <v>0.1</v>
      </c>
      <c r="D137" t="s">
        <v>28</v>
      </c>
      <c r="E137">
        <v>0</v>
      </c>
      <c r="F137" s="1">
        <v>3824827.9373234999</v>
      </c>
      <c r="G137" s="1">
        <v>-3571287.5590703399</v>
      </c>
      <c r="H137" s="1">
        <v>5232915.3996315403</v>
      </c>
      <c r="I137" s="1">
        <v>240.233</v>
      </c>
      <c r="J137" s="1">
        <v>2.369893E-4</v>
      </c>
      <c r="K137">
        <v>0.999807</v>
      </c>
      <c r="L137" s="1">
        <v>-0.39727183691364698</v>
      </c>
      <c r="M137" s="1">
        <v>-0.176957743617114</v>
      </c>
      <c r="N137">
        <v>9000</v>
      </c>
      <c r="O137">
        <v>16</v>
      </c>
      <c r="P137">
        <v>1</v>
      </c>
      <c r="Q137">
        <v>1</v>
      </c>
      <c r="R137">
        <v>1</v>
      </c>
      <c r="S137">
        <v>0.01</v>
      </c>
      <c r="T137">
        <v>16</v>
      </c>
      <c r="U137">
        <v>0</v>
      </c>
      <c r="V137">
        <v>8.5</v>
      </c>
      <c r="W137">
        <v>165.6</v>
      </c>
      <c r="X137" t="s">
        <v>196</v>
      </c>
      <c r="Y137">
        <v>8.5</v>
      </c>
      <c r="Z137" t="s">
        <v>193</v>
      </c>
    </row>
    <row r="138" spans="1:26" x14ac:dyDescent="0.3">
      <c r="A138">
        <v>42</v>
      </c>
      <c r="B138">
        <v>0</v>
      </c>
      <c r="C138">
        <v>0</v>
      </c>
      <c r="D138" t="s">
        <v>14</v>
      </c>
      <c r="F138" s="1">
        <v>-0.37662467478891198</v>
      </c>
      <c r="G138" s="1">
        <v>6.2618667291466701E-2</v>
      </c>
      <c r="H138" s="1">
        <v>0.38179476574884202</v>
      </c>
      <c r="I138" s="1">
        <v>3.8827130000000003E-7</v>
      </c>
      <c r="J138" s="1">
        <v>9.943744E-8</v>
      </c>
      <c r="K138">
        <v>1</v>
      </c>
      <c r="L138" s="1">
        <v>0.100318080377098</v>
      </c>
      <c r="M138" s="1">
        <v>-0.423172823064357</v>
      </c>
      <c r="N138">
        <v>15000</v>
      </c>
      <c r="O138">
        <v>16</v>
      </c>
      <c r="P138">
        <v>1</v>
      </c>
      <c r="Q138">
        <v>1</v>
      </c>
      <c r="R138">
        <v>1</v>
      </c>
      <c r="S138">
        <v>0.01</v>
      </c>
      <c r="T138">
        <v>16</v>
      </c>
      <c r="U138">
        <v>0</v>
      </c>
      <c r="V138">
        <v>8.75</v>
      </c>
      <c r="W138">
        <v>278.39999999999998</v>
      </c>
      <c r="X138" t="s">
        <v>197</v>
      </c>
      <c r="Y138">
        <v>8.75</v>
      </c>
      <c r="Z138" t="s">
        <v>198</v>
      </c>
    </row>
    <row r="139" spans="1:26" x14ac:dyDescent="0.3">
      <c r="A139">
        <v>42</v>
      </c>
      <c r="B139">
        <v>1</v>
      </c>
      <c r="C139">
        <v>0.1</v>
      </c>
      <c r="D139" t="s">
        <v>28</v>
      </c>
      <c r="E139">
        <v>0</v>
      </c>
      <c r="F139" s="1">
        <v>1453.1534339244199</v>
      </c>
      <c r="G139" s="1">
        <v>89.364403872799897</v>
      </c>
      <c r="H139" s="1">
        <v>1455.89865691465</v>
      </c>
      <c r="I139" s="1">
        <v>7.0516389999999998E-2</v>
      </c>
      <c r="J139" s="1">
        <v>3.1294789999999998E-4</v>
      </c>
      <c r="K139">
        <v>0.99980999999999998</v>
      </c>
      <c r="L139" s="1">
        <v>0.100318080377098</v>
      </c>
      <c r="M139" s="1">
        <v>-0.423172823064357</v>
      </c>
      <c r="N139">
        <v>9000</v>
      </c>
      <c r="O139">
        <v>16</v>
      </c>
      <c r="P139">
        <v>1</v>
      </c>
      <c r="Q139">
        <v>1</v>
      </c>
      <c r="R139">
        <v>1</v>
      </c>
      <c r="S139">
        <v>0.01</v>
      </c>
      <c r="T139">
        <v>16</v>
      </c>
      <c r="U139">
        <v>0</v>
      </c>
      <c r="V139">
        <v>8.75</v>
      </c>
      <c r="W139">
        <v>166.4</v>
      </c>
      <c r="X139" t="s">
        <v>199</v>
      </c>
      <c r="Y139">
        <v>8.75</v>
      </c>
      <c r="Z139" t="s">
        <v>198</v>
      </c>
    </row>
    <row r="140" spans="1:26" x14ac:dyDescent="0.3">
      <c r="A140">
        <v>45</v>
      </c>
      <c r="B140">
        <v>0</v>
      </c>
      <c r="C140">
        <v>0</v>
      </c>
      <c r="D140" t="s">
        <v>14</v>
      </c>
      <c r="F140" s="1">
        <v>0.374281434570917</v>
      </c>
      <c r="G140" s="1">
        <v>-6.1487240669631502E-2</v>
      </c>
      <c r="H140" s="1">
        <v>0.37929839576463897</v>
      </c>
      <c r="I140" s="1">
        <v>2.4387630000000001E-7</v>
      </c>
      <c r="J140" s="1">
        <v>4.8284910000000003E-8</v>
      </c>
      <c r="K140">
        <v>1</v>
      </c>
      <c r="L140" s="1">
        <v>0.100318080377098</v>
      </c>
      <c r="M140" s="1">
        <v>-0.423172823064357</v>
      </c>
      <c r="N140">
        <v>15000</v>
      </c>
      <c r="O140">
        <v>16</v>
      </c>
      <c r="P140">
        <v>1</v>
      </c>
      <c r="Q140">
        <v>1</v>
      </c>
      <c r="R140">
        <v>1</v>
      </c>
      <c r="S140">
        <v>0.01</v>
      </c>
      <c r="T140">
        <v>16</v>
      </c>
      <c r="U140">
        <v>0</v>
      </c>
      <c r="V140">
        <v>8.75</v>
      </c>
      <c r="W140">
        <v>278.89999999999998</v>
      </c>
      <c r="X140" t="s">
        <v>200</v>
      </c>
      <c r="Y140">
        <v>8.75</v>
      </c>
      <c r="Z140" t="s">
        <v>198</v>
      </c>
    </row>
    <row r="141" spans="1:26" x14ac:dyDescent="0.3">
      <c r="A141">
        <v>45</v>
      </c>
      <c r="B141">
        <v>1</v>
      </c>
      <c r="C141">
        <v>0.1</v>
      </c>
      <c r="D141" t="s">
        <v>28</v>
      </c>
      <c r="E141">
        <v>0</v>
      </c>
      <c r="F141" s="1">
        <v>-17253.860708417</v>
      </c>
      <c r="G141" s="1">
        <v>-19943.199497311402</v>
      </c>
      <c r="H141" s="1">
        <v>26370.948324529701</v>
      </c>
      <c r="I141" s="1">
        <v>1.510494</v>
      </c>
      <c r="J141" s="1">
        <v>3.6124079999999998E-4</v>
      </c>
      <c r="K141">
        <v>0.99964399999999998</v>
      </c>
      <c r="L141" s="1">
        <v>0.100318080377098</v>
      </c>
      <c r="M141" s="1">
        <v>-0.423172823064357</v>
      </c>
      <c r="N141">
        <v>9000</v>
      </c>
      <c r="O141">
        <v>16</v>
      </c>
      <c r="P141">
        <v>1</v>
      </c>
      <c r="Q141">
        <v>1</v>
      </c>
      <c r="R141">
        <v>1</v>
      </c>
      <c r="S141">
        <v>0.01</v>
      </c>
      <c r="T141">
        <v>16</v>
      </c>
      <c r="U141">
        <v>0</v>
      </c>
      <c r="V141">
        <v>8.75</v>
      </c>
      <c r="W141">
        <v>166.2</v>
      </c>
      <c r="X141" t="s">
        <v>201</v>
      </c>
      <c r="Y141">
        <v>8.75</v>
      </c>
      <c r="Z141" t="s">
        <v>198</v>
      </c>
    </row>
    <row r="142" spans="1:26" x14ac:dyDescent="0.3">
      <c r="A142">
        <v>42</v>
      </c>
      <c r="B142">
        <v>0</v>
      </c>
      <c r="C142">
        <v>0</v>
      </c>
      <c r="D142" t="s">
        <v>14</v>
      </c>
      <c r="F142" s="1">
        <v>3.3700263354192801</v>
      </c>
      <c r="G142" s="1">
        <v>0.30888821202871802</v>
      </c>
      <c r="H142" s="1">
        <v>3.3841526899579701</v>
      </c>
      <c r="I142" s="1">
        <v>1.0705720000000001E-3</v>
      </c>
      <c r="J142" s="1">
        <v>9.7781080000000006E-3</v>
      </c>
      <c r="K142">
        <v>0.99010600000000004</v>
      </c>
      <c r="L142" s="1">
        <v>0.43327088787003598</v>
      </c>
      <c r="M142" s="1">
        <v>3.76203821766041E-2</v>
      </c>
      <c r="N142">
        <v>15000</v>
      </c>
      <c r="O142">
        <v>16</v>
      </c>
      <c r="P142">
        <v>1</v>
      </c>
      <c r="Q142">
        <v>1</v>
      </c>
      <c r="R142">
        <v>1</v>
      </c>
      <c r="S142">
        <v>0.01</v>
      </c>
      <c r="T142">
        <v>16</v>
      </c>
      <c r="U142">
        <v>0</v>
      </c>
      <c r="V142">
        <v>9</v>
      </c>
      <c r="W142">
        <v>276.2</v>
      </c>
      <c r="X142" t="s">
        <v>202</v>
      </c>
      <c r="Y142">
        <v>9</v>
      </c>
      <c r="Z142" t="s">
        <v>203</v>
      </c>
    </row>
    <row r="143" spans="1:26" x14ac:dyDescent="0.3">
      <c r="A143">
        <v>42</v>
      </c>
      <c r="B143">
        <v>1</v>
      </c>
      <c r="C143">
        <v>0.1</v>
      </c>
      <c r="D143" t="s">
        <v>28</v>
      </c>
      <c r="E143">
        <v>0</v>
      </c>
      <c r="F143" s="1">
        <v>247.77100841990099</v>
      </c>
      <c r="G143" s="1">
        <v>703.27952038234196</v>
      </c>
      <c r="H143" s="1">
        <v>745.64908395479995</v>
      </c>
      <c r="I143" s="1">
        <v>0.34379539999999997</v>
      </c>
      <c r="J143" s="1">
        <v>2.010079E-2</v>
      </c>
      <c r="K143">
        <v>0.97986300000000004</v>
      </c>
      <c r="L143" s="1">
        <v>0.43327088787003598</v>
      </c>
      <c r="M143" s="1">
        <v>3.76203821766041E-2</v>
      </c>
      <c r="N143">
        <v>9000</v>
      </c>
      <c r="O143">
        <v>16</v>
      </c>
      <c r="P143">
        <v>1</v>
      </c>
      <c r="Q143">
        <v>1</v>
      </c>
      <c r="R143">
        <v>1</v>
      </c>
      <c r="S143">
        <v>0.01</v>
      </c>
      <c r="T143">
        <v>16</v>
      </c>
      <c r="U143">
        <v>0</v>
      </c>
      <c r="V143">
        <v>9</v>
      </c>
      <c r="W143">
        <v>166.5</v>
      </c>
      <c r="X143" t="s">
        <v>204</v>
      </c>
      <c r="Y143">
        <v>9</v>
      </c>
      <c r="Z143" t="s">
        <v>203</v>
      </c>
    </row>
    <row r="144" spans="1:26" x14ac:dyDescent="0.3">
      <c r="A144">
        <v>45</v>
      </c>
      <c r="B144">
        <v>0</v>
      </c>
      <c r="C144">
        <v>0</v>
      </c>
      <c r="D144" t="s">
        <v>14</v>
      </c>
      <c r="F144" s="1">
        <v>9.0743958542466599E-2</v>
      </c>
      <c r="G144" s="1">
        <v>0.364285009324327</v>
      </c>
      <c r="H144" s="1">
        <v>0.37541714669202603</v>
      </c>
      <c r="I144" s="1">
        <v>3.3425779999999999E-7</v>
      </c>
      <c r="J144" s="1">
        <v>6.5130650000000004E-8</v>
      </c>
      <c r="K144">
        <v>1</v>
      </c>
      <c r="L144" s="1">
        <v>0.43327088787003598</v>
      </c>
      <c r="M144" s="1">
        <v>3.76203821766041E-2</v>
      </c>
      <c r="N144">
        <v>15000</v>
      </c>
      <c r="O144">
        <v>16</v>
      </c>
      <c r="P144">
        <v>1</v>
      </c>
      <c r="Q144">
        <v>1</v>
      </c>
      <c r="R144">
        <v>1</v>
      </c>
      <c r="S144">
        <v>0.01</v>
      </c>
      <c r="T144">
        <v>16</v>
      </c>
      <c r="U144">
        <v>0</v>
      </c>
      <c r="V144">
        <v>9</v>
      </c>
      <c r="W144">
        <v>277.8</v>
      </c>
      <c r="X144" t="s">
        <v>205</v>
      </c>
      <c r="Y144">
        <v>9</v>
      </c>
      <c r="Z144" t="s">
        <v>203</v>
      </c>
    </row>
    <row r="145" spans="1:26" x14ac:dyDescent="0.3">
      <c r="A145">
        <v>45</v>
      </c>
      <c r="B145">
        <v>1</v>
      </c>
      <c r="C145">
        <v>0.1</v>
      </c>
      <c r="D145" t="s">
        <v>28</v>
      </c>
      <c r="E145">
        <v>0</v>
      </c>
      <c r="F145" s="1">
        <v>115062.38760347699</v>
      </c>
      <c r="G145" s="1">
        <v>-456218.236608946</v>
      </c>
      <c r="H145" s="1">
        <v>470504.44467145001</v>
      </c>
      <c r="I145" s="1">
        <v>26.612179999999999</v>
      </c>
      <c r="J145" s="1">
        <v>5.5355439999999997E-4</v>
      </c>
      <c r="K145">
        <v>0.99969699999999995</v>
      </c>
      <c r="L145" s="1">
        <v>0.43327088787003598</v>
      </c>
      <c r="M145" s="1">
        <v>3.76203821766041E-2</v>
      </c>
      <c r="N145">
        <v>9000</v>
      </c>
      <c r="O145">
        <v>16</v>
      </c>
      <c r="P145">
        <v>1</v>
      </c>
      <c r="Q145">
        <v>1</v>
      </c>
      <c r="R145">
        <v>1</v>
      </c>
      <c r="S145">
        <v>0.01</v>
      </c>
      <c r="T145">
        <v>16</v>
      </c>
      <c r="U145">
        <v>0</v>
      </c>
      <c r="V145">
        <v>9</v>
      </c>
      <c r="W145">
        <v>166.5</v>
      </c>
      <c r="X145" t="s">
        <v>206</v>
      </c>
      <c r="Y145">
        <v>9</v>
      </c>
      <c r="Z145" t="s">
        <v>203</v>
      </c>
    </row>
    <row r="146" spans="1:26" x14ac:dyDescent="0.3">
      <c r="A146">
        <v>42</v>
      </c>
      <c r="B146">
        <v>0</v>
      </c>
      <c r="C146">
        <v>0</v>
      </c>
      <c r="D146" t="s">
        <v>14</v>
      </c>
      <c r="F146" s="1">
        <v>80849.494340398698</v>
      </c>
      <c r="G146" s="1">
        <v>-54010.131437169497</v>
      </c>
      <c r="H146" s="1">
        <v>97230.319514843097</v>
      </c>
      <c r="I146" s="1">
        <v>1.030664</v>
      </c>
      <c r="J146" s="1">
        <v>1.9760839999999998E-5</v>
      </c>
      <c r="K146">
        <v>0.99999099999999996</v>
      </c>
      <c r="L146" s="1">
        <v>8.4413320387401406E-3</v>
      </c>
      <c r="M146" s="1">
        <v>0.434819157057523</v>
      </c>
      <c r="N146">
        <v>15000</v>
      </c>
      <c r="O146">
        <v>16</v>
      </c>
      <c r="P146">
        <v>1</v>
      </c>
      <c r="Q146">
        <v>1</v>
      </c>
      <c r="R146">
        <v>1</v>
      </c>
      <c r="S146">
        <v>0.01</v>
      </c>
      <c r="T146">
        <v>16</v>
      </c>
      <c r="U146">
        <v>0</v>
      </c>
      <c r="V146">
        <v>9.25</v>
      </c>
      <c r="W146">
        <v>277.8</v>
      </c>
      <c r="X146" t="s">
        <v>207</v>
      </c>
      <c r="Y146">
        <v>9.25</v>
      </c>
      <c r="Z146" t="s">
        <v>208</v>
      </c>
    </row>
    <row r="147" spans="1:26" x14ac:dyDescent="0.3">
      <c r="A147">
        <v>42</v>
      </c>
      <c r="B147">
        <v>1</v>
      </c>
      <c r="C147">
        <v>0.1</v>
      </c>
      <c r="D147" t="s">
        <v>28</v>
      </c>
      <c r="E147">
        <v>0</v>
      </c>
      <c r="F147" s="1">
        <v>3302.7100527076</v>
      </c>
      <c r="G147" s="1">
        <v>-19803.650580448601</v>
      </c>
      <c r="H147" s="1">
        <v>20077.162897300899</v>
      </c>
      <c r="I147" s="1">
        <v>2.5079739999999999</v>
      </c>
      <c r="J147" s="1">
        <v>8.9118940000000005E-4</v>
      </c>
      <c r="K147">
        <v>0.99947799999999998</v>
      </c>
      <c r="L147" s="1">
        <v>8.4413320387401406E-3</v>
      </c>
      <c r="M147" s="1">
        <v>0.434819157057523</v>
      </c>
      <c r="N147">
        <v>9000</v>
      </c>
      <c r="O147">
        <v>16</v>
      </c>
      <c r="P147">
        <v>1</v>
      </c>
      <c r="Q147">
        <v>1</v>
      </c>
      <c r="R147">
        <v>1</v>
      </c>
      <c r="S147">
        <v>0.01</v>
      </c>
      <c r="T147">
        <v>16</v>
      </c>
      <c r="U147">
        <v>0</v>
      </c>
      <c r="V147">
        <v>9.25</v>
      </c>
      <c r="W147">
        <v>166.5</v>
      </c>
      <c r="X147" t="s">
        <v>209</v>
      </c>
      <c r="Y147">
        <v>9.25</v>
      </c>
      <c r="Z147" t="s">
        <v>208</v>
      </c>
    </row>
    <row r="148" spans="1:26" x14ac:dyDescent="0.3">
      <c r="A148">
        <v>45</v>
      </c>
      <c r="B148">
        <v>0</v>
      </c>
      <c r="C148">
        <v>0</v>
      </c>
      <c r="D148" t="s">
        <v>14</v>
      </c>
      <c r="F148" s="1">
        <v>0.35991355739182601</v>
      </c>
      <c r="G148" s="1">
        <v>-0.11231775998400099</v>
      </c>
      <c r="H148" s="1">
        <v>0.37703189255322</v>
      </c>
      <c r="I148" s="1">
        <v>5.921016E-7</v>
      </c>
      <c r="J148" s="1">
        <v>2.4268440000000003E-7</v>
      </c>
      <c r="K148">
        <v>1</v>
      </c>
      <c r="L148" s="1">
        <v>8.4413320387401406E-3</v>
      </c>
      <c r="M148" s="1">
        <v>0.434819157057523</v>
      </c>
      <c r="N148">
        <v>15000</v>
      </c>
      <c r="O148">
        <v>16</v>
      </c>
      <c r="P148">
        <v>1</v>
      </c>
      <c r="Q148">
        <v>1</v>
      </c>
      <c r="R148">
        <v>1</v>
      </c>
      <c r="S148">
        <v>0.01</v>
      </c>
      <c r="T148">
        <v>16</v>
      </c>
      <c r="U148">
        <v>0</v>
      </c>
      <c r="V148">
        <v>9.25</v>
      </c>
      <c r="W148">
        <v>278.39999999999998</v>
      </c>
      <c r="X148" t="s">
        <v>210</v>
      </c>
      <c r="Y148">
        <v>9.25</v>
      </c>
      <c r="Z148" t="s">
        <v>208</v>
      </c>
    </row>
    <row r="149" spans="1:26" x14ac:dyDescent="0.3">
      <c r="A149">
        <v>45</v>
      </c>
      <c r="B149">
        <v>1</v>
      </c>
      <c r="C149">
        <v>0.1</v>
      </c>
      <c r="D149" t="s">
        <v>28</v>
      </c>
      <c r="E149">
        <v>0</v>
      </c>
      <c r="F149" s="1">
        <v>90.019968670378603</v>
      </c>
      <c r="G149" s="1">
        <v>-228.434640382015</v>
      </c>
      <c r="H149" s="1">
        <v>245.53203393014999</v>
      </c>
      <c r="I149" s="1">
        <v>1.6418550000000001E-2</v>
      </c>
      <c r="J149" s="1">
        <v>6.1881890000000002E-4</v>
      </c>
      <c r="K149">
        <v>0.99929400000000002</v>
      </c>
      <c r="L149" s="1">
        <v>8.4413320387401406E-3</v>
      </c>
      <c r="M149" s="1">
        <v>0.434819157057523</v>
      </c>
      <c r="N149">
        <v>9000</v>
      </c>
      <c r="O149">
        <v>16</v>
      </c>
      <c r="P149">
        <v>1</v>
      </c>
      <c r="Q149">
        <v>1</v>
      </c>
      <c r="R149">
        <v>1</v>
      </c>
      <c r="S149">
        <v>0.01</v>
      </c>
      <c r="T149">
        <v>16</v>
      </c>
      <c r="U149">
        <v>0</v>
      </c>
      <c r="V149">
        <v>9.25</v>
      </c>
      <c r="W149">
        <v>166.3</v>
      </c>
      <c r="X149" t="s">
        <v>211</v>
      </c>
      <c r="Y149">
        <v>9.25</v>
      </c>
      <c r="Z149" t="s">
        <v>208</v>
      </c>
    </row>
    <row r="150" spans="1:26" x14ac:dyDescent="0.3">
      <c r="A150">
        <v>42</v>
      </c>
      <c r="B150">
        <v>0</v>
      </c>
      <c r="C150">
        <v>0</v>
      </c>
      <c r="D150" t="s">
        <v>14</v>
      </c>
      <c r="F150" s="1">
        <v>8370.06886185242</v>
      </c>
      <c r="G150" s="1">
        <v>24291.914542428702</v>
      </c>
      <c r="H150" s="1">
        <v>25693.484872411002</v>
      </c>
      <c r="I150" s="1">
        <v>0.25340699999999999</v>
      </c>
      <c r="J150" s="1">
        <v>5.6203719999999997E-6</v>
      </c>
      <c r="K150">
        <v>0.99999499999999997</v>
      </c>
      <c r="L150" s="1">
        <v>-0.43331975438257297</v>
      </c>
      <c r="M150" s="1">
        <v>3.70532845052906E-2</v>
      </c>
      <c r="N150">
        <v>15000</v>
      </c>
      <c r="O150">
        <v>16</v>
      </c>
      <c r="P150">
        <v>1</v>
      </c>
      <c r="Q150">
        <v>1</v>
      </c>
      <c r="R150">
        <v>1</v>
      </c>
      <c r="S150">
        <v>0.01</v>
      </c>
      <c r="T150">
        <v>16</v>
      </c>
      <c r="U150">
        <v>0</v>
      </c>
      <c r="V150">
        <v>9.5</v>
      </c>
      <c r="W150">
        <v>277.7</v>
      </c>
      <c r="X150" t="s">
        <v>212</v>
      </c>
      <c r="Y150">
        <v>9.5</v>
      </c>
      <c r="Z150" t="s">
        <v>213</v>
      </c>
    </row>
    <row r="151" spans="1:26" x14ac:dyDescent="0.3">
      <c r="A151">
        <v>42</v>
      </c>
      <c r="B151">
        <v>1</v>
      </c>
      <c r="C151">
        <v>0.1</v>
      </c>
      <c r="D151" t="s">
        <v>28</v>
      </c>
      <c r="E151">
        <v>0</v>
      </c>
      <c r="F151" s="1">
        <v>25560.639766885299</v>
      </c>
      <c r="G151" s="1">
        <v>-99165.636835828205</v>
      </c>
      <c r="H151" s="1">
        <v>102406.883725401</v>
      </c>
      <c r="I151" s="1">
        <v>23.78922</v>
      </c>
      <c r="J151" s="1">
        <v>4.0711790000000003E-3</v>
      </c>
      <c r="K151">
        <v>0.99536100000000005</v>
      </c>
      <c r="L151" s="1">
        <v>-0.43331975438257297</v>
      </c>
      <c r="M151" s="1">
        <v>3.70532845052906E-2</v>
      </c>
      <c r="N151">
        <v>9000</v>
      </c>
      <c r="O151">
        <v>16</v>
      </c>
      <c r="P151">
        <v>1</v>
      </c>
      <c r="Q151">
        <v>1</v>
      </c>
      <c r="R151">
        <v>1</v>
      </c>
      <c r="S151">
        <v>0.01</v>
      </c>
      <c r="T151">
        <v>16</v>
      </c>
      <c r="U151">
        <v>0</v>
      </c>
      <c r="V151">
        <v>9.5</v>
      </c>
      <c r="W151">
        <v>168.2</v>
      </c>
      <c r="X151" t="s">
        <v>214</v>
      </c>
      <c r="Y151">
        <v>9.5</v>
      </c>
      <c r="Z151" t="s">
        <v>213</v>
      </c>
    </row>
    <row r="152" spans="1:26" x14ac:dyDescent="0.3">
      <c r="A152">
        <v>45</v>
      </c>
      <c r="B152">
        <v>0</v>
      </c>
      <c r="C152">
        <v>0</v>
      </c>
      <c r="D152" t="s">
        <v>14</v>
      </c>
      <c r="F152" s="1">
        <v>-3565.9099145725199</v>
      </c>
      <c r="G152" s="1">
        <v>-151.170191386554</v>
      </c>
      <c r="H152" s="1">
        <v>3569.1127672869102</v>
      </c>
      <c r="I152" s="1">
        <v>3.7439670000000001E-2</v>
      </c>
      <c r="J152" s="1">
        <v>6.0971259999999999E-6</v>
      </c>
      <c r="K152">
        <v>0.99996099999999999</v>
      </c>
      <c r="L152" s="1">
        <v>-0.43331975438257297</v>
      </c>
      <c r="M152" s="1">
        <v>3.70532845052906E-2</v>
      </c>
      <c r="N152">
        <v>15000</v>
      </c>
      <c r="O152">
        <v>16</v>
      </c>
      <c r="P152">
        <v>1</v>
      </c>
      <c r="Q152">
        <v>1</v>
      </c>
      <c r="R152">
        <v>1</v>
      </c>
      <c r="S152">
        <v>0.01</v>
      </c>
      <c r="T152">
        <v>16</v>
      </c>
      <c r="U152">
        <v>0</v>
      </c>
      <c r="V152">
        <v>9.5</v>
      </c>
      <c r="W152">
        <v>277.89999999999998</v>
      </c>
      <c r="X152" t="s">
        <v>215</v>
      </c>
      <c r="Y152">
        <v>9.5</v>
      </c>
      <c r="Z152" t="s">
        <v>213</v>
      </c>
    </row>
    <row r="153" spans="1:26" x14ac:dyDescent="0.3">
      <c r="A153">
        <v>45</v>
      </c>
      <c r="B153">
        <v>1</v>
      </c>
      <c r="C153">
        <v>0.1</v>
      </c>
      <c r="D153" t="s">
        <v>28</v>
      </c>
      <c r="E153">
        <v>0</v>
      </c>
      <c r="F153" s="1">
        <v>-1636354.8647262901</v>
      </c>
      <c r="G153" s="1">
        <v>987896.93838850001</v>
      </c>
      <c r="H153" s="1">
        <v>1911438.6216122101</v>
      </c>
      <c r="I153" s="1">
        <v>69.764939999999996</v>
      </c>
      <c r="J153" s="1">
        <v>1.5257779999999999E-4</v>
      </c>
      <c r="K153">
        <v>0.99986399999999998</v>
      </c>
      <c r="L153" s="1">
        <v>-0.43331975438257297</v>
      </c>
      <c r="M153" s="1">
        <v>3.70532845052906E-2</v>
      </c>
      <c r="N153">
        <v>9000</v>
      </c>
      <c r="O153">
        <v>16</v>
      </c>
      <c r="P153">
        <v>1</v>
      </c>
      <c r="Q153">
        <v>1</v>
      </c>
      <c r="R153">
        <v>1</v>
      </c>
      <c r="S153">
        <v>0.01</v>
      </c>
      <c r="T153">
        <v>16</v>
      </c>
      <c r="U153">
        <v>0</v>
      </c>
      <c r="V153">
        <v>9.5</v>
      </c>
      <c r="W153">
        <v>166.6</v>
      </c>
      <c r="X153" t="s">
        <v>216</v>
      </c>
      <c r="Y153">
        <v>9.5</v>
      </c>
      <c r="Z153" t="s">
        <v>213</v>
      </c>
    </row>
    <row r="154" spans="1:26" x14ac:dyDescent="0.3">
      <c r="A154">
        <v>42</v>
      </c>
      <c r="B154">
        <v>0</v>
      </c>
      <c r="C154">
        <v>0</v>
      </c>
      <c r="D154" t="s">
        <v>14</v>
      </c>
      <c r="F154" s="1">
        <v>-1.4622882639953899E-5</v>
      </c>
      <c r="G154" s="1">
        <v>1.3139869780980199E-5</v>
      </c>
      <c r="H154" s="1">
        <v>1.9659218564403398E-5</v>
      </c>
      <c r="I154" s="1">
        <v>1.0101000000000001E-9</v>
      </c>
      <c r="J154" s="1">
        <v>9.6684949999999997E-5</v>
      </c>
      <c r="K154">
        <v>0.99986399999999998</v>
      </c>
      <c r="L154" s="1">
        <v>-4.8202492850108601E-2</v>
      </c>
      <c r="M154" s="1">
        <v>-0.43222155790038802</v>
      </c>
      <c r="N154">
        <v>15000</v>
      </c>
      <c r="O154">
        <v>16</v>
      </c>
      <c r="P154">
        <v>1</v>
      </c>
      <c r="Q154">
        <v>1</v>
      </c>
      <c r="R154">
        <v>1</v>
      </c>
      <c r="S154">
        <v>0.01</v>
      </c>
      <c r="T154">
        <v>16</v>
      </c>
      <c r="U154">
        <v>0</v>
      </c>
      <c r="V154">
        <v>9.75</v>
      </c>
      <c r="W154">
        <v>278.2</v>
      </c>
      <c r="X154" t="s">
        <v>217</v>
      </c>
      <c r="Y154">
        <v>9.75</v>
      </c>
      <c r="Z154" t="s">
        <v>218</v>
      </c>
    </row>
    <row r="155" spans="1:26" x14ac:dyDescent="0.3">
      <c r="A155">
        <v>42</v>
      </c>
      <c r="B155">
        <v>1</v>
      </c>
      <c r="C155">
        <v>0.1</v>
      </c>
      <c r="D155" t="s">
        <v>28</v>
      </c>
      <c r="E155">
        <v>0</v>
      </c>
      <c r="F155" s="1">
        <v>-7.5933406927129003E-5</v>
      </c>
      <c r="G155" s="1">
        <v>1.07621622933765E-4</v>
      </c>
      <c r="H155" s="1">
        <v>1.3171293030852499E-4</v>
      </c>
      <c r="I155" s="1">
        <v>8.8556189999999993E-9</v>
      </c>
      <c r="J155" s="1">
        <v>3.1499160000000002E-4</v>
      </c>
      <c r="K155">
        <v>0.99962499999999999</v>
      </c>
      <c r="L155" s="1">
        <v>-4.8202492850108601E-2</v>
      </c>
      <c r="M155" s="1">
        <v>-0.43222155790038802</v>
      </c>
      <c r="N155">
        <v>9000</v>
      </c>
      <c r="O155">
        <v>16</v>
      </c>
      <c r="P155">
        <v>1</v>
      </c>
      <c r="Q155">
        <v>1</v>
      </c>
      <c r="R155">
        <v>1</v>
      </c>
      <c r="S155">
        <v>0.01</v>
      </c>
      <c r="T155">
        <v>16</v>
      </c>
      <c r="U155">
        <v>0</v>
      </c>
      <c r="V155">
        <v>9.75</v>
      </c>
      <c r="W155">
        <v>166.9</v>
      </c>
      <c r="X155" t="s">
        <v>219</v>
      </c>
      <c r="Y155">
        <v>9.75</v>
      </c>
      <c r="Z155" t="s">
        <v>218</v>
      </c>
    </row>
    <row r="156" spans="1:26" x14ac:dyDescent="0.3">
      <c r="A156">
        <v>45</v>
      </c>
      <c r="B156">
        <v>0</v>
      </c>
      <c r="C156">
        <v>0</v>
      </c>
      <c r="D156" t="s">
        <v>14</v>
      </c>
      <c r="F156" s="1">
        <v>3.82572870063436E-2</v>
      </c>
      <c r="G156" s="1">
        <v>9.6789812190200501E-3</v>
      </c>
      <c r="H156" s="1">
        <v>3.9462674599219497E-2</v>
      </c>
      <c r="I156" s="1">
        <v>8.9372260000000005E-7</v>
      </c>
      <c r="J156" s="1">
        <v>4.8402280000000001E-5</v>
      </c>
      <c r="K156">
        <v>0.99994300000000003</v>
      </c>
      <c r="L156" s="1">
        <v>-4.8202492850108601E-2</v>
      </c>
      <c r="M156" s="1">
        <v>-0.43222155790038802</v>
      </c>
      <c r="N156">
        <v>15000</v>
      </c>
      <c r="O156">
        <v>16</v>
      </c>
      <c r="P156">
        <v>1</v>
      </c>
      <c r="Q156">
        <v>1</v>
      </c>
      <c r="R156">
        <v>1</v>
      </c>
      <c r="S156">
        <v>0.01</v>
      </c>
      <c r="T156">
        <v>16</v>
      </c>
      <c r="U156">
        <v>0</v>
      </c>
      <c r="V156">
        <v>9.75</v>
      </c>
      <c r="W156">
        <v>276.2</v>
      </c>
      <c r="X156" t="s">
        <v>220</v>
      </c>
      <c r="Y156">
        <v>9.75</v>
      </c>
      <c r="Z156" t="s">
        <v>218</v>
      </c>
    </row>
    <row r="157" spans="1:26" x14ac:dyDescent="0.3">
      <c r="A157">
        <v>45</v>
      </c>
      <c r="B157">
        <v>1</v>
      </c>
      <c r="C157">
        <v>0.1</v>
      </c>
      <c r="D157" t="s">
        <v>28</v>
      </c>
      <c r="E157">
        <v>0</v>
      </c>
      <c r="F157" s="1">
        <v>5.7544273390945004E-4</v>
      </c>
      <c r="G157" s="1">
        <v>-7.1189846247664301E-4</v>
      </c>
      <c r="H157" s="1">
        <v>9.1538721909680898E-4</v>
      </c>
      <c r="I157" s="1">
        <v>2.8497929999999999E-8</v>
      </c>
      <c r="J157" s="1">
        <v>9.0945990000000006E-5</v>
      </c>
      <c r="K157">
        <v>0.99992000000000003</v>
      </c>
      <c r="L157" s="1">
        <v>-4.8202492850108601E-2</v>
      </c>
      <c r="M157" s="1">
        <v>-0.43222155790038802</v>
      </c>
      <c r="N157">
        <v>9000</v>
      </c>
      <c r="O157">
        <v>16</v>
      </c>
      <c r="P157">
        <v>1</v>
      </c>
      <c r="Q157">
        <v>1</v>
      </c>
      <c r="R157">
        <v>1</v>
      </c>
      <c r="S157">
        <v>0.01</v>
      </c>
      <c r="T157">
        <v>16</v>
      </c>
      <c r="U157">
        <v>0</v>
      </c>
      <c r="V157">
        <v>9.75</v>
      </c>
      <c r="W157">
        <v>169.1</v>
      </c>
      <c r="X157" t="s">
        <v>221</v>
      </c>
      <c r="Y157">
        <v>9.75</v>
      </c>
      <c r="Z1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all_endpoints_merged</vt:lpstr>
      <vt:lpstr>all_endpoints_merged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Quilter</dc:creator>
  <cp:lastModifiedBy>Tom Quilter</cp:lastModifiedBy>
  <dcterms:created xsi:type="dcterms:W3CDTF">2026-05-08T10:13:19Z</dcterms:created>
  <dcterms:modified xsi:type="dcterms:W3CDTF">2026-05-10T17:21:39Z</dcterms:modified>
</cp:coreProperties>
</file>